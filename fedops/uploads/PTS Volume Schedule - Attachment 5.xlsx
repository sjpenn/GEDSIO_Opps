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66925"/>
  <xr:revisionPtr revIDLastSave="0" documentId="8_{08AD94C0-0EDC-431F-91A3-FB16560BCFC0}" xr6:coauthVersionLast="47" xr6:coauthVersionMax="47" xr10:uidLastSave="{00000000-0000-0000-0000-000000000000}"/>
  <bookViews>
    <workbookView xWindow="-28920" yWindow="1905" windowWidth="29040" windowHeight="17520" tabRatio="822" firstSheet="1" activeTab="1" xr2:uid="{00000000-000D-0000-FFFF-FFFF00000000}"/>
  </bookViews>
  <sheets>
    <sheet name="Projections" sheetId="18" state="hidden" r:id="rId1"/>
    <sheet name="Draft Volumes" sheetId="5" r:id="rId2"/>
  </sheets>
  <definedNames>
    <definedName name="\sum" hidden="1">{"Input A",#N/A,FALSE,"Inputs";"Input B",#N/A,FALSE,"Inputs";"Equity A",#N/A,FALSE,"Equity";"Equity B",#N/A,FALSE,"Equity"}</definedName>
    <definedName name="_" hidden="1">#REF!</definedName>
    <definedName name="___________odc1" hidden="1">{#N/A,#N/A,FALSE,"ManLoading"}</definedName>
    <definedName name="___________odc2" hidden="1">{#N/A,#N/A,FALSE,"ManLoading"}</definedName>
    <definedName name="__________odc1" hidden="1">{#N/A,#N/A,FALSE,"ManLoading"}</definedName>
    <definedName name="__________odc2" hidden="1">{#N/A,#N/A,FALSE,"ManLoading"}</definedName>
    <definedName name="_________odc1" hidden="1">{#N/A,#N/A,FALSE,"ManLoading"}</definedName>
    <definedName name="_________odc2" hidden="1">{#N/A,#N/A,FALSE,"ManLoading"}</definedName>
    <definedName name="________odc1" hidden="1">{#N/A,#N/A,FALSE,"ManLoading"}</definedName>
    <definedName name="________odc2" hidden="1">{#N/A,#N/A,FALSE,"ManLoading"}</definedName>
    <definedName name="______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______odc1" hidden="1">{#N/A,#N/A,FALSE,"ManLoading"}</definedName>
    <definedName name="_______odc2" hidden="1">{#N/A,#N/A,FALSE,"ManLoading"}</definedName>
    <definedName name="_____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_____odc1" hidden="1">{#N/A,#N/A,FALSE,"ManLoading"}</definedName>
    <definedName name="______odc2" hidden="1">{#N/A,#N/A,FALSE,"ManLoading"}</definedName>
    <definedName name="____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____odc1" hidden="1">{#N/A,#N/A,FALSE,"ManLoading"}</definedName>
    <definedName name="_____odc2" hidden="1">{#N/A,#N/A,FALSE,"ManLoading"}</definedName>
    <definedName name="____KEY2" hidden="1">#REF!</definedName>
    <definedName name="___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___odc1" hidden="1">{#N/A,#N/A,FALSE,"ManLoading"}</definedName>
    <definedName name="____odc2" hidden="1">{#N/A,#N/A,FALSE,"ManLoading"}</definedName>
    <definedName name="___KEY2" hidden="1">#REF!</definedName>
    <definedName name="__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__no1" hidden="1">{#N/A,#N/A,FALSE,"ManLoading"}</definedName>
    <definedName name="___odc1" hidden="1">{#N/A,#N/A,FALSE,"ManLoading"}</definedName>
    <definedName name="___odc2" hidden="1">{#N/A,#N/A,FALSE,"ManLoading"}</definedName>
    <definedName name="__10S" hidden="1">#REF!</definedName>
    <definedName name="__123Graph" hidden="1">#REF!</definedName>
    <definedName name="__123Graph_A" hidden="1">#REF!</definedName>
    <definedName name="__123Graph_ACH17GRP" hidden="1">#REF!</definedName>
    <definedName name="__123Graph_ACurrent" hidden="1">#REF!</definedName>
    <definedName name="__123Graph_B" hidden="1">#REF!</definedName>
    <definedName name="__123Graph_BCH17GRP" hidden="1">#REF!</definedName>
    <definedName name="__123Graph_BCurrent" hidden="1">#REF!</definedName>
    <definedName name="__123Graph_C" hidden="1">#REF!</definedName>
    <definedName name="__123Graph_CCH17GRP" hidden="1">#REF!</definedName>
    <definedName name="__123Graph_D" hidden="1">#REF!</definedName>
    <definedName name="__123Graph_E" hidden="1">#REF!</definedName>
    <definedName name="__123Graph_EReport" hidden="1">#REF!</definedName>
    <definedName name="__123Graph_F" hidden="1">#REF!</definedName>
    <definedName name="__123Graph_FReport" hidden="1">#REF!</definedName>
    <definedName name="__123Graph_X" hidden="1">#REF!</definedName>
    <definedName name="__123Graph_XCH17GRP" hidden="1">#REF!</definedName>
    <definedName name="__123Graph_XCurrent" hidden="1">#REF!</definedName>
    <definedName name="__16_0_S" hidden="1">#REF!</definedName>
    <definedName name="__3_123Grap" hidden="1">#REF!</definedName>
    <definedName name="__BP6484" hidden="1">{"laborr",#N/A,FALSE,"Sheet1";"sumr",#N/A,FALSE,"Sheet1";"odcr",#N/A,FALSE,"Sheet1";"trip1r",#N/A,FALSE,"Sheet1";"trip2r",#N/A,FALSE,"Sheet1";"trip3r",#N/A,FALSE,"Sheet1";"trip4r",#N/A,FALSE,"Sheet1"}</definedName>
    <definedName name="__IntlFixup" hidden="1">TRUE</definedName>
    <definedName name="__KEY2" hidden="1">#REF!</definedName>
    <definedName name="__LAB2" hidden="1">{"GFY 97",#N/A,FALSE,"SCRA LABOR";"GFY 98",#N/A,FALSE,"SCRA LABOR";"GFY 99",#N/A,FALSE,"SCRA LABOR";"GFY 00",#N/A,FALSE,"SCRA LABOR"}</definedName>
    <definedName name="_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_odc1" hidden="1">{#N/A,#N/A,FALSE,"ManLoading"}</definedName>
    <definedName name="__odc2" hidden="1">{#N/A,#N/A,FALSE,"ManLoading"}</definedName>
    <definedName name="__q3" hidden="1">#REF!</definedName>
    <definedName name="_1__123Graph_ACHART_3" hidden="1">#REF!</definedName>
    <definedName name="_1_0__123Grap" hidden="1">#REF!</definedName>
    <definedName name="_1_123Grap" hidden="1">#REF!</definedName>
    <definedName name="_10_0__123Grap" hidden="1">#REF!</definedName>
    <definedName name="_10_0_S" hidden="1">#REF!</definedName>
    <definedName name="_10_123Grap" hidden="1">#REF!</definedName>
    <definedName name="_10S" hidden="1">#REF!</definedName>
    <definedName name="_12_0__123Grap" hidden="1">#REF!</definedName>
    <definedName name="_12_0_S" hidden="1">#REF!</definedName>
    <definedName name="_12_123Grap" hidden="1">#REF!</definedName>
    <definedName name="_123Grapha_E" hidden="1">#REF!</definedName>
    <definedName name="_13_0__123Grap" hidden="1">#REF!</definedName>
    <definedName name="_13_0_S" hidden="1">#REF!</definedName>
    <definedName name="_14_0_S" hidden="1">#REF!</definedName>
    <definedName name="_15_0__123Grap" hidden="1">#REF!</definedName>
    <definedName name="_15_0_S" hidden="1">#REF!</definedName>
    <definedName name="_15S" hidden="1">#REF!</definedName>
    <definedName name="_16_0__123Grap" hidden="1">#REF!</definedName>
    <definedName name="_16_0_S" hidden="1">#REF!</definedName>
    <definedName name="_16S" hidden="1">#REF!</definedName>
    <definedName name="_17_0__123Grap" hidden="1">#REF!</definedName>
    <definedName name="_18_0__123Grap" hidden="1">#REF!</definedName>
    <definedName name="_18_0_S" hidden="1">#REF!</definedName>
    <definedName name="_18_123Grap" hidden="1">#REF!</definedName>
    <definedName name="_1S" hidden="1">#REF!</definedName>
    <definedName name="_2" hidden="1">#REF!</definedName>
    <definedName name="_2______0_S" hidden="1">#REF!</definedName>
    <definedName name="_2__123Graph_BCHART_3" hidden="1">#REF!</definedName>
    <definedName name="_2_0__123Grap" hidden="1">#REF!</definedName>
    <definedName name="_2_0_S" hidden="1">#REF!</definedName>
    <definedName name="_2_123Grap" hidden="1">#REF!</definedName>
    <definedName name="_20_0__123Grap" hidden="1">#REF!</definedName>
    <definedName name="_20S" hidden="1">#REF!</definedName>
    <definedName name="_22_0__123Grap" hidden="1">#REF!</definedName>
    <definedName name="_23_0__123Grap" hidden="1">#REF!</definedName>
    <definedName name="_24_0__123Grap" hidden="1">#REF!</definedName>
    <definedName name="_24_0_S" hidden="1">#REF!</definedName>
    <definedName name="_24S" hidden="1">#REF!</definedName>
    <definedName name="_25_0_S" hidden="1">#REF!</definedName>
    <definedName name="_29_123Grap" hidden="1">#REF!</definedName>
    <definedName name="_2S" hidden="1">#REF!</definedName>
    <definedName name="_3__123Graph_XCHART_3" hidden="1">#REF!</definedName>
    <definedName name="_3_0__123Grap" hidden="1">#REF!</definedName>
    <definedName name="_3_0_S" hidden="1">#REF!</definedName>
    <definedName name="_3_123Grap" hidden="1">#REF!</definedName>
    <definedName name="_30_0__123Grap" hidden="1">#REF!</definedName>
    <definedName name="_30_0_S" hidden="1">#REF!</definedName>
    <definedName name="_36_0__123Grap" hidden="1">#REF!</definedName>
    <definedName name="_36_0_S" hidden="1">#REF!</definedName>
    <definedName name="_3S" hidden="1">#REF!</definedName>
    <definedName name="_4_____0_S" hidden="1">#REF!</definedName>
    <definedName name="_4_0__123Grap" hidden="1">#REF!</definedName>
    <definedName name="_4_0_S" hidden="1">#REF!</definedName>
    <definedName name="_4_123Grap" hidden="1">#REF!</definedName>
    <definedName name="_4S" hidden="1">#REF!</definedName>
    <definedName name="_5_0__123Grap" hidden="1">#REF!</definedName>
    <definedName name="_5_0_S" hidden="1">#REF!</definedName>
    <definedName name="_5_123Grap" hidden="1">#REF!</definedName>
    <definedName name="_58S" hidden="1">#REF!</definedName>
    <definedName name="_5S" hidden="1">#REF!</definedName>
    <definedName name="_6____0_S" hidden="1">#REF!</definedName>
    <definedName name="_6_0__123Grap" hidden="1">#REF!</definedName>
    <definedName name="_6_0_S" hidden="1">#REF!</definedName>
    <definedName name="_6_123Grap" hidden="1">#REF!</definedName>
    <definedName name="_6S" hidden="1">#REF!</definedName>
    <definedName name="_7_0__123Grap" hidden="1">#REF!</definedName>
    <definedName name="_7_123Grap" hidden="1">#REF!</definedName>
    <definedName name="_7S" hidden="1">#REF!</definedName>
    <definedName name="_8___0_S" hidden="1">#REF!</definedName>
    <definedName name="_8_0__123Grap" hidden="1">#REF!</definedName>
    <definedName name="_8_0_S" hidden="1">#REF!</definedName>
    <definedName name="_8_123Grap" hidden="1">#REF!</definedName>
    <definedName name="_87_0_S" hidden="1">#REF!</definedName>
    <definedName name="_9_0__123Grap" hidden="1">#REF!</definedName>
    <definedName name="_9_0_S" hidden="1">#REF!</definedName>
    <definedName name="_9S" hidden="1">#REF!</definedName>
    <definedName name="_a" hidden="1">#REF!</definedName>
    <definedName name="_a1" hidden="1">{"PAGE1",#N/A,FALSE,"CPFFMSTR";"PAGE2",#N/A,FALSE,"CPFFMSTR"}</definedName>
    <definedName name="_alt2" hidden="1">{#N/A,#N/A,FALSE,"Sheet1"}</definedName>
    <definedName name="_AtRisk_SimSetting_AutomaticallyGenerateReports" hidden="1">FALSE</definedName>
    <definedName name="_AtRisk_SimSetting_AutomaticResultsDisplayMode" hidden="1">3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5</definedName>
    <definedName name="_AtRisk_SimSetting_SimNameCount" hidden="1">0</definedName>
    <definedName name="_AtRisk_SimSetting_SmartSensitivityAnalysisEnabled" hidden="1">TRUE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P6484" hidden="1">{"laborr",#N/A,FALSE,"Sheet1";"sumr",#N/A,FALSE,"Sheet1";"odcr",#N/A,FALSE,"Sheet1";"trip1r",#N/A,FALSE,"Sheet1";"trip2r",#N/A,FALSE,"Sheet1";"trip3r",#N/A,FALSE,"Sheet1";"trip4r",#N/A,FALSE,"Sheet1"}</definedName>
    <definedName name="_Fill" hidden="1">#REF!</definedName>
    <definedName name="_Key1" hidden="1">#REF!</definedName>
    <definedName name="_Key1123" hidden="1">#REF!</definedName>
    <definedName name="_Key2" hidden="1">#REF!</definedName>
    <definedName name="_LAB2" hidden="1">{"GFY 97",#N/A,FALSE,"SCRA LABOR";"GFY 98",#N/A,FALSE,"SCRA LABOR";"GFY 99",#N/A,FALSE,"SCRA LABOR";"GFY 00",#N/A,FALSE,"SCRA LABOR"}</definedName>
    <definedName name="_MatMult_A" hidden="1">#REF!</definedName>
    <definedName name="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o1" hidden="1">{#N/A,#N/A,FALSE,"ManLoading"}</definedName>
    <definedName name="_no12" hidden="1">{#N/A,#N/A,FALSE,"ManLoading"}</definedName>
    <definedName name="_odc1" hidden="1">{#N/A,#N/A,FALSE,"ManLoading"}</definedName>
    <definedName name="_odc2" hidden="1">{#N/A,#N/A,FALSE,"ManLoading"}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q3" hidden="1">#REF!</definedName>
    <definedName name="_q31510" hidden="1">#REF!</definedName>
    <definedName name="_Regression_Int" hidden="1">1</definedName>
    <definedName name="_Sort" hidden="1">#REF!</definedName>
    <definedName name="_sort2" hidden="1">#REF!</definedName>
    <definedName name="_Table1_In1" hidden="1">#REF!</definedName>
    <definedName name="_Table1_Out" hidden="1">#REF!</definedName>
    <definedName name="a" hidden="1">{#N/A,#N/A,FALSE,"Sheet1"}</definedName>
    <definedName name="aa" hidden="1">{"summary",#N/A,FALSE,"GRP SUMMARY";"ytd",#N/A,FALSE,"GRP SUMMARY";"curr",#N/A,FALSE,"GRP SUMMARY"}</definedName>
    <definedName name="aaa" hidden="1">{#N/A,#N/A,FALSE,"Sheet1"}</definedName>
    <definedName name="aaa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" hidden="1">{"1999 Revenue",#N/A,FALSE,"Voice ";"1999 Traffic",#N/A,FALSE,"Voice "}</definedName>
    <definedName name="aaaaaaa" hidden="1">{"1999 Revenue",#N/A,FALSE,"IBS";"1999 Traffic",#N/A,FALSE,"IBS"}</definedName>
    <definedName name="aaaaaaaa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aaaaaaaaa" hidden="1">{#N/A,#N/A,FALSE,"Monthly"}</definedName>
    <definedName name="aaaaaaaaaa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aaaaaaaaaaaa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aaaaaaaaaaaaaaa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aha" hidden="1">#REF!</definedName>
    <definedName name="a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" hidden="1">{"1999 Revenue",#N/A,FALSE,"Voice ";"1999 Traffic",#N/A,FALSE,"Voice "}</definedName>
    <definedName name="abbbbbbbbb" hidden="1">{"1999 Revenue",#N/A,FALSE,"IBS";"1999 Traffic",#N/A,FALSE,"IBS"}</definedName>
    <definedName name="abbbbbbbbbb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abbbbbbbbbbb" hidden="1">{#N/A,#N/A,FALSE,"Monthly"}</definedName>
    <definedName name="abbb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bbbbbbbbbbbbbbb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abbbbbbbb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bcdef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ccess_Button" hidden="1">"FIGBUS_FIGBUS_List"</definedName>
    <definedName name="AccessDatabase" hidden="1">"F:\Warfighter\Ruffner Templates\Site_All_ENG_S1_V1.mdb"</definedName>
    <definedName name="acq." hidden="1">#REF!</definedName>
    <definedName name="actuals" hidden="1">{#N/A,#N/A,FALSE,"Base Info";#N/A,#N/A,FALSE,"Base Info"}</definedName>
    <definedName name="ad" hidden="1">{"GFY SUMMARY","ATT. A",FALSE,"TOTALS";"GFY 95","GFY 95",FALSE,"TOTALS";"GFY 96","GFY 96",FALSE,"TOTALS";"GFY 97","GFY 97",FALSE,"TOTALS"}</definedName>
    <definedName name="adf" hidden="1">{"PAGE1",#N/A,FALSE,"CPFFMSTR";"PAGE2",#N/A,FALSE,"CPFFMSTR"}</definedName>
    <definedName name="adfg" hidden="1">{"income stmt",#N/A,FALSE,"INCOME STATEMENT";"balance sheet",#N/A,FALSE,"INCOME STATEMENT"}</definedName>
    <definedName name="ae" hidden="1">{"ACC_Cars_125K_PA",#N/A,FALSE,"ACC Cars Co1 125K ";"ACC_Cars_125K_Prop",#N/A,FALSE,"ACC Cars Co1 125K "}</definedName>
    <definedName name="aeh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nscount" hidden="1">1</definedName>
    <definedName name="AS2DocOpenMode" hidden="1">"AS2DocumentBrowse"</definedName>
    <definedName name="asdf" hidden="1">{"GFY 97",#N/A,FALSE,"MONTHLY FLOW (OPTION)";"GFY 98",#N/A,FALSE,"MONTHLY FLOW (OPTION)";"GFY 99",#N/A,FALSE,"MONTHLY FLOW (OPTION)";"GFY 00",#N/A,FALSE,"MONTHLY FLOW (OPTION)";"TTL PROGRAM",#N/A,FALSE,"MONTHLY FLOW (OPTION)"}</definedName>
    <definedName name="asdfas" hidden="1">{"Form 1263 Total",#N/A,FALSE,"NIST-1263 Total"}</definedName>
    <definedName name="aser" hidden="1">{#N/A,#N/A,FALSE,"Monthly"}</definedName>
    <definedName name="asq" hidden="1">#REF!</definedName>
    <definedName name="assw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awer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ad" hidden="1">#REF!</definedName>
    <definedName name="Balance" hidden="1">#REF!</definedName>
    <definedName name="bap" hidden="1">{"GFY 97",#N/A,FALSE,"MONTHLY FLOW (OPTION)";"GFY 98",#N/A,FALSE,"MONTHLY FLOW (OPTION)";"GFY 99",#N/A,FALSE,"MONTHLY FLOW (OPTION)";"GFY 00",#N/A,FALSE,"MONTHLY FLOW (OPTION)";"TTL PROGRAM",#N/A,FALSE,"MONTHLY FLOW (OPTION)"}</definedName>
    <definedName name="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" hidden="1">{"'Vietnam'!$E$21:$W$45","'Vietnam'!$E$21:$W$45"}</definedName>
    <definedName name="bbbbbbb" hidden="1">{#N/A,#N/A,FALSE,"Monthly"}</definedName>
    <definedName name="bbbbbbbb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bbbbbbbbbb" hidden="1">{"1999 Revenue",#N/A,FALSE,"Voice ";"1999 Traffic",#N/A,FALSE,"Voice "}</definedName>
    <definedName name="bgb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I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bnml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brookhaven" hidden="1">{#N/A,#N/A,FALSE,"SCH B";#N/A,#N/A,FALSE,"RECAP(FL)";#N/A,#N/A,FALSE,"SV CALL(FIXED)";#N/A,#N/A,FALSE,"SV CALL (ROTC)";#N/A,#N/A,FALSE,"SV CALL(WSO)";#N/A,#N/A,FALSE,"SV CALL (OPT)";#N/A,#N/A,FALSE,"PM(FIXED)";#N/A,#N/A,FALSE,"PM(ROTC)";#N/A,#N/A,FALSE,"PM(WSO)";#N/A,#N/A,FALSE,"PM(OPT)";#N/A,#N/A,FALSE,"GROUNDS";#N/A,#N/A,FALSE,"DATA";#N/A,#N/A,FALSE,"ADMIN";#N/A,#N/A,FALSE,"OVHEAD";#N/A,#N/A,FALSE,"EQUIP";#N/A,#N/A,FALSE,"SCA"}</definedName>
    <definedName name="CBWorkbookPriority" hidden="1">-2032517337</definedName>
    <definedName name="cc" hidden="1">{"BASE",#N/A,FALSE,"CE BY WBS";"OPTION",#N/A,FALSE,"CE BY WBS"}</definedName>
    <definedName name="ccc" hidden="1">{#N/A,#N/A,FALSE,"Sheet1"}</definedName>
    <definedName name="cccc" hidden="1">{#N/A,#N/A,FALSE,"Sheet1"}</definedName>
    <definedName name="cccccccccccc" hidden="1">{"1999 Revenue",#N/A,FALSE,"IBS";"1999 Traffic",#N/A,FALSE,"IBS"}</definedName>
    <definedName name="cccccccccccccc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ccccccccccccccc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cccccccccccccccccccccc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cest1" hidden="1">{#N/A,#N/A,FALSE,"204";#N/A,#N/A,FALSE,"226";#N/A,#N/A,FALSE,"233";#N/A,#N/A,FALSE,"632";#N/A,#N/A,FALSE,"671";#N/A,#N/A,FALSE,"905";#N/A,#N/A,FALSE,"906";#N/A,#N/A,FALSE,"913";#N/A,#N/A,FALSE,"914";#N/A,#N/A,FALSE,"916";#N/A,#N/A,FALSE,"AAT";#N/A,#N/A,FALSE,"ATAS";#N/A,#N/A,FALSE,"ITL3";#N/A,#N/A,FALSE,"917";#N/A,#N/A,FALSE,"918"}</definedName>
    <definedName name="cest2" hidden="1">{#N/A,#N/A,FALSE,"Summ";#N/A,#N/A,FALSE,"Orders";#N/A,#N/A,FALSE,"Sales";#N/A,#N/A,FALSE,"Ebit";#N/A,#N/A,FALSE,"Funds Flow";#N/A,#N/A,FALSE,"204";#N/A,#N/A,FALSE,"226";#N/A,#N/A,FALSE,"233";#N/A,#N/A,FALSE,"632";#N/A,#N/A,FALSE,"671";#N/A,#N/A,FALSE,"905";#N/A,#N/A,FALSE,"906";#N/A,#N/A,FALSE,"913";#N/A,#N/A,FALSE,"914";#N/A,#N/A,FALSE,"916";#N/A,#N/A,FALSE,"AAT";#N/A,#N/A,FALSE,"ATAS";#N/A,#N/A,FALSE,"ITL3";#N/A,#N/A,FALSE,"917";#N/A,#N/A,FALSE,"918"}</definedName>
    <definedName name="cest3" hidden="1">{#N/A,#N/A,FALSE,"204";#N/A,#N/A,FALSE,"226";#N/A,#N/A,FALSE,"233";#N/A,#N/A,FALSE,"632";#N/A,#N/A,FALSE,"671";#N/A,#N/A,FALSE,"905";#N/A,#N/A,FALSE,"906";#N/A,#N/A,FALSE,"913";#N/A,#N/A,FALSE,"914";#N/A,#N/A,FALSE,"916";#N/A,#N/A,FALSE,"AAT";#N/A,#N/A,FALSE,"ATAS";#N/A,#N/A,FALSE,"ITL3";#N/A,#N/A,FALSE,"917";#N/A,#N/A,FALSE,"918"}</definedName>
    <definedName name="cest4" hidden="1">{#N/A,#N/A,FALSE,"Summ";#N/A,#N/A,FALSE,"Orders";#N/A,#N/A,FALSE,"Sales";#N/A,#N/A,FALSE,"Ebit";#N/A,#N/A,FALSE,"Funds Flow";#N/A,#N/A,FALSE,"204";#N/A,#N/A,FALSE,"226";#N/A,#N/A,FALSE,"233";#N/A,#N/A,FALSE,"632";#N/A,#N/A,FALSE,"671";#N/A,#N/A,FALSE,"905";#N/A,#N/A,FALSE,"906";#N/A,#N/A,FALSE,"913";#N/A,#N/A,FALSE,"914";#N/A,#N/A,FALSE,"916";#N/A,#N/A,FALSE,"AAT";#N/A,#N/A,FALSE,"ATAS";#N/A,#N/A,FALSE,"ITL3";#N/A,#N/A,FALSE,"917";#N/A,#N/A,FALSE,"918"}</definedName>
    <definedName name="cghj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COMSO" hidden="1">{#N/A,#N/A,FALSE,"Proposal"}</definedName>
    <definedName name="copy" hidden="1">{"ACC_Cars_400K_PA",#N/A,FALSE,"ACC Cars Co1 400K";"ACC_Cars_400K_Prop",#N/A,FALSE,"ACC Cars Co1 400K"}</definedName>
    <definedName name="COST_ELEMENT" hidden="1">{"BASE",#N/A,FALSE,"CE BY WBS";"OPTION",#N/A,FALSE,"CE BY WBS"}</definedName>
    <definedName name="COST_ELEMENT2" hidden="1">{"BASE",#N/A,FALSE,"CE BY WBS";"OPTION",#N/A,FALSE,"CE BY WBS"}</definedName>
    <definedName name="dad" hidden="1">#REF!</definedName>
    <definedName name="dd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dd" hidden="1">{#N/A,#N/A,FALSE,"Sheet1"}</definedName>
    <definedName name="dddd" hidden="1">{"GFY 95","GFY 95",FALSE,"TOTALS";"GFY 96","GFY 96",FALSE,"TOTALS";"GFY 97","GFY 97",FALSE,"TOTALS"}</definedName>
    <definedName name="ddddd" hidden="1">{"GFY 97",#N/A,FALSE,"MONTHLY FLOW (OPTION)";"GFY 98",#N/A,FALSE,"MONTHLY FLOW (OPTION)";"GFY 99",#N/A,FALSE,"MONTHLY FLOW (OPTION)";"GFY 00",#N/A,FALSE,"MONTHLY FLOW (OPTION)";"TTL PROGRAM",#N/A,FALSE,"MONTHLY FLOW (OPTION)"}</definedName>
    <definedName name="dddddddddd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ddddddddddddddd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ef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gj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fyu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dghj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rst" hidden="1">{"1999 Revenue",#N/A,FALSE,"Voice ";"1999 Traffic",#N/A,FALSE,"Voice "}</definedName>
    <definedName name="dsfa" hidden="1">{"PAGE1",#N/A,FALSE,"CPFFMSTR";"PAGE2",#N/A,FALSE,"CPFFMSTR"}</definedName>
    <definedName name="d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dtu" hidden="1">{"1999 Revenue",#N/A,FALSE,"IBS";"1999 Traffic",#N/A,FALSE,"IBS"}</definedName>
    <definedName name="dt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duplicate123A" hidden="1">#REF!</definedName>
    <definedName name="eafe" hidden="1">{"EbronCo5_PA",#N/A,FALSE,"Ebrons Task Co5";"EbronCo5_Prop",#N/A,FALSE,"Ebrons Task Co5"}</definedName>
    <definedName name="eafo" hidden="1">{"ACC_Cars_125K_PA",#N/A,FALSE,"ACC Cars Co1 125K ";"ACC_Cars_125K_Prop",#N/A,FALSE,"ACC Cars Co1 125K "}</definedName>
    <definedName name="eafo1" hidden="1">{"ACC_Cars_400K_PA",#N/A,FALSE,"ACC Cars Co1 400K";"ACC_Cars_400K_Prop",#N/A,FALSE,"ACC Cars Co1 400K"}</definedName>
    <definedName name="eafo10" hidden="1">{"PearsonCo1_Prop",#N/A,FALSE,"Pearsons Task Co1";"PearsonCo1_PA",#N/A,FALSE,"Pearsons Task Co1"}</definedName>
    <definedName name="eafo11" hidden="1">{"PearsonCo5_Prop",#N/A,FALSE,"Pearsons Task Co5";"PearsonCo5_PA",#N/A,FALSE,"Pearsons Task Co5"}</definedName>
    <definedName name="eafo12" hidden="1">{"Seal Team J6 Sum",#N/A,FALSE,"Seal Team Summary";"Seal Team J6",#N/A,FALSE,"Seal Team ";"Seal Team ODC J6",#N/A,FALSE,"Seal Team ODCs";"Seal Team Trvl J6",#N/A,FALSE," Seal Team Trvl"}</definedName>
    <definedName name="eafo15" hidden="1">{"ACC_Cars_125K_PA",#N/A,FALSE,"ACC Cars Co1 125K ";"ACC_Cars_125K_Prop",#N/A,FALSE,"ACC Cars Co1 125K "}</definedName>
    <definedName name="eafo16" hidden="1">{"ACC_Cars_400K_PA",#N/A,FALSE,"ACC Cars Co1 400K";"ACC_Cars_400K_Prop",#N/A,FALSE,"ACC Cars Co1 400K"}</definedName>
    <definedName name="eafo17" hidden="1">{"PAGE1",#N/A,FALSE,"ACC_CARS Travel 125K";"PAGE2",#N/A,FALSE,"ACC_CARS Travel 125K"}</definedName>
    <definedName name="eafo18" hidden="1">{"Page1",#N/A,FALSE,"ACC_CARS Travel 400K";"Page2",#N/A,FALSE,"ACC_CARS Travel 400K"}</definedName>
    <definedName name="eafo19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2" hidden="1">{"PAGE1",#N/A,FALSE,"ACC_CARS Travel 125K";"PAGE2",#N/A,FALSE,"ACC_CARS Travel 125K"}</definedName>
    <definedName name="eafo20" hidden="1">{"DolanCo1_PA",#N/A,FALSE,"Tina Dolan";"DolanCo1_Prop",#N/A,FALSE,"Tina Dolan"}</definedName>
    <definedName name="eafo21" hidden="1">{"Prop_350K",#N/A,FALSE,"Ebron-350K";"PA_350K",#N/A,FALSE,"Ebron-350K";"Ebron350KTrvl",#N/A,FALSE,"Ebrons Travel 350k"}</definedName>
    <definedName name="eafo22" hidden="1">{"EbronCo1_PA",#N/A,FALSE,"Ebrons Task Co1";"EbronCo1_Prop",#N/A,FALSE,"Ebrons Task Co1";"Ebron316KTrvl",#N/A,FALSE,"Ebrons Travel 316k"}</definedName>
    <definedName name="eafo23" hidden="1">{"EbronCo5_PA",#N/A,FALSE,"Ebrons Task Co5";"EbronCo5_Prop",#N/A,FALSE,"Ebrons Task Co5"}</definedName>
    <definedName name="eafo24" hidden="1">{"JDISS_Co1",#N/A,FALSE,"JDISS_Co1";"JDISSCo1_PA",#N/A,FALSE,"JDISS_Co1"}</definedName>
    <definedName name="eafo26" hidden="1">{"PearsonCo5_Prop",#N/A,FALSE,"Pearsons Task Co5";"PearsonCo5_PA",#N/A,FALSE,"Pearsons Task Co5"}</definedName>
    <definedName name="eafo27" hidden="1">{"Seal Team J6 Sum",#N/A,FALSE,"Seal Team Summary";"Seal Team J6",#N/A,FALSE,"Seal Team ";"Seal Team ODC J6",#N/A,FALSE,"Seal Team ODCs";"Seal Team Trvl J6",#N/A,FALSE," Seal Team Trvl"}</definedName>
    <definedName name="eafo3" hidden="1">{"Page1",#N/A,FALSE,"ACC_CARS Travel 400K";"Page2",#N/A,FALSE,"ACC_CARS Travel 400K"}</definedName>
    <definedName name="eafo4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5" hidden="1">{"DolanCo1_PA",#N/A,FALSE,"Tina Dolan";"DolanCo1_Prop",#N/A,FALSE,"Tina Dolan"}</definedName>
    <definedName name="eafo6" hidden="1">{"Prop_350K",#N/A,FALSE,"Ebron-350K";"PA_350K",#N/A,FALSE,"Ebron-350K";"Ebron350KTrvl",#N/A,FALSE,"Ebrons Travel 350k"}</definedName>
    <definedName name="eafo7" hidden="1">{"EbronCo1_PA",#N/A,FALSE,"Ebrons Task Co1";"EbronCo1_Prop",#N/A,FALSE,"Ebrons Task Co1";"Ebron316KTrvl",#N/A,FALSE,"Ebrons Travel 316k"}</definedName>
    <definedName name="eafo8" hidden="1">{"EbronCo5_PA",#N/A,FALSE,"Ebrons Task Co5";"EbronCo5_Prop",#N/A,FALSE,"Ebrons Task Co5"}</definedName>
    <definedName name="eafo9" hidden="1">{"JDISS_Co1",#N/A,FALSE,"JDISS_Co1";"JDISSCo1_PA",#N/A,FALSE,"JDISS_Co1"}</definedName>
    <definedName name="earo25" hidden="1">{"PearsonCo1_Prop",#N/A,FALSE,"Pearsons Task Co1";"PearsonCo1_PA",#N/A,FALSE,"Pearsons Task Co1"}</definedName>
    <definedName name="eatme" hidden="1">{"PAGE1",#N/A,FALSE,"CPFFMSTR";"PAGE2",#N/A,FALSE,"CPFFMSTR"}</definedName>
    <definedName name="eatmeagain" hidden="1">{"PAGE1",#N/A,FALSE,"CPFFMSTR";"PAGE2",#N/A,FALSE,"CPFFMSTR"}</definedName>
    <definedName name="eeee" hidden="1">{"'Vietnam'!$E$21:$W$45","'Vietnam'!$E$21:$W$45"}</definedName>
    <definedName name="er" hidden="1">{"1999 Revenue",#N/A,FALSE,"IBS";"1999 Traffic",#N/A,FALSE,"IBS"}</definedName>
    <definedName name="eraseme" hidden="1">{"laborr",#N/A,FALSE,"Sheet1";"sumr",#N/A,FALSE,"Sheet1";"odcr",#N/A,FALSE,"Sheet1";"trip1r",#N/A,FALSE,"Sheet1";"trip2r",#N/A,FALSE,"Sheet1";"trip3r",#N/A,FALSE,"Sheet1";"trip4r",#N/A,FALSE,"Sheet1"}</definedName>
    <definedName name="eraseme1" hidden="1">{"laborr",#N/A,FALSE,"Sheet1";"sumr",#N/A,FALSE,"Sheet1";"odcr",#N/A,FALSE,"Sheet1";"trip1r",#N/A,FALSE,"Sheet1";"trip2r",#N/A,FALSE,"Sheet1";"trip3r",#N/A,FALSE,"Sheet1";"trip4r",#N/A,FALSE,"Sheet1"}</definedName>
    <definedName name="eraseme2" hidden="1">{"cptwor",#N/A,FALSE,"CP";"cpthreer",#N/A,FALSE,"CP";"sumr",#N/A,FALSE,"CP";"odcr",#N/A,FALSE,"CP"}</definedName>
    <definedName name="eraseme3" hidden="1">{"laborr",#N/A,FALSE,"Sheet1";"sumr",#N/A,FALSE,"Sheet1";"odcr",#N/A,FALSE,"Sheet1";"trip1r",#N/A,FALSE,"Sheet1"}</definedName>
    <definedName name="eraseme4" hidden="1">{"laborr",#N/A,FALSE,"costprop";"sumr",#N/A,FALSE,"costprop";"odcr",#N/A,FALSE,"costprop";"trip1r",#N/A,FALSE,"costprop";"trip2r",#N/A,FALSE,"costprop"}</definedName>
    <definedName name="eraseme5" hidden="1">{"laborr",#N/A,FALSE,"costprop";"sumr",#N/A,FALSE,"costprop";"odcr",#N/A,FALSE,"costprop";"trip1r",#N/A,FALSE,"costprop";"trip2r",#N/A,FALSE,"costprop";"trip3r",#N/A,FALSE,"costprop"}</definedName>
    <definedName name="eraseme6" hidden="1">{"par",#N/A,FALSE,"PA";"odcr",#N/A,FALSE,"PA";"paxr",#N/A,FALSE,"PA"}</definedName>
    <definedName name="eraseme7" hidden="1">{"PAGE1",#N/A,FALSE,"CPFFMSTR";"PAGE2",#N/A,FALSE,"CPFFMSTR"}</definedName>
    <definedName name="er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r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EV__LASTREFTIME__" hidden="1">40878.4393402778</definedName>
    <definedName name="ewrw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adfbb" hidden="1">{#N/A,#N/A,FALSE,"ManLoading"}</definedName>
    <definedName name="fcjh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f" hidden="1">#REF!</definedName>
    <definedName name="fgh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l" hidden="1">#REF!</definedName>
    <definedName name="fla" hidden="1">#REF!</definedName>
    <definedName name="ftyi" hidden="1">{"1999 Revenue",#N/A,FALSE,"IBS";"1999 Traffic",#N/A,FALSE,"IBS"}</definedName>
    <definedName name="fty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fytu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fy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arbage" hidden="1">#REF!</definedName>
    <definedName name="gf" hidden="1">#REF!</definedName>
    <definedName name="gggg" hidden="1">{"'Vietnam'!$E$21:$W$45","'Vietnam'!$E$21:$W$45"}</definedName>
    <definedName name="gggggggggg" hidden="1">#REF!</definedName>
    <definedName name="gh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hj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jhg" hidden="1">{"PL",#N/A,FALSE,"Div 190"}</definedName>
    <definedName name="gjkl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ovt_1_2_3" hidden="1">{#N/A,#N/A,FALSE,"Base Info";#N/A,#N/A,FALSE,"Base Info"}</definedName>
    <definedName name="g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gyu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ello" hidden="1">#REF!</definedName>
    <definedName name="help" hidden="1">{"BASE",#N/A,FALSE,"CE BY WBS";"OPTION",#N/A,FALSE,"CE BY WBS"}</definedName>
    <definedName name="hhhh" hidden="1">{"'Vietnam'!$E$21:$W$45","'Vietnam'!$E$21:$W$45"}</definedName>
    <definedName name="hhhhhhhhhhhhh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hj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HRIS.ecp" hidden="1">{"Page 2",#N/A,FALSE,"2000";"Page 1",#N/A,FALSE,"2000"}</definedName>
    <definedName name="hsdgasdgh" hidden="1">#REF!</definedName>
    <definedName name="HTML_CodePage" hidden="1">1252</definedName>
    <definedName name="HTML_Control" hidden="1">{"'schedb(Part1)'!$A$1:$G$45"}</definedName>
    <definedName name="HTML_Control1" hidden="1">{"'Vietnam'!$E$21:$W$45","'Vietnam'!$E$21:$W$45"}</definedName>
    <definedName name="HTML_Control2" hidden="1">{"'Vietnam'!$E$21:$W$45","'Vietnam'!$E$21:$W$45"}</definedName>
    <definedName name="HTML_Control3" hidden="1">{"'Vietnam'!$E$21:$W$45","'Vietnam'!$E$21:$W$45"}</definedName>
    <definedName name="HTML_COntrol4" hidden="1">{"'Vietnam'!$E$21:$W$45","'Vietnam'!$E$21:$W$45"}</definedName>
    <definedName name="HTML_Control5" hidden="1">{"'Vietnam'!$E$21:$W$45","'Vietnam'!$E$21:$W$45"}</definedName>
    <definedName name="HTML_Description" hidden="1">""</definedName>
    <definedName name="HTML_Email" hidden="1">""</definedName>
    <definedName name="HTML_Header" hidden="1">"schedb(Part1)"</definedName>
    <definedName name="HTML_LastUpdate" hidden="1">"03/11/1998"</definedName>
    <definedName name="HTML_LineAfter" hidden="1">FALSE</definedName>
    <definedName name="HTML_LineBefore" hidden="1">FALSE</definedName>
    <definedName name="HTML_Name" hidden="1">"DIA"</definedName>
    <definedName name="HTML_OBDlg2" hidden="1">TRUE</definedName>
    <definedName name="HTML_OBDlg4" hidden="1">TRUE</definedName>
    <definedName name="HTML_OS" hidden="1">0</definedName>
    <definedName name="HTML_PathFile" hidden="1">"D:\DIESCON Internet Pages\schedbnew.htm"</definedName>
    <definedName name="HTML_Title" hidden="1">"Schedule B"</definedName>
    <definedName name="HTML1_10" hidden="1">""</definedName>
    <definedName name="HTML1_11" hidden="1">1</definedName>
    <definedName name="HTML1_2" hidden="1">1</definedName>
    <definedName name="HTML1_3" hidden="1">"AN$"</definedName>
    <definedName name="HTML1_4" hidden="1">"LAN Inst"</definedName>
    <definedName name="HTML1_5" hidden="1">""</definedName>
    <definedName name="HTML1_6" hidden="1">-4146</definedName>
    <definedName name="HTML1_7" hidden="1">-4146</definedName>
    <definedName name="HTML1_8" hidden="1">"7/31/96"</definedName>
    <definedName name="HTML1_9" hidden="1">"Jonathan Schembor/Andersen Con."</definedName>
    <definedName name="HTML2_10" hidden="1">""</definedName>
    <definedName name="HTML2_11" hidden="1">1</definedName>
    <definedName name="HTML2_2" hidden="1">1</definedName>
    <definedName name="HTML2_3" hidden="1">"AN$"</definedName>
    <definedName name="HTML2_4" hidden="1">"50 Node"</definedName>
    <definedName name="HTML2_5" hidden="1">""</definedName>
    <definedName name="HTML2_6" hidden="1">-4146</definedName>
    <definedName name="HTML2_7" hidden="1">-4146</definedName>
    <definedName name="HTML2_8" hidden="1">"7/31/96"</definedName>
    <definedName name="HTML2_9" hidden="1">"Jonathan Schembor/Andersen Con."</definedName>
    <definedName name="HTML3_10" hidden="1">""</definedName>
    <definedName name="HTML3_11" hidden="1">1</definedName>
    <definedName name="HTML3_2" hidden="1">1</definedName>
    <definedName name="HTML3_3" hidden="1">"AN$"</definedName>
    <definedName name="HTML3_4" hidden="1">"Maint"</definedName>
    <definedName name="HTML3_5" hidden="1">""</definedName>
    <definedName name="HTML3_6" hidden="1">-4146</definedName>
    <definedName name="HTML3_7" hidden="1">-4146</definedName>
    <definedName name="HTML3_8" hidden="1">"7/31/96"</definedName>
    <definedName name="HTML3_9" hidden="1">"Jonathan Schembor/Andersen Con."</definedName>
    <definedName name="HTML4_10" hidden="1">""</definedName>
    <definedName name="HTML4_11" hidden="1">1</definedName>
    <definedName name="HTML4_2" hidden="1">1</definedName>
    <definedName name="HTML4_3" hidden="1">"AN$"</definedName>
    <definedName name="HTML4_4" hidden="1">"Support"</definedName>
    <definedName name="HTML4_5" hidden="1">""</definedName>
    <definedName name="HTML4_6" hidden="1">-4146</definedName>
    <definedName name="HTML4_7" hidden="1">-4146</definedName>
    <definedName name="HTML4_8" hidden="1">"7/31/96"</definedName>
    <definedName name="HTML4_9" hidden="1">"Jonathan Schembor/Andersen Con."</definedName>
    <definedName name="HTML5_10" hidden="1">""</definedName>
    <definedName name="HTML5_11" hidden="1">1</definedName>
    <definedName name="HTML5_2" hidden="1">1</definedName>
    <definedName name="HTML5_3" hidden="1">"AN$"</definedName>
    <definedName name="HTML5_4" hidden="1">"1st Pass"</definedName>
    <definedName name="HTML5_5" hidden="1">""</definedName>
    <definedName name="HTML5_6" hidden="1">-4146</definedName>
    <definedName name="HTML5_7" hidden="1">-4146</definedName>
    <definedName name="HTML5_8" hidden="1">"7/31/96"</definedName>
    <definedName name="HTML5_9" hidden="1">"Jonathan Schembor/Andersen Con."</definedName>
    <definedName name="HTMLCount" hidden="1">5</definedName>
    <definedName name="HUH?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huio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i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" hidden="1">{"'Vietnam'!$E$21:$W$45","'Vietnam'!$E$21:$W$45"}</definedName>
    <definedName name="iiiiiiiiii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iiiiiiiiii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iiiiiiiiiiiiiiiiiiiii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iop" hidden="1">{#N/A,#N/A,FALSE,"Monthly"}</definedName>
    <definedName name="ip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IRS" hidden="1">{#N/A,#N/A,FALSE,"SCH B";#N/A,#N/A,FALSE,"RECAP(FL)";#N/A,#N/A,FALSE,"SV CALL(FIXED)";#N/A,#N/A,FALSE,"SV CALL (ROTC)";#N/A,#N/A,FALSE,"SV CALL(WSO)";#N/A,#N/A,FALSE,"SV CALL (OPT)";#N/A,#N/A,FALSE,"PM(FIXED)";#N/A,#N/A,FALSE,"PM(ROTC)";#N/A,#N/A,FALSE,"PM(WSO)";#N/A,#N/A,FALSE,"PM(OPT)";#N/A,#N/A,FALSE,"GROUNDS";#N/A,#N/A,FALSE,"DATA";#N/A,#N/A,FALSE,"ADMIN";#N/A,#N/A,FALSE,"OVHEAD";#N/A,#N/A,FALSE,"EQUIP";#N/A,#N/A,FALSE,"SCA"}</definedName>
    <definedName name="IRSOV" hidden="1">{#N/A,#N/A,FALSE,"SCH B (option 4)";#N/A,#N/A,FALSE,"SCH B (option 3)";#N/A,#N/A,FALSE,"SCH B (option 2)";#N/A,#N/A,FALSE,"SCH B (option 1)";#N/A,#N/A,FALSE,"SCH B (base yr)";#N/A,#N/A,FALSE,"RECAP";#N/A,#N/A,FALSE,"SCH B (basic)";#N/A,#N/A,FALSE,"SV ORDER (base)";#N/A,#N/A,FALSE,"SV ORDER (options)";#N/A,#N/A,FALSE,"COM(base)";#N/A,#N/A,FALSE,"COM (options)";#N/A,#N/A,FALSE,"PM(base)";#N/A,#N/A,FALSE,"PM (options)";#N/A,#N/A,FALSE,"EQUIP";#N/A,#N/A,FALSE,"ADMIN";#N/A,#N/A,FALSE,"OVHEAD";#N/A,#N/A,FALSE,"SCA";#N/A,#N/A,FALSE,"DBA";#N/A,#N/A,FALSE,"ESTIMATES";#N/A,#N/A,FALSE,"LCURVE"}</definedName>
    <definedName name="J" hidden="1">#REF!</definedName>
    <definedName name="jim" hidden="1">{#N/A,#N/A,TRUE,"Tab 1- Proposal Cover";#N/A,#N/A,TRUE,"Table 15-2";#N/A,#N/A,TRUE,"Tab 3 - Section B";#N/A,#N/A,TRUE,"Tab 4 - ATT 5 Summary";#N/A,#N/A,TRUE,"Tab  6 - ODC Detail";#N/A,#N/A,TRUE,"Tab 6 - ODC Summary";#N/A,#N/A,TRUE,"A6 CLIN 0001";#N/A,#N/A,TRUE,"A6 CLIN 0002";#N/A,#N/A,TRUE,"A6 CLIN 0003";#N/A,#N/A,TRUE,"A6 CLIN 0004";#N/A,#N/A,TRUE,"A6 CLIN 0005";#N/A,#N/A,TRUE,"A6 CLIN 0006";#N/A,#N/A,TRUE,"travel ";#N/A,#N/A,TRUE,"MH Summ CLIN 0001 - 0006";#N/A,#N/A,TRUE,"RATES";#N/A,#N/A,TRUE,"PR CHGS"}</definedName>
    <definedName name="jjj" hidden="1">{#N/A,#N/A,FALSE,"Sheet1"}</definedName>
    <definedName name="jjjjjjjj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jjjjjjjjjjjj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jjjjjjjjjjjjjj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jk" hidden="1">#REF!</definedName>
    <definedName name="jsadfhjkqa" hidden="1">#REF!</definedName>
    <definedName name="keesler" hidden="1">{#N/A,#N/A,FALSE,"SCH B (option 4)";#N/A,#N/A,FALSE,"SCH B (option 3)";#N/A,#N/A,FALSE,"SCH B (option 2)";#N/A,#N/A,FALSE,"SCH B (option 1)";#N/A,#N/A,FALSE,"SCH B (base yr)";#N/A,#N/A,FALSE,"RECAP";#N/A,#N/A,FALSE,"SCH B (basic)";#N/A,#N/A,FALSE,"SV ORDER (base)";#N/A,#N/A,FALSE,"SV ORDER (options)";#N/A,#N/A,FALSE,"COM(base)";#N/A,#N/A,FALSE,"COM (options)";#N/A,#N/A,FALSE,"PM(base)";#N/A,#N/A,FALSE,"PM (options)";#N/A,#N/A,FALSE,"EQUIP";#N/A,#N/A,FALSE,"ADMIN";#N/A,#N/A,FALSE,"OVHEAD";#N/A,#N/A,FALSE,"SCA";#N/A,#N/A,FALSE,"DBA";#N/A,#N/A,FALSE,"ESTIMATES";#N/A,#N/A,FALSE,"LCURVE"}</definedName>
    <definedName name="kk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kkkkkkkkkk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kkkkkkkkkkkkkkk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ksdghkasdgh" hidden="1">#REF!</definedName>
    <definedName name="L" hidden="1">#REF!</definedName>
    <definedName name="LAB" hidden="1">{"GFY 97",#N/A,FALSE,"SCRA LABOR";"GFY 98",#N/A,FALSE,"SCRA LABOR";"GFY 99",#N/A,FALSE,"SCRA LABOR";"GFY 00",#N/A,FALSE,"SCRA LABOR"}</definedName>
    <definedName name="lkj" hidden="1">{"Input A",#N/A,FALSE,"Inputs";"Input B",#N/A,FALSE,"Inputs";"Equity A",#N/A,FALSE,"Equity";"Equity B",#N/A,FALSE,"Equity"}</definedName>
    <definedName name="lkshdfklsa" hidden="1">#REF!</definedName>
    <definedName name="llllllllllll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ad" hidden="1">#REF!</definedName>
    <definedName name="march" hidden="1">{#N/A,#N/A,FALSE,"TB";#N/A,#N/A,FALSE,"BS";#N/A,#N/A,FALSE,"IS";#N/A,#N/A,FALSE,"TAX";#N/A,#N/A,FALSE,"DUE"}</definedName>
    <definedName name="mat" hidden="1">{"BASE",#N/A,FALSE,"CE BY WBS";"OPTION",#N/A,FALSE,"CE BY WBS"}</definedName>
    <definedName name="MATERIAL" hidden="1">{"BASE",#N/A,FALSE,"CE BY WBS";"OPTION",#N/A,FALSE,"CE BY WBS"}</definedName>
    <definedName name="MATERIAL2" hidden="1">{"BASE",#N/A,FALSE,"CE BY WBS";"OPTION",#N/A,FALSE,"CE BY WBS"}</definedName>
    <definedName name="maybe" hidden="1">{#N/A,#N/A,FALSE,"ManLoading"}</definedName>
    <definedName name="mmm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mmmmmmm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mmmmmmmmmmmmmmmm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mnbv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MNTHOPT" hidden="1">{"GFY 97",#N/A,FALSE,"MONTHLY FLOW (OPTION)";"GFY 98",#N/A,FALSE,"MONTHLY FLOW (OPTION)";"GFY 99",#N/A,FALSE,"MONTHLY FLOW (OPTION)";"GFY 00",#N/A,FALSE,"MONTHLY FLOW (OPTION)";"TTL PROGRAM",#N/A,FALSE,"MONTHLY FLOW (OPTION)"}</definedName>
    <definedName name="monthly2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Mthl" hidden="1">{"GFY 97",#N/A,FALSE,"MONTHLY FLOW";"GFY 98",#N/A,FALSE,"MONTHLY FLOW";"GFY 99",#N/A,FALSE,"MONTHLY FLOW";"TOTAL PROGRAM",#N/A,FALSE,"MONTHLY FLOW"}</definedName>
    <definedName name="MTHLY" hidden="1">{"GFY 97",#N/A,FALSE,"MONTHLY FLOW";"GFY 98",#N/A,FALSE,"MONTHLY FLOW";"GFY 99",#N/A,FALSE,"MONTHLY FLOW";"TOTAL PROGRAM",#N/A,FALSE,"MONTHLY FLOW"}</definedName>
    <definedName name="name_conf" hidden="1">{"PearsonCo5_Prop",#N/A,FALSE,"Pearsons Task Co5";"PearsonCo5_PA",#N/A,FALSE,"Pearsons Task Co5"}</definedName>
    <definedName name="nbbhg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0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ewname13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ewname8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mkl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nnnn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nnnnnnn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no" hidden="1">{#N/A,#N/A,FALSE,"ManLoading"}</definedName>
    <definedName name="no_1" hidden="1">{#N/A,#N/A,FALSE,"ManLoading"}</definedName>
    <definedName name="no1_1" hidden="1">{#N/A,#N/A,FALSE,"ManLoading"}</definedName>
    <definedName name="none" hidden="1">{#N/A,#N/A,FALSE,"ManLoading"}</definedName>
    <definedName name="none_1" hidden="1">{#N/A,#N/A,FALSE,"ManLoading"}</definedName>
    <definedName name="none1" hidden="1">{#N/A,#N/A,FALSE,"ManLoading"}</definedName>
    <definedName name="NSISUMMARY" hidden="1">{"Input A",#N/A,FALSE,"Inputs";"Input B",#N/A,FALSE,"Inputs";"Equity A",#N/A,FALSE,"Equity";"Equity B",#N/A,FALSE,"Equity"}</definedName>
    <definedName name="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dc1_1" hidden="1">{#N/A,#N/A,FALSE,"ManLoading"}</definedName>
    <definedName name="oi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ld" hidden="1">{"PAGE1",#N/A,FALSE,"CPFFMSTR";"PAGE2",#N/A,FALSE,"CPFFMSTR"}</definedName>
    <definedName name="o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" hidden="1">{#N/A,#N/A,FALSE,"Monthly"}</definedName>
    <definedName name="ooooooooo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oooooooooo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ooooooooooo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Order2" hidden="1">255</definedName>
    <definedName name="OSDCostBuidup2" hidden="1">{#N/A,#N/A,FALSE,"Sheet1"}</definedName>
    <definedName name="PAGE4" hidden="1">{"actuals_1",#N/A,FALSE,"CO 1 YRS";"burden_1",#N/A,FALSE,"CO 1 YRS";"input",#N/A,FALSE,"INPUT"}</definedName>
    <definedName name="pp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ppppppppppppppp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xlnm.Print_Area" localSheetId="1">'Draft Volumes'!$A$1:$D$53</definedName>
    <definedName name="_xlnm.Print_Titles" localSheetId="1">'Draft Volumes'!#REF!</definedName>
    <definedName name="q" hidden="1">#REF!</definedName>
    <definedName name="q3_2" hidden="1">#REF!</definedName>
    <definedName name="qewr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qqqqqqqq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qqqqqqqqqq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q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qqqqqqqqqqqqqqqqqqqqqq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qr" hidden="1">#REF!</definedName>
    <definedName name="qsw" hidden="1">{#N/A,#N/A,FALSE,"Monthly"}</definedName>
    <definedName name="qwed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qww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randolphoptionyr" hidden="1">{#N/A,#N/A,FALSE,"SCH B";#N/A,#N/A,FALSE,"RECAP(FL)";#N/A,#N/A,FALSE,"SV CALL(FIXED)";#N/A,#N/A,FALSE,"SV CALL (ROTC)";#N/A,#N/A,FALSE,"SV CALL(WSO)";#N/A,#N/A,FALSE,"SV CALL (OPT)";#N/A,#N/A,FALSE,"PM(FIXED)";#N/A,#N/A,FALSE,"PM(ROTC)";#N/A,#N/A,FALSE,"PM(WSO)";#N/A,#N/A,FALSE,"PM(OPT)";#N/A,#N/A,FALSE,"GROUNDS";#N/A,#N/A,FALSE,"DATA";#N/A,#N/A,FALSE,"ADMIN";#N/A,#N/A,FALSE,"OVHEAD";#N/A,#N/A,FALSE,"EQUIP";#N/A,#N/A,FALSE,"SCA"}</definedName>
    <definedName name="re6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FP.018" hidden="1">{"Page 2",#N/A,FALSE,"2000";"Page 1",#N/A,FALSE,"2000"}</definedName>
    <definedName name="RFP.Y018" hidden="1">{"Page 2",#N/A,FALSE,"2000";"Page 1",#N/A,FALSE,"2000"}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r" hidden="1">{"1999 Revenue",#N/A,FALSE,"Voice ";"1999 Traffic",#N/A,FALSE,"Voice "}</definedName>
    <definedName name="rrr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rrrrrrrrrrrrrrr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sad" hidden="1">#REF!</definedName>
    <definedName name="sadr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b" hidden="1">{"Cover Page",#N/A,FALSE,"NIST-1263 Cover Page";"Cover Page Back",#N/A,FALSE,"NIST-1263 Cover Page";#N/A,#N/A,FALSE,"NIST-1263 Page 3";#N/A,#N/A,FALSE,"NIST-1263 Page 4"}</definedName>
    <definedName name="sda" hidden="1">{#N/A,#N/A,FALSE,"ManLoading"}</definedName>
    <definedName name="SDF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fhaskl" hidden="1">#REF!</definedName>
    <definedName name="sdfhklsaf" hidden="1">#REF!</definedName>
    <definedName name="sdrfy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drh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rtyh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ept" hidden="1">{"laborr",#N/A,FALSE,"Sheet1";"sumr",#N/A,FALSE,"Sheet1";"odcr",#N/A,FALSE,"Sheet1";"trip1r",#N/A,FALSE,"Sheet1"}</definedName>
    <definedName name="sfdg" hidden="1">{"1999 Revenue",#N/A,FALSE,"Voice ";"1999 Traffic",#N/A,FALSE,"Voice "}</definedName>
    <definedName name="sherry" hidden="1">{#N/A,#N/A,FALSE,"Actual vs Plan"}</definedName>
    <definedName name="SIX" hidden="1">#REF!</definedName>
    <definedName name="sldgkasdgj" hidden="1">#REF!</definedName>
    <definedName name="solver_ntri" hidden="1">1000</definedName>
    <definedName name="solver_rsmp" hidden="1">2</definedName>
    <definedName name="solver_seed" hidden="1">0</definedName>
    <definedName name="sre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ss" hidden="1">#REF!</definedName>
    <definedName name="ss_2" hidden="1">#REF!</definedName>
    <definedName name="sss" hidden="1">{#N/A,#N/A,FALSE,"Sheet1"}</definedName>
    <definedName name="Staffing_2" hidden="1">#REF!</definedName>
    <definedName name="staffing2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ub" hidden="1">{"Cover Page",#N/A,FALSE,"NIST-1263 Cover Page";"Cover Page Back",#N/A,FALSE,"NIST-1263 Cover Page";#N/A,#N/A,FALSE,"NIST-1263 Page 3";#N/A,#N/A,FALSE,"NIST-1263 Page 4"}</definedName>
    <definedName name="Subcontractors" hidden="1">{"Cover Page",#N/A,FALSE,"NIST-1263 Cover Page";"Cover Page Back",#N/A,FALSE,"NIST-1263 Cover Page";#N/A,#N/A,FALSE,"NIST-1263 Page 3";#N/A,#N/A,FALSE,"NIST-1263 Page 4"}</definedName>
    <definedName name="susie" hidden="1">{"G A expense entry",#N/A,FALSE,"GA97"}</definedName>
    <definedName name="t" hidden="1">#REF!</definedName>
    <definedName name="Temp" hidden="1">{#N/A,#N/A,FALSE,"ManLoading"}</definedName>
    <definedName name="Temp_1" hidden="1">{#N/A,#N/A,FALSE,"ManLoading"}</definedName>
    <definedName name="Temp_2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st" hidden="1">#REF!</definedName>
    <definedName name="TextRefCopyRangeCount" hidden="1">1</definedName>
    <definedName name="tree" hidden="1">#REF!</definedName>
    <definedName name="trust" hidden="1">#REF!</definedName>
    <definedName name="try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" hidden="1">{#N/A,#N/A,FALSE,"Sheet1"}</definedName>
    <definedName name="ttt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tttttttt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ttttttttttt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tututututututututu" hidden="1">{"Input A",#N/A,FALSE,"Inputs";"Input B",#N/A,FALSE,"Inputs";"Equity A",#N/A,FALSE,"Equity";"Equity B",#N/A,FALSE,"Equity"}</definedName>
    <definedName name="tutuyuyuyuyuy" hidden="1">{"Input A",#N/A,FALSE,"Inputs";"Input B",#N/A,FALSE,"Inputs";"Equity A",#N/A,FALSE,"Equity";"Equity B",#N/A,FALSE,"Equity"}</definedName>
    <definedName name="tyryry" hidden="1">{"Input A",#N/A,FALSE,"Inputs";"Input B",#N/A,FALSE,"Inputs";"Equity A",#N/A,FALSE,"Equity";"Equity B",#N/A,FALSE,"Equity"}</definedName>
    <definedName name="ty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tyyyyyyyyyyy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" hidden="1">{#N/A,#N/A,FALSE,"Monthly"}</definedName>
    <definedName name="ui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op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ip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iyop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nsure" hidden="1">{#N/A,#N/A,FALSE,"ManLoading"}</definedName>
    <definedName name="uu" hidden="1">{#N/A,#N/A,FALSE,"Monthly"}</definedName>
    <definedName name="uuuuuuuu" hidden="1">{"1999 Revenue",#N/A,FALSE,"IBS";"1999 Traffic",#N/A,FALSE,"IBS"}</definedName>
    <definedName name="uuuuuuuuuu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" hidden="1">{"1999 Revenue",#N/A,FALSE,"Voice ";"1999 Traffic",#N/A,FALSE,"Voice "}</definedName>
    <definedName name="uuuuuuuuuuuuu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uuuuuuuuuuuuuuuu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uuuuuuuuuuuuuuuuuuuuuuuu" hidden="1">{"1999 Revenue",#N/A,FALSE,"IBS";"1999 Traffic",#N/A,FALSE,"IBS"}</definedName>
    <definedName name="WBSSUMM" hidden="1">{"BASE",#N/A,FALSE,"WBS SUMMARY";"OPTION",#N/A,FALSE,"WBS SUMMARY"}</definedName>
    <definedName name="wee" hidden="1">{"1999 Revenue",#N/A,FALSE,"IBS";"1999 Traffic",#N/A,FALSE,"IBS"}</definedName>
    <definedName name="wer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ew" hidden="1">{"1999 Revenue",#N/A,FALSE,"Voice ";"1999 Traffic",#N/A,FALSE,"Voice "}</definedName>
    <definedName name="what" hidden="1">{#N/A,#N/A,FALSE,"Base Info";#N/A,#N/A,FALSE,"Base Info"}</definedName>
    <definedName name="wrn" hidden="1">{"BASE",#N/A,FALSE,"CE BY WBS";"OPTION",#N/A,FALSE,"CE BY WBS"}</definedName>
    <definedName name="wrn.1999._.Ops._.Review." hidden="1">{"1999 Revenue",#N/A,FALSE,"Voice ";"1999 Traffic",#N/A,FALSE,"Voice "}</definedName>
    <definedName name="wrn.1999._.Ops._.Reviews." hidden="1">{"1999 Revenue",#N/A,FALSE,"IBS";"1999 Traffic",#N/A,FALSE,"IBS"}</definedName>
    <definedName name="wrn.820067." hidden="1">{"Travlp1",#N/A,FALSE,"ExhB (2)";"travlp2",#N/A,FALSE,"ExhB (2)";"trvlp3",#N/A,FALSE,"ExhB (2)";"travelp4",#N/A,FALSE,"ExhB (2)";"materials",#N/A,FALSE,"ExhB (2)"}</definedName>
    <definedName name="wrn.820067Ph1." hidden="1">{"tvlph1",#N/A,FALSE,"ExhB";"odcph1",#N/A,FALSE,"ExhB";"matlsph1",#N/A,FALSE,"ExhB"}</definedName>
    <definedName name="wrn.851033." hidden="1">{#N/A,#N/A,FALSE,"FCCM";#N/A,#N/A,FALSE,"MATERIALS";#N/A,#N/A,FALSE,"ODC";#N/A,#N/A,FALSE,"8510-33"}</definedName>
    <definedName name="wrn.868517." hidden="1">{#N/A,#N/A,FALSE,"BaseOn";#N/A,#N/A,FALSE,"BaseOff";#N/A,#N/A,FALSE,"Opt1On";#N/A,#N/A,FALSE,"Opt1Off";#N/A,#N/A,FALSE,"Opt2-On";#N/A,#N/A,FALSE,"Opt2-Off";#N/A,#N/A,FALSE,"Costs"}</definedName>
    <definedName name="wrn.ACC_Cars_125K_Co1." hidden="1">{"ACC_Cars_125K_PA",#N/A,FALSE,"ACC Cars Co1 125K ";"ACC_Cars_125K_Prop",#N/A,FALSE,"ACC Cars Co1 125K "}</definedName>
    <definedName name="wrn.ACC_Cars_400K_Co1." hidden="1">{"ACC_Cars_400K_PA",#N/A,FALSE,"ACC Cars Co1 400K";"ACC_Cars_400K_Prop",#N/A,FALSE,"ACC Cars Co1 400K"}</definedName>
    <definedName name="wrn.ACC_Cars_Travel_125K." hidden="1">{"PAGE1",#N/A,FALSE,"ACC_CARS Travel 125K";"PAGE2",#N/A,FALSE,"ACC_CARS Travel 125K"}</definedName>
    <definedName name="wrn.ACC_CARS_Travel_400K." hidden="1">{"Page1",#N/A,FALSE,"ACC_CARS Travel 400K";"Page2",#N/A,FALSE,"ACC_CARS Travel 400K"}</definedName>
    <definedName name="wrn.All._.Forms." hidden="1">{"Cover Page",#N/A,FALSE,"NIST-1263 Cover Page";"Cover Page Back",#N/A,FALSE,"NIST-1263 Cover Page";#N/A,#N/A,FALSE,"NIST-1263 Page 3";#N/A,#N/A,FALSE,"NIST-1263 Page 4"}</definedName>
    <definedName name="wrn.All._.Grant._.Forms." hidden="1">{"Form DD",#N/A,FALSE,"DD";"EE",#N/A,FALSE,"EE";"Indirects",#N/A,FALSE,"DD"}</definedName>
    <definedName name="wrn.Backup." hidden="1">{#N/A,#N/A,FALSE,"Labor Dump";#N/A,#N/A,FALSE,"CO 1 Yrs";#N/A,#N/A,FALSE,"INPUT"}</definedName>
    <definedName name="wrn.BARB." hidden="1">{#N/A,#N/A,FALSE,"FAC_RATE.XLS";#N/A,#N/A,FALSE,"TFC";#N/A,#N/A,FALSE,"SETA";#N/A,#N/A,FALSE,"ESC";#N/A,#N/A,FALSE,"MHX.XLS";#N/A,#N/A,FALSE,"DOM_G&amp;A"}</definedName>
    <definedName name="wrn.BTables." hidden="1">{#N/A,#N/A,FALSE,"Proposal"}</definedName>
    <definedName name="wrn.Bubba." hidden="1">{"PL",#N/A,FALSE,"Div 190"}</definedName>
    <definedName name="wrn.Budget." hidden="1">{#N/A,#N/A,TRUE,"Title Budget";#N/A,#N/A,TRUE,"Index Budget";#N/A,#N/A,TRUE,"Indirect Rate Summary";#N/A,#N/A,TRUE,"Indirect Rate Check";#N/A,#N/A,TRUE,"Fringe Full";#N/A,#N/A,TRUE,"Fringe Part";#N/A,#N/A,TRUE,"Fringe Score";#N/A,#N/A,TRUE,"OH HQ Office";#N/A,#N/A,TRUE,"HQ Off Telecom";#N/A,#N/A,TRUE,"OH HQ Office - CON";#N/A,#N/A,TRUE,"OH HQ Office - NSP";#N/A,#N/A,TRUE,"Client";#N/A,#N/A,TRUE,"Client Telecom";#N/A,#N/A,TRUE,"Client - CON";#N/A,#N/A,TRUE,"Client - NSP";#N/A,#N/A,TRUE,"Non-HQ";#N/A,#N/A,TRUE,"ITOP";#N/A,#N/A,TRUE,"TCC";#N/A,#N/A,TRUE,"Score";#N/A,#N/A,TRUE,"Telecom";#N/A,#N/A,TRUE,"G&amp;A I&amp;ET";#N/A,#N/A,TRUE,"G&amp;A I&amp;ET DOD";#N/A,#N/A,TRUE,"B&amp;P IET";#N/A,#N/A,TRUE,"Mktg IET";#N/A,#N/A,TRUE,"Prog Mgr IET";#N/A,#N/A,TRUE,"CON Div Mgmt GA";#N/A,#N/A,TRUE,"ESD Div Mgmt GA";#N/A,#N/A,TRUE,"SSD Div Mgmt GA";#N/A,#N/A,TRUE,"G&amp;A NSP";#N/A,#N/A,TRUE,"G&amp;A NSP DOD";#N/A,#N/A,TRUE,"B&amp;P NSP";#N/A,#N/A,TRUE,"Mktg NSP";#N/A,#N/A,TRUE,"Prog Mgr NSP";#N/A,#N/A,TRUE,"NSP Div Mgmt GA";#N/A,#N/A,TRUE,"G&amp;A Telecom";#N/A,#N/A,TRUE,"G&amp;A Telecom DOD";#N/A,#N/A,TRUE,"B&amp;P NMD";#N/A,#N/A,TRUE,"Mktg NMD";#N/A,#N/A,TRUE,"Prog Mgr NMD";#N/A,#N/A,TRUE,"NMD Div Mgmt GA";#N/A,#N/A,TRUE,"Mat Handling";#N/A,#N/A,TRUE,"G&amp;A HO";#N/A,#N/A,TRUE,"G&amp;A I&amp;ET Sup HO";#N/A,#N/A,TRUE,"Pres";#N/A,#N/A,TRUE,"VP Fina";#N/A,#N/A,TRUE,"Dyn Allo";#N/A,#N/A,TRUE,"VP HR";#N/A,#N/A,TRUE,"VP Cont";#N/A,#N/A,TRUE,"SEI";#N/A,#N/A,TRUE,"VP Bus Dev";#N/A,#N/A,TRUE,"G&amp;A I&amp;ET Sup XComp";#N/A,#N/A,TRUE,"G&amp;A I&amp;ET Adj";#N/A,#N/A,TRUE,"G&amp;A I&amp;ET Sup G&amp;A";#N/A,#N/A,TRUE,"Prop Sup";#N/A,#N/A,TRUE,"Security";#N/A,#N/A,TRUE,"Acctg";#N/A,#N/A,TRUE,"Payroll"}</definedName>
    <definedName name="wrn.CCB_JDISS.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E._.BY._.WBS." hidden="1">{"BASE",#N/A,FALSE,"CE BY WBS";"OPTION",#N/A,FALSE,"CE BY WBS"}</definedName>
    <definedName name="wrn.CHECKSUMS." hidden="1">{"CHECKGRP9",#N/A,FALSE,"GRP9SUM";"CHECKSEG",#N/A,FALSE,"SEGSUM"}</definedName>
    <definedName name="wrn.Cindy." hidden="1">{"OIS Totaltop",#N/A,FALSE,"OIS Total";"OIS Totalbot",#N/A,FALSE,"OIS Total";"Comp1top",#N/A,FALSE,"Comp 1";"Comp1bot",#N/A,FALSE,"Comp 1";"Comp6top",#N/A,FALSE,"Comp 6";"Comp6bot",#N/A,FALSE,"Comp 6";#N/A,#N/A,FALSE,"OIS Summary"}</definedName>
    <definedName name="wrn.Co1." hidden="1">{"174top",#N/A,FALSE,"Div 174";"174bot",#N/A,FALSE,"Div 174";"190top",#N/A,FALSE,"Div 190";"190bot",#N/A,FALSE,"Div 190";"213top",#N/A,FALSE,"Div 213";"213bot",#N/A,FALSE,"Div 213";"267top",#N/A,FALSE,"Div 267";"267bot",#N/A,FALSE,"Div 267";"311top",#N/A,FALSE,"Div 311";"311bot",#N/A,FALSE,"Div 311";"318top",#N/A,FALSE,"Div 318";"318bot",#N/A,FALSE,"Div 318";"375top",#N/A,FALSE,"Div 375";"375bot",#N/A,FALSE,"Div 375";"1574top",#N/A,FALSE,"Div 1574";"1574bot",#N/A,FALSE,"Div 1574";"Comp1top",#N/A,FALSE,"Comp 1";"Comp1bot",#N/A,FALSE,"Comp 1"}</definedName>
    <definedName name="wrn.Co6." hidden="1">{"5002top",#N/A,FALSE,"Div 5002";"5002bot",#N/A,FALSE,"Div 5002";"5023top",#N/A,FALSE,"Div 5023";"5023bot",#N/A,FALSE,"Div 5023";"5024top",#N/A,FALSE,"Div 5024";"5024bot",#N/A,FALSE,"Div 5024";"5037top",#N/A,FALSE,"Div 5037";"5037bot",#N/A,FALSE,"Div 5037";"5038top",#N/A,FALSE,"Div 5038";"5038bot",#N/A,FALSE,"Div 5038";"5040top",#N/A,FALSE,"Div 5040";"5040bot",#N/A,FALSE,"Div 5040";"5048top",#N/A,FALSE,"Div 5048";"5048bot",#N/A,FALSE,"Div 5048";"5072top",#N/A,FALSE,"Div 5072";"5072bot",#N/A,FALSE,"Div 5072";"5314top",#N/A,FALSE,"Div 5314";"5314bot",#N/A,FALSE,"Div 5314";"6030top",#N/A,FALSE,"Div 6030";"6030bot",#N/A,FALSE,"Div 6030";"6173top",#N/A,FALSE,"Div 6173";"6173bot",#N/A,FALSE,"Div 6173";"6189top",#N/A,FALSE,"Div 6189";"6189bot",#N/A,FALSE,"Div 6189";"6192top",#N/A,FALSE,"Div 6192";"6192bot",#N/A,FALSE,"Div 6192";"6241top",#N/A,FALSE,"Div 6241";"6241bot",#N/A,FALSE,"Div 6241";"6280top",#N/A,FALSE,"Div 6280";"6280bot",#N/A,FALSE,"Div 6280";"6281top",#N/A,FALSE,"Div 6281";"6281bot",#N/A,FALSE,"Div 6281";"6406&amp;6484top",#N/A,FALSE,"Div 6406 &amp; 6484";"6406&amp;6484bot",#N/A,FALSE,"Div 6406 &amp; 6484";"Comp6top",#N/A,FALSE,"Comp 6";"Comp6bot",#N/A,FALSE,"Comp 6"}</definedName>
    <definedName name="wrn.commercial._.profit." hidden="1">{"commercial profit",#N/A,FALSE,"GA97"}</definedName>
    <definedName name="wrn.commercial._.rate._.calculation." hidden="1">{"commercial rate calculation",#N/A,FALSE,"GA97"}</definedName>
    <definedName name="wrn.CONTRACTS." hidden="1">{"CONTRACTS",#N/A,FALSE,"8401detail"}</definedName>
    <definedName name="wrn.CORP." hidden="1">{"CORPMO",#N/A,FALSE,"CORP";"CORPYR",#N/A,FALSE,"CORP"}</definedName>
    <definedName name="wrn.costprop." hidden="1">{"laborr",#N/A,FALSE,"Sheet1";"sumr",#N/A,FALSE,"Sheet1";"odcr",#N/A,FALSE,"Sheet1";"trip1r",#N/A,FALSE,"Sheet1";"trip2r",#N/A,FALSE,"Sheet1";"trip3r",#N/A,FALSE,"Sheet1";"trip4r",#N/A,FALSE,"Sheet1"}</definedName>
    <definedName name="wrn.costprt0." hidden="1">{"cptwor",#N/A,FALSE,"CP";"cpthreer",#N/A,FALSE,"CP";"sumr",#N/A,FALSE,"CP";"odcr",#N/A,FALSE,"CP"}</definedName>
    <definedName name="wrn.costprt1." hidden="1">{"laborr",#N/A,FALSE,"Sheet1";"sumr",#N/A,FALSE,"Sheet1";"odcr",#N/A,FALSE,"Sheet1";"trip1r",#N/A,FALSE,"Sheet1"}</definedName>
    <definedName name="wrn.costprt2." hidden="1">{"laborr",#N/A,FALSE,"costprop";"sumr",#N/A,FALSE,"costprop";"odcr",#N/A,FALSE,"costprop";"trip1r",#N/A,FALSE,"costprop";"trip2r",#N/A,FALSE,"costprop"}</definedName>
    <definedName name="wrn.costprt3." hidden="1">{"laborr",#N/A,FALSE,"costprop";"sumr",#N/A,FALSE,"costprop";"odcr",#N/A,FALSE,"costprop";"trip1r",#N/A,FALSE,"costprop";"trip2r",#N/A,FALSE,"costprop";"trip3r",#N/A,FALSE,"costprop"}</definedName>
    <definedName name="wrn.Cover._.and._.Consol._.and._.OIS._.Tot." hidden="1">{"Cover",#N/A,FALSE,"Cover Sheet";"OIS Sum",#N/A,FALSE,"OIS Summary";"Consol",#N/A,FALSE,"CONSOLIDATED";"OIS Totaltop",#N/A,FALSE,"OIS Total";"OIS Totalbot",#N/A,FALSE,"OIS Total"}</definedName>
    <definedName name="wrn.CSO." hidden="1">{"311top",#N/A,FALSE,"Div 311";"311bot",#N/A,FALSE,"Div 311";"318top",#N/A,FALSE,"Div 318";"318bot",#N/A,FALSE,"Div 318";"5002top",#N/A,FALSE,"Div 5002";"5002bot",#N/A,FALSE,"Div 5002";"5037top",#N/A,FALSE,"Div 5037";"5037bot",#N/A,FALSE,"Div 5037";"6173top",#N/A,FALSE,"Div 6173";"6173bot",#N/A,FALSE,"Div 6173";"6280top",#N/A,FALSE,"Div 6280";"6280bot",#N/A,FALSE,"Div 6280";"6281top",#N/A,FALSE,"Div 6281";"6281bot",#N/A,FALSE,"Div 6281"}</definedName>
    <definedName name="wrn.CWS._.Operating._.Results.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wrn.divisional._.overhead._.entry." hidden="1">{#N/A,#N/A,FALSE,"GA97"}</definedName>
    <definedName name="wrn.Dolan_Co1." hidden="1">{"DolanCo1_PA",#N/A,FALSE,"Tina Dolan";"DolanCo1_Prop",#N/A,FALSE,"Tina Dolan"}</definedName>
    <definedName name="wrn.DRUM._.COST._.VOLUME." hidden="1">{#N/A,#N/A,TRUE,"Tab 1- Proposal Cover";#N/A,#N/A,TRUE,"Table 15-2";#N/A,#N/A,TRUE,"Tab 3 - Section B";#N/A,#N/A,TRUE,"Tab 4 - ATT 5 Summary";#N/A,#N/A,TRUE,"Tab  6 - ODC Detail";#N/A,#N/A,TRUE,"Tab 6 - ODC Summary";#N/A,#N/A,TRUE,"A6 CLIN 0001";#N/A,#N/A,TRUE,"A6 CLIN 0002";#N/A,#N/A,TRUE,"A6 CLIN 0003";#N/A,#N/A,TRUE,"A6 CLIN 0004";#N/A,#N/A,TRUE,"A6 CLIN 0005";#N/A,#N/A,TRUE,"A6 CLIN 0006";#N/A,#N/A,TRUE,"travel ";#N/A,#N/A,TRUE,"MH Summ CLIN 0001 - 0006";#N/A,#N/A,TRUE,"RATES";#N/A,#N/A,TRUE,"PR CHGS"}</definedName>
    <definedName name="wrn.Ebron_350K." hidden="1">{"Prop_350K",#N/A,FALSE,"Ebron-350K";"PA_350K",#N/A,FALSE,"Ebron-350K";"Ebron350KTrvl",#N/A,FALSE,"Ebrons Travel 350k"}</definedName>
    <definedName name="wrn.Ebron_Co1." hidden="1">{"EbronCo1_PA",#N/A,FALSE,"Ebrons Task Co1";"EbronCo1_Prop",#N/A,FALSE,"Ebrons Task Co1";"Ebron316KTrvl",#N/A,FALSE,"Ebrons Travel 316k"}</definedName>
    <definedName name="wrn.Ebron_Co5." hidden="1">{"EbronCo5_PA",#N/A,FALSE,"Ebrons Task Co5";"EbronCo5_Prop",#N/A,FALSE,"Ebrons Task Co5"}</definedName>
    <definedName name="wrn.ED." hidden="1">{"FAC_RATE",#N/A,FALSE,"FAC_RATE.XLS";#N/A,#N/A,FALSE,"SETA";#N/A,#N/A,FALSE,"SSC_SPA";#N/A,#N/A,FALSE,"SSC_NEMA";#N/A,#N/A,FALSE,"MHX.XLS";#N/A,#N/A,FALSE,"DOM_G&amp;A"}</definedName>
    <definedName name="wrn.ENTIRE._.PROPOSAL." hidden="1">{"GFY SUMMARY","ATT. A",FALSE,"TOTALS";"GFY 95","GFY 95",FALSE,"TOTALS";"GFY 96","GFY 96",FALSE,"TOTALS";"GFY 97","GFY 97",FALSE,"TOTALS";"GFY WBS","ATT. A-1",FALSE,"TOTALS";"WBS TOTALS","ATT. A-2",FALSE,"TOTALS";"proposal",#N/A,FALSE,"Hours Summary";"SCRA FY SUMMARY","ATT. B",FALSE,"TOTALS";"proposal",#N/A,FALSE,"BILL OF MATERIAL";"proposal",#N/A,FALSE,"SCRA LABOR";"proposal",#N/A,FALSE,"SUBCONTRACTORS";"proposal",#N/A,FALSE,"ODC's";"proposal",#N/A,FALSE,"PSSC";"proposal",#N/A,FALSE,"TRAVEL";"proposal",#N/A,FALSE,"OTHER";"proposal",#N/A,FALSE,"RATES"}</definedName>
    <definedName name="wrn.ESO." hidden="1">{"174top",#N/A,FALSE,"Div 174";"174bot",#N/A,FALSE,"Div 174";"1574top",#N/A,FALSE,"Div 1574";"1574bot",#N/A,FALSE,"Div 1574";"6192top",#N/A,FALSE,"Div 6192";"6192bot",#N/A,FALSE,"Div 6192";"6406&amp;6484top",#N/A,FALSE,"Div 6406 &amp; 6484";"6406&amp;6484bot",#N/A,FALSE,"Div 6406 &amp; 6484"}</definedName>
    <definedName name="wrn.Executive._.Reports.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penditures._.Graph." hidden="1">{"Graphics View",#N/A,FALSE,"Task Order Status"}</definedName>
    <definedName name="wrn.extrnal._.reporting." hidden="1">{"outside reptg",#N/A,FALSE,"ovhd summary"}</definedName>
    <definedName name="wrn.FERN." hidden="1">{#N/A,#N/A,FALSE,"FAC_RATE.XLS";#N/A,#N/A,FALSE,"ISC";#N/A,#N/A,FALSE,"SETA";#N/A,#N/A,FALSE,"MHX.XLS";#N/A,#N/A,FALSE,"DOM_G&amp;A"}</definedName>
    <definedName name="wrn.financial." hidden="1">{"income stmt",#N/A,FALSE,"INCOME STATEMENT";"balance sheet",#N/A,FALSE,"INCOME STATEMENT"}</definedName>
    <definedName name="wrn.financial.2" hidden="1">{"income stmt",#N/A,FALSE,"INCOME STATEMENT";"balance sheet",#N/A,FALSE,"INCOME STATEMENT"}</definedName>
    <definedName name="wrn.Financials.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wrn.Financials._.full._.set." hidden="1">{#N/A,#N/A,FALSE,"TB";#N/A,#N/A,FALSE,"BS";#N/A,#N/A,FALSE,"IS";#N/A,#N/A,FALSE,"TAX";#N/A,#N/A,FALSE,"DUE"}</definedName>
    <definedName name="wrn.G._.A._.expense._.entry." hidden="1">{"G A expense entry",#N/A,FALSE,"GA97"}</definedName>
    <definedName name="wrn.GFY._.Summary._.Report." hidden="1">{"GFY 1997 Summary",#N/A,FALSE,"Summary";"GFY 1998 Summary",#N/A,FALSE,"Summary";"GFY 1999 Summary",#N/A,FALSE,"Summary";"GFY 2000 Summary",#N/A,FALSE,"Summary"}</definedName>
    <definedName name="wrn.government._.rate._.calculation." hidden="1">{"government rate calculation",#N/A,FALSE,"GA97"}</definedName>
    <definedName name="wrn.HISO." hidden="1">{"213top",#N/A,FALSE,"Div 213";"213bot",#N/A,FALSE,"Div 213";"267top",#N/A,FALSE,"Div 267";"267bot",#N/A,FALSE,"Div 267";"5048top",#N/A,FALSE,"Div 5048";"5048bot",#N/A,FALSE,"Div 5048";"6241top",#N/A,FALSE,"Div 6241";"6241bot",#N/A,FALSE,"Div 6241"}</definedName>
    <definedName name="wrn.internal._.report." hidden="1">{"internal rptg",#N/A,FALSE,"ovhd summary"}</definedName>
    <definedName name="wrn.Invoice." hidden="1">{#N/A,#N/A,FALSE,"1034";#N/A,#N/A,FALSE,"Invoice"}</definedName>
    <definedName name="wrn.ITSO." hidden="1">{"190top",#N/A,FALSE,"Div 190";"190bot",#N/A,FALSE,"Div 190";"5024top",#N/A,FALSE,"Div 5024";"5024bot",#N/A,FALSE,"Div 5024";"5072top",#N/A,FALSE,"Div 5072";"5072bot",#N/A,FALSE,"Div 5072"}</definedName>
    <definedName name="wrn.JCTCS." hidden="1">{#N/A,#N/A,FALSE,"Tot";#N/A,#N/A,FALSE,"A11";#N/A,#N/A,FALSE,"aisi-11";#N/A,#N/A,FALSE,"pod-11";#N/A,#N/A,FALSE,"mtd-11";#N/A,#N/A,FALSE,"clk-11";#N/A,#N/A,FALSE,"A12";#N/A,#N/A,FALSE,"aisi-12";#N/A,#N/A,FALSE,"pod-12";#N/A,#N/A,FALSE,"mtd-12";#N/A,#N/A,FALSE,"clk-12";#N/A,#N/A,FALSE,"A13";#N/A,#N/A,FALSE,"aisi-13";#N/A,#N/A,FALSE,"pod-13";#N/A,#N/A,FALSE,"mtd-13";#N/A,#N/A,FALSE,"clk-13";#N/A,#N/A,FALSE,"A14";#N/A,#N/A,FALSE,"aisi-14";#N/A,#N/A,FALSE,"pod-14";#N/A,#N/A,FALSE,"mtd-14";#N/A,#N/A,FALSE,"clk-14";#N/A,#N/A,FALSE,"data"}</definedName>
    <definedName name="wrn.JDISS_Co1." hidden="1">{"JDISS_Co1",#N/A,FALSE,"JDISS_Co1";"JDISSCo1_PA",#N/A,FALSE,"JDISS_Co1"}</definedName>
    <definedName name="wrn.JIM." hidden="1">{"JIM",#N/A,FALSE,"8401detail"}</definedName>
    <definedName name="wrn.Jury.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LABOR." hidden="1">{"GFY 97",#N/A,FALSE,"SCRA LABOR";"GFY 98",#N/A,FALSE,"SCRA LABOR";"GFY 99",#N/A,FALSE,"SCRA LABOR";"GFY 00",#N/A,FALSE,"SCRA LABOR"}</definedName>
    <definedName name="wrn.Man._.Loading._.Sheet." hidden="1">{#N/A,#N/A,FALSE,"ManLoading"}</definedName>
    <definedName name="wrn.Man._.Loading._.Sheet._1" hidden="1">{#N/A,#N/A,FALSE,"ManLoading"}</definedName>
    <definedName name="wrn.MARC." hidden="1">{#N/A,#N/A,FALSE,"FAC_RATE.XLS";#N/A,#N/A,FALSE,"EIA";#N/A,#N/A,FALSE,"FCC";#N/A,#N/A,FALSE,"SETA";#N/A,#N/A,FALSE,"MHX.XLS";#N/A,#N/A,FALSE,"DOM_G&amp;A"}</definedName>
    <definedName name="wrn.MMOC._.Accounts._.Receivable.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nthly." hidden="1">{#N/A,#N/A,FALSE,"Monthly"}</definedName>
    <definedName name="wrn.monthly2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wrn.monthlyoption." hidden="1">{"GFY 97",#N/A,FALSE,"MONTHLY FLOW (OPTION)";"GFY 98",#N/A,FALSE,"MONTHLY FLOW (OPTION)";"GFY 99",#N/A,FALSE,"MONTHLY FLOW (OPTION)";"GFY 00",#N/A,FALSE,"MONTHLY FLOW (OPTION)";"TTL PROGRAM",#N/A,FALSE,"MONTHLY FLOW (OPTION)"}</definedName>
    <definedName name="wrn.mrs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.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sr1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PA." hidden="1">{"summary",#N/A,FALSE,"GRP SUMMARY";"ytd",#N/A,FALSE,"GRP SUMMARY";"curr",#N/A,FALSE,"GRP SUMMARY"}</definedName>
    <definedName name="wrn.pa.1" hidden="1">{#N/A,#N/A,FALSE,"ORIGPLANYTD";"YTD",#N/A,FALSE,"YTD";#N/A,#N/A,FALSE,"ORIGPLANCUR";"CURRENT",#N/A,FALSE,"CURRENT";"GA_ALLOC",#N/A,FALSE,"GA_ALLOC";"CD",#N/A,FALSE,"CORP"}</definedName>
    <definedName name="wrn.PAODC." hidden="1">{"par",#N/A,FALSE,"PA";"odcr",#N/A,FALSE,"PA";"paxr",#N/A,FALSE,"PA"}</definedName>
    <definedName name="wrn.Pearson_Co1." hidden="1">{"PearsonCo1_Prop",#N/A,FALSE,"Pearsons Task Co1";"PearsonCo1_PA",#N/A,FALSE,"Pearsons Task Co1"}</definedName>
    <definedName name="wrn.Pearson_Co5." hidden="1">{"PearsonCo5_Prop",#N/A,FALSE,"Pearsons Task Co5";"PearsonCo5_PA",#N/A,FALSE,"Pearsons Task Co5"}</definedName>
    <definedName name="wrn.PETE." hidden="1">{#N/A,#N/A,FALSE,"FAC_RATE.XLS";#N/A,#N/A,FALSE,"TFC";#N/A,#N/A,FALSE,"ISC";#N/A,#N/A,FALSE,"ESC";#N/A,#N/A,FALSE,"EIA";#N/A,#N/A,FALSE,"FCC";#N/A,#N/A,FALSE,"SETA";#N/A,#N/A,FALSE,"MSC";#N/A,#N/A,FALSE,"SSC_SPA";#N/A,#N/A,FALSE,"SSC_NEMA";#N/A,#N/A,FALSE,"MHX.XLS";#N/A,#N/A,FALSE,"DOM_G&amp;A"}</definedName>
    <definedName name="wrn.price." hidden="1">{"PAGE1",#N/A,FALSE,"CPFFMSTR";"PAGE2",#N/A,FALSE,"CPFFMSTR"}</definedName>
    <definedName name="wrn.Print." hidden="1">{"Base Cost",#N/A,FALSE,"Cost Formats";"Base",#N/A,FALSE,"Composite Rate";"Option 1 Cost",#N/A,FALSE,"Cost Formats";"Option 1",#N/A,FALSE,"Composite Rate";"Option 2 Cost",#N/A,FALSE,"Cost Formats";"Option 2",#N/A,FALSE,"Composite Rate";"Option 3 Cost",#N/A,FALSE,"Cost Formats";"Option 3",#N/A,FALSE,"Composite Rate";"Option 4 Cost",#N/A,FALSE,"Cost Formats";"Option 4",#N/A,FALSE,"Composite Rate";"Option 5 Cost",#N/A,FALSE,"Cost Formats";"Option 5",#N/A,FALSE,"Composite Rate";"Total Cost",#N/A,FALSE,"Cost Formats"}</definedName>
    <definedName name="wrn.PRINT._.ALL." hidden="1">{"ORIG",#N/A,FALSE,"Sheet1";"GOVT LABOR",#N/A,FALSE,"Sheet1";"INT LABOR",#N/A,FALSE,"Sheet1"}</definedName>
    <definedName name="wrn.print._.form." hidden="1">{"Form 1263 Total",#N/A,FALSE,"NIST-1263 Total"}</definedName>
    <definedName name="wrn.PRINT1._.ALL." hidden="1">{"ORIG",#N/A,FALSE,"Sheet1";"GOVT LABOR",#N/A,FALSE,"Sheet1";"INT LABOR",#N/A,FALSE,"Sheet1"}</definedName>
    <definedName name="wrn.printit." hidden="1">{"Price Breakdown",#N/A,TRUE,"Task 1.1A";"Other Direct Costs",#N/A,TRUE,"Task 1.1A";"price breakdown",#N/A,TRUE,"Task 1.2A";"Other Direct Costs",#N/A,TRUE,"Task 1.2A";"price breakdown",#N/A,TRUE,"Task 1.3A";"odcs",#N/A,TRUE,"Task 1.3A"}</definedName>
    <definedName name="wrn.Programs." hidden="1">{#N/A,#N/A,FALSE,"204";#N/A,#N/A,FALSE,"226";#N/A,#N/A,FALSE,"233";#N/A,#N/A,FALSE,"632";#N/A,#N/A,FALSE,"671";#N/A,#N/A,FALSE,"905";#N/A,#N/A,FALSE,"906";#N/A,#N/A,FALSE,"913";#N/A,#N/A,FALSE,"914";#N/A,#N/A,FALSE,"916";#N/A,#N/A,FALSE,"AAT";#N/A,#N/A,FALSE,"ATAS";#N/A,#N/A,FALSE,"ITL3";#N/A,#N/A,FALSE,"917";#N/A,#N/A,FALSE,"918"}</definedName>
    <definedName name="wrn.projected._.1995._.balance._.sheet." hidden="1">{#N/A,#N/A,FALSE,"Base Info"}</definedName>
    <definedName name="wrn.projected._.1995._.cash._.receipts." hidden="1">{#N/A,#N/A,FALSE,"Base Info"}</definedName>
    <definedName name="wrn.projected._.1995._.revenues." hidden="1">{#N/A,#N/A,FALSE,"Base Info";#N/A,#N/A,FALSE,"Base Info"}</definedName>
    <definedName name="wrn.projected._.revenue." hidden="1">{"projected revenue",#N/A,FALSE,"GA97"}</definedName>
    <definedName name="wrn.proposal." hidden="1">{"summary",#N/A,TRUE,"SUMMARY";"travel_1",#N/A,TRUE,"TRAVEL";"travel_2",#N/A,TRUE,"TRAVEL";"travel_3",#N/A,TRUE,"TRAVEL";"material",#N/A,TRUE,"MATERIALS &amp; EQUIP"}</definedName>
    <definedName name="wrn.proposala" hidden="1">{"summary",#N/A,TRUE,"SUMMARY";"travel_1",#N/A,TRUE,"TRAVEL";"travel_2",#N/A,TRUE,"TRAVEL";"travel_3",#N/A,TRUE,"TRAVEL";"material",#N/A,TRUE,"MATERIALS &amp; EQUIP"}</definedName>
    <definedName name="wrn.PSO." hidden="1">{"5023top",#N/A,FALSE,"Div 5023";"5023bot",#N/A,FALSE,"Div 5023";"5038top",#N/A,FALSE,"Div 5038";"5038bot",#N/A,FALSE,"Div 5038";"5040top",#N/A,FALSE,"Div 5040";"5040bot",#N/A,FALSE,"Div 5040"}</definedName>
    <definedName name="wrn.Rate._.Reports." hidden="1">{#N/A,#N/A,FALSE,"Monthly Rate By Activity";#N/A,#N/A,FALSE,"Hourly Rate By Activity";#N/A,#N/A,FALSE,"Monthly Rate By Custom Resource";#N/A,#N/A,FALSE,"Hourly Rate By Custom Resource"}</definedName>
    <definedName name="wrn.retro." hidden="1">{#N/A,#N/A,FALSE,"Total";#N/A,#N/A,FALSE,"NRE";#N/A,#N/A,FALSE,"20 Lot";#N/A,#N/A,FALSE,"32 Lot";#N/A,#N/A,FALSE,"labor";#N/A,#N/A,FALSE,"trvl";#N/A,#N/A,FALSE,"MES NRE";#N/A,#N/A,FALSE,"MES 20";#N/A,#N/A,FALSE,"MES 32"}</definedName>
    <definedName name="wrn.Rippert.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OSE." hidden="1">{"Page 2",#N/A,FALSE,"2000";"Page 1",#N/A,FALSE,"2000"}</definedName>
    <definedName name="wrn.SCOTT." hidden="1">{#N/A,#N/A,FALSE,"FAC_RATE.XLS";#N/A,#N/A,FALSE,"SETA";#N/A,#N/A,FALSE,"MSC";#N/A,#N/A,FALSE,"MHX.XLS"}</definedName>
    <definedName name="wrn.Seal._.Team._.J6." hidden="1">{"Seal Team J6 Sum",#N/A,FALSE,"Seal Team Summary";"Seal Team J6",#N/A,FALSE,"Seal Team ";"Seal Team ODC J6",#N/A,FALSE,"Seal Team ODCs";"Seal Team Trvl J6",#N/A,FALSE," Seal Team Trvl"}</definedName>
    <definedName name="wrn.SEG." hidden="1">{"SEGMO",#N/A,FALSE,"SEG";"SEGYR",#N/A,FALSE,"SEG"}</definedName>
    <definedName name="wrn.Sheet1.Shhet8." hidden="1">{#N/A,#N/A,FALSE,"Sheet1"}</definedName>
    <definedName name="wrn.Staffing." hidden="1">{#N/A,#N/A,FALSE,"Assessment";#N/A,#N/A,FALSE,"Staffing";#N/A,#N/A,FALSE,"Hires";#N/A,#N/A,FALSE,"Assumptions"}</definedName>
    <definedName name="wrn.Staffing._.Inputs." hidden="1">{#N/A,#N/A,FALSE,"Overall Staffing Review";#N/A,#N/A,FALSE,"Detailed Resource Mix Review";#N/A,#N/A,FALSE,"Detailed Pyramid Review";#N/A,#N/A,FALSE,"Hours By Activity";#N/A,#N/A,FALSE,"Hours By Custom Resource"}</definedName>
    <definedName name="wrn.Staffing1" hidden="1">{#N/A,#N/A,FALSE,"Assessment";#N/A,#N/A,FALSE,"Staffing";#N/A,#N/A,FALSE,"Hires";#N/A,#N/A,FALSE,"Assumptions"}</definedName>
    <definedName name="wrn.Statement._.Review.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ummary." hidden="1">{"Input A",#N/A,FALSE,"Inputs";"Input B",#N/A,FALSE,"Inputs";"Equity A",#N/A,FALSE,"Equity";"Equity B",#N/A,FALSE,"Equity"}</definedName>
    <definedName name="wrn.Summary._.1._.Year." hidden="1">{"One Year",#N/A,FALSE,"Summary"}</definedName>
    <definedName name="wrn.SummaryBudget." hidden="1">{"Normal",#N/A,FALSE,"SummaryBudget";"Baseandoy",#N/A,FALSE,"SummaryBudget"}</definedName>
    <definedName name="wrn.Supplemental._.Information." hidden="1">{#N/A,#N/A,FALSE,"Assumptions";#N/A,#N/A,FALSE,"DNP Expense Summary";#N/A,#N/A,FALSE,"Sensitivity Analysis"}</definedName>
    <definedName name="wrn.Task._.Order._.Status." hidden="1">{"Text View",#N/A,FALSE,"Task Order Status"}</definedName>
    <definedName name="wrn.TOP._.LEVEL." hidden="1">{"GFY SUMMARY","ATT. A",FALSE,"TOTALS";"GFY 95","GFY 95",FALSE,"TOTALS";"GFY 96","GFY 96",FALSE,"TOTALS";"GFY 97","GFY 97",FALSE,"TOTALS"}</definedName>
    <definedName name="wrn.Total." hidden="1">{#N/A,#N/A,FALSE,"Summ";#N/A,#N/A,FALSE,"Orders";#N/A,#N/A,FALSE,"Sales";#N/A,#N/A,FALSE,"Ebit";#N/A,#N/A,FALSE,"Funds Flow";#N/A,#N/A,FALSE,"204";#N/A,#N/A,FALSE,"226";#N/A,#N/A,FALSE,"233";#N/A,#N/A,FALSE,"632";#N/A,#N/A,FALSE,"671";#N/A,#N/A,FALSE,"905";#N/A,#N/A,FALSE,"906";#N/A,#N/A,FALSE,"913";#N/A,#N/A,FALSE,"914";#N/A,#N/A,FALSE,"916";#N/A,#N/A,FALSE,"AAT";#N/A,#N/A,FALSE,"ATAS";#N/A,#N/A,FALSE,"ITL3";#N/A,#N/A,FALSE,"917";#N/A,#N/A,FALSE,"918"}</definedName>
    <definedName name="wrn.TRAVEL._.DETAIL." hidden="1">{#N/A,#N/A,FALSE,"Sheet1"}</definedName>
    <definedName name="wrn.wbs._.summary." hidden="1">{"BASE",#N/A,FALSE,"WBS SUMMARY";"OPTION",#N/A,FALSE,"WBS SUMMARY"}</definedName>
    <definedName name="wrn.workpapers." hidden="1">{"dl",#N/A,FALSE,"Core";"indirects",#N/A,FALSE,"Core";"profit",#N/A,FALSE,"Core"}</definedName>
    <definedName name="wrn.Yr1." hidden="1">{"Expat1",#N/A,TRUE,"Detailed Budget Year One";"Home1",#N/A,TRUE,"Detailed Budget Year One";"Egypt1",#N/A,TRUE,"Detailed Budget Year One"}</definedName>
    <definedName name="wrn.Yr2." hidden="1">{"ExpatandhomeYr2",#N/A,FALSE,"Detailed Budget Year Two";"EgyptandtotYr2",#N/A,FALSE,"Detailed Budget Year Two"}</definedName>
    <definedName name="wrn.YTD._.PA." hidden="1">{"YTD PA",#N/A,FALSE,"SEGMENT SUMMARY"}</definedName>
    <definedName name="wrn.ZONI." hidden="1">{"ZONI",#N/A,FALSE,"8401detail"}</definedName>
    <definedName name="wrn.zonib" hidden="1">{"ZONI",#N/A,FALSE,"8401detail"}</definedName>
    <definedName name="wrn1.price." hidden="1">{"PAGE1",#N/A,FALSE,"CPFFMSTR";"PAGE2",#N/A,FALSE,"CPFFMSTR"}</definedName>
    <definedName name="WW" hidden="1">{"ORIG",#N/A,FALSE,"Sheet1";"GOVT LABOR",#N/A,FALSE,"Sheet1";"INT LABOR",#N/A,FALSE,"Sheet1"}</definedName>
    <definedName name="x" hidden="1">{"outside reptg",#N/A,FALSE,"ovhd summary"}</definedName>
    <definedName name="xx" hidden="1">{"SummaryBase and Option",#N/A,FALSE,"SummaryBudget";"SummaryAllYears",#N/A,FALSE,"SummaryBudget"}</definedName>
    <definedName name="xxx" hidden="1">{#N/A,#N/A,FALSE,"Sheet1"}</definedName>
    <definedName name="xxx1" hidden="1">{"ACC_Cars_400K_PA",#N/A,FALSE,"ACC Cars Co1 400K";"ACC_Cars_400K_Prop",#N/A,FALSE,"ACC Cars Co1 400K"}</definedName>
    <definedName name="xxxx" hidden="1">{#N/A,#N/A,FALSE,"Sheet1"}</definedName>
    <definedName name="xxxxxxxxxxxx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xxxxxxxxxxxxxxxxxx" hidden="1">{"1999 Revenue",#N/A,FALSE,"IBS";"1999 Traffic",#N/A,FALSE,"IBS"}</definedName>
    <definedName name="xzy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es" hidden="1">{#N/A,#N/A,FALSE,"ManLoading"}</definedName>
    <definedName name="yes_1" hidden="1">{#N/A,#N/A,FALSE,"ManLoading"}</definedName>
    <definedName name="yes1" hidden="1">{#N/A,#N/A,FALSE,"ManLoading"}</definedName>
    <definedName name="yiu" hidden="1">{"1999 Revenue",#N/A,FALSE,"Voice ";"1999 Traffic",#N/A,FALSE,"Voice "}</definedName>
    <definedName name="yiup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uo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yyy" hidden="1">{#N/A,#N/A,FALSE,"Page 1";#N/A,#N/A,FALSE,"Page 2";#N/A,#N/A,FALSE,"cm &amp; itd analysis";#N/A,#N/A,FALSE,"PROGRAM MGT";#N/A,#N/A,FALSE,"BASELINE";#N/A,#N/A,FALSE,"BAS V2.0";#N/A,#N/A,FALSE,"BAS V2.5";#N/A,#N/A,FALSE,"BAS V3.0";#N/A,#N/A,FALSE,"TOTAL"}</definedName>
    <definedName name="yyyyyy" hidden="1">{"1999 Revenue",#N/A,FALSE,"IBS";"1999 Traffic",#N/A,FALSE,"IBS"}</definedName>
    <definedName name="yyyyyyyy" hidden="1">{"1999 Revenue",#N/A,FALSE,"Voice ";"1999 Traffic",#N/A,FALSE,"Voice "}</definedName>
    <definedName name="z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ap" hidden="1">#REF!</definedName>
    <definedName name="zig" hidden="1">#REF!</definedName>
    <definedName name="zz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" hidden="1">{"1999 Revenue",#N/A,FALSE,"Voice ";"1999 Traffic",#N/A,FALSE,"Voice "}</definedName>
    <definedName name="zzzzz" hidden="1">{"1999 Revenue",#N/A,FALSE,"IBS";"1999 Traffic",#N/A,FALSE,"IBS"}</definedName>
    <definedName name="zzzzzz" hidden="1">{"Start",#N/A,FALSE,"Menu";"P&amp;L",#N/A,FALSE,"Monthly P&amp;L";"Rev",#N/A,FALSE,"Revenue Summary";"budbar",#N/A,FALSE,"Budget-Variance";"priorvar",#N/A,FALSE,"Prior Month Var";"DetailRev",#N/A,FALSE,"Detail  Budget Var (Revenue)";"Detailom",#N/A,FALSE,"Detail Budget Var (O&amp;M)"}</definedName>
    <definedName name="zzzzzzz" hidden="1">{#N/A,#N/A,FALSE,"Monthly"}</definedName>
    <definedName name="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zzzzzzzzzzzzzzzzzzzz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zzzzzzzzzzzzzzzzzzzzzz" hidden="1">{"1999 Revenue",#N/A,FALSE,"Voice ";"1999 Traffic",#N/A,FALSE,"Voice 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5" l="1"/>
  <c r="C48" i="5"/>
  <c r="C47" i="5"/>
  <c r="C45" i="5"/>
  <c r="C43" i="5"/>
  <c r="C42" i="5"/>
  <c r="C40" i="5"/>
  <c r="C39" i="5"/>
  <c r="C38" i="5"/>
  <c r="C37" i="5"/>
  <c r="C35" i="5"/>
  <c r="C34" i="5"/>
  <c r="C33" i="5"/>
  <c r="C31" i="5"/>
  <c r="C30" i="5"/>
  <c r="C29" i="5"/>
  <c r="C28" i="5"/>
  <c r="C27" i="5"/>
  <c r="C26" i="5"/>
  <c r="C24" i="5"/>
  <c r="C23" i="5"/>
  <c r="C22" i="5"/>
  <c r="C19" i="5"/>
  <c r="C18" i="5"/>
  <c r="C16" i="5"/>
  <c r="C15" i="5"/>
  <c r="C14" i="5"/>
  <c r="C13" i="5"/>
  <c r="C12" i="5"/>
  <c r="C10" i="5"/>
  <c r="C9" i="5"/>
  <c r="C7" i="5"/>
  <c r="C6" i="5"/>
  <c r="C51" i="5"/>
  <c r="G57" i="18" l="1"/>
  <c r="G56" i="18"/>
  <c r="G55" i="18"/>
  <c r="G54" i="18"/>
  <c r="G52" i="18"/>
  <c r="G51" i="18"/>
  <c r="G50" i="18"/>
  <c r="G49" i="18"/>
  <c r="G48" i="18"/>
  <c r="G47" i="18"/>
  <c r="G45" i="18"/>
  <c r="G44" i="18"/>
  <c r="G43" i="18"/>
  <c r="G42" i="18"/>
  <c r="G41" i="18"/>
  <c r="G40" i="18"/>
  <c r="G39" i="18"/>
  <c r="G38" i="18"/>
  <c r="G37" i="18"/>
  <c r="G36" i="18"/>
  <c r="G35" i="18"/>
  <c r="G34" i="18"/>
  <c r="G33" i="18"/>
  <c r="G32" i="18"/>
  <c r="G31" i="18"/>
  <c r="G30" i="18"/>
  <c r="G29" i="18"/>
  <c r="G28" i="18"/>
  <c r="G27" i="18"/>
  <c r="G26" i="18"/>
  <c r="G25" i="18"/>
  <c r="G24" i="18"/>
  <c r="G23" i="18"/>
  <c r="G22" i="18"/>
  <c r="G21" i="18"/>
  <c r="G20" i="18"/>
  <c r="G19" i="18"/>
  <c r="G18" i="18"/>
  <c r="G17" i="18"/>
  <c r="G16" i="18"/>
  <c r="G15" i="18"/>
  <c r="G14" i="18"/>
  <c r="G13" i="18"/>
  <c r="G12" i="18"/>
  <c r="G11" i="18"/>
  <c r="G10" i="18"/>
  <c r="G9" i="18"/>
  <c r="G7" i="18"/>
  <c r="G6" i="18"/>
  <c r="G5" i="18"/>
  <c r="G4" i="18"/>
</calcChain>
</file>

<file path=xl/sharedStrings.xml><?xml version="1.0" encoding="utf-8"?>
<sst xmlns="http://schemas.openxmlformats.org/spreadsheetml/2006/main" count="261" uniqueCount="155">
  <si>
    <t>Projections For New Award</t>
  </si>
  <si>
    <t>Performance Period Totals</t>
  </si>
  <si>
    <t>Base</t>
  </si>
  <si>
    <t>OP1</t>
  </si>
  <si>
    <t>OP2</t>
  </si>
  <si>
    <t>OP3</t>
  </si>
  <si>
    <t>Average QTY</t>
  </si>
  <si>
    <t>CLIN</t>
  </si>
  <si>
    <t>Description</t>
  </si>
  <si>
    <t>Newly Created CLINS</t>
  </si>
  <si>
    <t>1</t>
  </si>
  <si>
    <t>Copying</t>
  </si>
  <si>
    <t>Seperated CLINS</t>
  </si>
  <si>
    <t>1AA</t>
  </si>
  <si>
    <t>PCT Copying</t>
  </si>
  <si>
    <t>2</t>
  </si>
  <si>
    <t>Document Receipt &amp; Mailing</t>
  </si>
  <si>
    <t>2AA</t>
  </si>
  <si>
    <t>Incoming Mail</t>
  </si>
  <si>
    <t>2ABA</t>
  </si>
  <si>
    <t>Outgoing Mail-Quality Check</t>
  </si>
  <si>
    <t>2ABB</t>
  </si>
  <si>
    <t>Outgoing Mail</t>
  </si>
  <si>
    <t>2AC</t>
  </si>
  <si>
    <t>Mailing Stuffer</t>
  </si>
  <si>
    <t>2ACA</t>
  </si>
  <si>
    <t>eGrants</t>
  </si>
  <si>
    <t>2ACB</t>
  </si>
  <si>
    <t>DRAM Outgoing Mail - Other</t>
  </si>
  <si>
    <t>Incoming Mail Processing (Open/Sort)</t>
  </si>
  <si>
    <t>3AA</t>
  </si>
  <si>
    <t>U.S. Received</t>
  </si>
  <si>
    <t>3AB</t>
  </si>
  <si>
    <t>PCT Received</t>
  </si>
  <si>
    <t>3AC</t>
  </si>
  <si>
    <t>Faxes Received</t>
  </si>
  <si>
    <t>3AD</t>
  </si>
  <si>
    <t>Incoming Mail PDF Scanning</t>
  </si>
  <si>
    <t>3AE</t>
  </si>
  <si>
    <t>Incoming Mail &amp; Fax Exception Processing</t>
  </si>
  <si>
    <t>Fee Collection/New Applications</t>
  </si>
  <si>
    <t>5AA</t>
  </si>
  <si>
    <t>U.S. Applications</t>
  </si>
  <si>
    <t>5AB</t>
  </si>
  <si>
    <t>PCT Applications</t>
  </si>
  <si>
    <t>5AC</t>
  </si>
  <si>
    <t>Pro Se Mailings</t>
  </si>
  <si>
    <t>Fee Collection Other Applications</t>
  </si>
  <si>
    <t>6AA</t>
  </si>
  <si>
    <t>U.S.</t>
  </si>
  <si>
    <t>6AB</t>
  </si>
  <si>
    <t>PCT</t>
  </si>
  <si>
    <t>6AC</t>
  </si>
  <si>
    <t>Refunds</t>
  </si>
  <si>
    <t>Formality Review/New Applications</t>
  </si>
  <si>
    <t>7AA</t>
  </si>
  <si>
    <t>Utility</t>
  </si>
  <si>
    <t>7AB</t>
  </si>
  <si>
    <t>Plant</t>
  </si>
  <si>
    <t>7AC</t>
  </si>
  <si>
    <t>Design</t>
  </si>
  <si>
    <t>7AD</t>
  </si>
  <si>
    <t>Direct Hague Industrial Design</t>
  </si>
  <si>
    <t>7AE</t>
  </si>
  <si>
    <t>In-Direct Hague Industrial Design</t>
  </si>
  <si>
    <t>7AF</t>
  </si>
  <si>
    <t>Provisional</t>
  </si>
  <si>
    <t>Formality Review (Follow-on Papers)</t>
  </si>
  <si>
    <t>8AA</t>
  </si>
  <si>
    <t>Abandonments Processing</t>
  </si>
  <si>
    <t>8AB</t>
  </si>
  <si>
    <t>Missing Parts</t>
  </si>
  <si>
    <t>8AC</t>
  </si>
  <si>
    <t>Change of Address</t>
  </si>
  <si>
    <t>8AD</t>
  </si>
  <si>
    <t>Corrected Filing Receipt Request</t>
  </si>
  <si>
    <t>8AE</t>
  </si>
  <si>
    <t>Revocation/Power of Attorney</t>
  </si>
  <si>
    <t>8AF</t>
  </si>
  <si>
    <t>PDX Request</t>
  </si>
  <si>
    <t>8AG</t>
  </si>
  <si>
    <t>SB69/ADS Permission to Access EPO Search Results</t>
  </si>
  <si>
    <t>8AH</t>
  </si>
  <si>
    <t>Formality Review Other Mailing</t>
  </si>
  <si>
    <t>PCT National Stage</t>
  </si>
  <si>
    <t>9AA</t>
  </si>
  <si>
    <t>PCT National Stage Bib Data</t>
  </si>
  <si>
    <t>9AB</t>
  </si>
  <si>
    <t>PCT 371 Correct Filing Receipts (CFILE) &amp; Power Of Attorney POA</t>
  </si>
  <si>
    <t>9AC</t>
  </si>
  <si>
    <t>PCT 371 National Stage Mailing</t>
  </si>
  <si>
    <t>PCT International</t>
  </si>
  <si>
    <t>10AA</t>
  </si>
  <si>
    <t>PCT International Bibliographic Data Entry</t>
  </si>
  <si>
    <t>10AB</t>
  </si>
  <si>
    <t>PCT Printing and Mailing</t>
  </si>
  <si>
    <t>10AC</t>
  </si>
  <si>
    <t>PLRC Official Correspondence Mailing</t>
  </si>
  <si>
    <t>10AD</t>
  </si>
  <si>
    <t>PLRC Paper Mailing</t>
  </si>
  <si>
    <t>10AE</t>
  </si>
  <si>
    <t>FOSC Mailing</t>
  </si>
  <si>
    <t>Courier Support</t>
  </si>
  <si>
    <t>12AA</t>
  </si>
  <si>
    <t>Project Management Staff</t>
  </si>
  <si>
    <t>13AA</t>
  </si>
  <si>
    <t>Transition Period</t>
  </si>
  <si>
    <t>14AA</t>
  </si>
  <si>
    <t>Total</t>
  </si>
  <si>
    <t>Task</t>
  </si>
  <si>
    <t>Quantity</t>
  </si>
  <si>
    <t>Unit Type</t>
  </si>
  <si>
    <t>Pages</t>
  </si>
  <si>
    <t>Document Receipt &amp; Mailing (DRAM)</t>
  </si>
  <si>
    <t>Dram Incoming Mail</t>
  </si>
  <si>
    <t>Document</t>
  </si>
  <si>
    <t>2AB</t>
  </si>
  <si>
    <t>Outgoing Mail- Mailing</t>
  </si>
  <si>
    <t>2AD</t>
  </si>
  <si>
    <t>2AE</t>
  </si>
  <si>
    <t>2AF</t>
  </si>
  <si>
    <t>Envelope</t>
  </si>
  <si>
    <t>Fax Document</t>
  </si>
  <si>
    <t>Scanning Page</t>
  </si>
  <si>
    <t>4AA</t>
  </si>
  <si>
    <t>Applications</t>
  </si>
  <si>
    <t>4AB</t>
  </si>
  <si>
    <t>4AC</t>
  </si>
  <si>
    <t>Initial Formality Review/New Applications</t>
  </si>
  <si>
    <t>Utility Applications</t>
  </si>
  <si>
    <t>Application</t>
  </si>
  <si>
    <t>Plant Applications</t>
  </si>
  <si>
    <t>Design Applications</t>
  </si>
  <si>
    <t>6AD</t>
  </si>
  <si>
    <t>Direct Hague Industrial Design Applications</t>
  </si>
  <si>
    <t>6AE</t>
  </si>
  <si>
    <t>In-Direct Hague Industrial Design Applications</t>
  </si>
  <si>
    <t>6AF</t>
  </si>
  <si>
    <t>Provisional Applications</t>
  </si>
  <si>
    <t>Formality Review (Follow-on Documents)</t>
  </si>
  <si>
    <t>7AG</t>
  </si>
  <si>
    <t>7AH</t>
  </si>
  <si>
    <t xml:space="preserve">PCT 371 Correct Filing Receipts (CFILE) </t>
  </si>
  <si>
    <t>PCT 371 Power Of Attorney</t>
  </si>
  <si>
    <t xml:space="preserve">Application </t>
  </si>
  <si>
    <t>9AD</t>
  </si>
  <si>
    <t>9AE</t>
  </si>
  <si>
    <t>10A</t>
  </si>
  <si>
    <t>11A</t>
  </si>
  <si>
    <t>Suggest using the format below to show the breakdown of calculations</t>
  </si>
  <si>
    <t>Total With Transition and Without Wage Determination</t>
  </si>
  <si>
    <t>Total Without Transition</t>
  </si>
  <si>
    <t>Wage Determination</t>
  </si>
  <si>
    <t xml:space="preserve">Total With Wage Determination &amp; Transition 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</si>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</sst>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2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sz val="16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9" fillId="0" borderId="0" xfId="0" applyFont="1"/>
    <xf numFmtId="0" fontId="2" fillId="0" borderId="0" xfId="0" applyFont="1" applyFill="1"/>
    <xf numFmtId="44" fontId="2" fillId="0" borderId="0" xfId="0" applyNumberFormat="1" applyFont="1"/>
    <xf numFmtId="49" fontId="3" fillId="4" borderId="2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0" borderId="0" xfId="0" applyFont="1" applyFill="1" applyBorder="1"/>
    <xf numFmtId="0" fontId="8" fillId="0" borderId="0" xfId="0" applyFont="1" applyBorder="1"/>
    <xf numFmtId="44" fontId="2" fillId="0" borderId="0" xfId="1" applyFont="1" applyFill="1" applyBorder="1"/>
    <xf numFmtId="0" fontId="2" fillId="0" borderId="0" xfId="0" applyFont="1" applyFill="1" applyBorder="1" applyAlignment="1">
      <alignment wrapText="1"/>
    </xf>
    <xf numFmtId="0" fontId="0" fillId="0" borderId="0" xfId="0" applyFill="1" applyBorder="1"/>
    <xf numFmtId="49" fontId="4" fillId="2" borderId="2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4" borderId="8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3" fontId="2" fillId="7" borderId="1" xfId="0" applyNumberFormat="1" applyFont="1" applyFill="1" applyBorder="1" applyAlignment="1">
      <alignment horizontal="left"/>
    </xf>
    <xf numFmtId="10" fontId="2" fillId="7" borderId="1" xfId="4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7" borderId="10" xfId="0" applyFont="1" applyFill="1" applyBorder="1" applyAlignment="1">
      <alignment horizontal="left"/>
    </xf>
    <xf numFmtId="0" fontId="3" fillId="7" borderId="11" xfId="0" applyFont="1" applyFill="1" applyBorder="1" applyAlignment="1">
      <alignment horizontal="left"/>
    </xf>
    <xf numFmtId="3" fontId="3" fillId="7" borderId="11" xfId="0" applyNumberFormat="1" applyFont="1" applyFill="1" applyBorder="1" applyAlignment="1">
      <alignment horizontal="left"/>
    </xf>
    <xf numFmtId="0" fontId="3" fillId="7" borderId="3" xfId="0" applyFont="1" applyFill="1" applyBorder="1" applyAlignment="1">
      <alignment horizontal="left"/>
    </xf>
    <xf numFmtId="0" fontId="3" fillId="7" borderId="4" xfId="0" applyFont="1" applyFill="1" applyBorder="1" applyAlignment="1">
      <alignment horizontal="left"/>
    </xf>
    <xf numFmtId="0" fontId="4" fillId="0" borderId="2" xfId="0" quotePrefix="1" applyNumberFormat="1" applyFont="1" applyBorder="1" applyAlignment="1">
      <alignment horizontal="left" vertical="center" wrapText="1"/>
    </xf>
    <xf numFmtId="0" fontId="6" fillId="4" borderId="2" xfId="0" applyNumberFormat="1" applyFont="1" applyFill="1" applyBorder="1" applyAlignment="1">
      <alignment horizontal="left" vertical="center" wrapText="1"/>
    </xf>
    <xf numFmtId="0" fontId="6" fillId="4" borderId="2" xfId="0" quotePrefix="1" applyNumberFormat="1" applyFont="1" applyFill="1" applyBorder="1" applyAlignment="1">
      <alignment horizontal="left" vertical="center" wrapText="1"/>
    </xf>
    <xf numFmtId="0" fontId="3" fillId="4" borderId="2" xfId="0" applyNumberFormat="1" applyFont="1" applyFill="1" applyBorder="1" applyAlignment="1">
      <alignment horizontal="left"/>
    </xf>
    <xf numFmtId="164" fontId="2" fillId="0" borderId="0" xfId="5" applyNumberFormat="1" applyFont="1" applyFill="1" applyBorder="1" applyAlignment="1">
      <alignment horizontal="left"/>
    </xf>
    <xf numFmtId="164" fontId="2" fillId="0" borderId="0" xfId="5" applyNumberFormat="1" applyFont="1" applyFill="1" applyBorder="1"/>
    <xf numFmtId="164" fontId="3" fillId="0" borderId="0" xfId="5" applyNumberFormat="1" applyFont="1" applyFill="1" applyBorder="1" applyAlignment="1">
      <alignment horizontal="center" wrapText="1"/>
    </xf>
    <xf numFmtId="164" fontId="5" fillId="0" borderId="0" xfId="5" applyNumberFormat="1" applyFont="1" applyFill="1" applyBorder="1"/>
    <xf numFmtId="164" fontId="2" fillId="0" borderId="0" xfId="5" applyNumberFormat="1" applyFont="1" applyBorder="1"/>
    <xf numFmtId="164" fontId="2" fillId="0" borderId="0" xfId="5" applyNumberFormat="1" applyFont="1"/>
    <xf numFmtId="0" fontId="4" fillId="4" borderId="7" xfId="0" quotePrefix="1" applyNumberFormat="1" applyFont="1" applyFill="1" applyBorder="1" applyAlignment="1">
      <alignment horizontal="left" vertical="center" wrapText="1"/>
    </xf>
    <xf numFmtId="0" fontId="3" fillId="0" borderId="8" xfId="0" applyFont="1" applyBorder="1" applyAlignment="1">
      <alignment horizontal="left" wrapText="1"/>
    </xf>
    <xf numFmtId="164" fontId="2" fillId="0" borderId="1" xfId="5" applyNumberFormat="1" applyFont="1" applyFill="1" applyBorder="1" applyAlignment="1">
      <alignment horizontal="left"/>
    </xf>
    <xf numFmtId="164" fontId="2" fillId="6" borderId="1" xfId="5" applyNumberFormat="1" applyFont="1" applyFill="1" applyBorder="1" applyAlignment="1">
      <alignment horizontal="left"/>
    </xf>
    <xf numFmtId="164" fontId="3" fillId="4" borderId="1" xfId="5" applyNumberFormat="1" applyFont="1" applyFill="1" applyBorder="1" applyAlignment="1">
      <alignment horizontal="center"/>
    </xf>
    <xf numFmtId="164" fontId="0" fillId="0" borderId="1" xfId="5" applyNumberFormat="1" applyFont="1" applyFill="1" applyBorder="1" applyAlignment="1">
      <alignment horizontal="left"/>
    </xf>
    <xf numFmtId="164" fontId="2" fillId="4" borderId="1" xfId="5" applyNumberFormat="1" applyFont="1" applyFill="1" applyBorder="1" applyAlignment="1">
      <alignment horizontal="left"/>
    </xf>
    <xf numFmtId="164" fontId="3" fillId="4" borderId="1" xfId="5" applyNumberFormat="1" applyFont="1" applyFill="1" applyBorder="1" applyAlignment="1">
      <alignment horizontal="left"/>
    </xf>
    <xf numFmtId="164" fontId="3" fillId="5" borderId="1" xfId="5" applyNumberFormat="1" applyFont="1" applyFill="1" applyBorder="1" applyAlignment="1">
      <alignment horizontal="left"/>
    </xf>
    <xf numFmtId="164" fontId="8" fillId="6" borderId="1" xfId="5" applyNumberFormat="1" applyFont="1" applyFill="1" applyBorder="1" applyAlignment="1">
      <alignment horizontal="left"/>
    </xf>
    <xf numFmtId="164" fontId="0" fillId="8" borderId="1" xfId="5" applyNumberFormat="1" applyFont="1" applyFill="1" applyBorder="1" applyAlignment="1">
      <alignment horizontal="left"/>
    </xf>
    <xf numFmtId="164" fontId="3" fillId="0" borderId="0" xfId="5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164" fontId="3" fillId="0" borderId="0" xfId="5" applyNumberFormat="1" applyFont="1" applyFill="1" applyBorder="1" applyAlignment="1">
      <alignment horizontal="left"/>
    </xf>
    <xf numFmtId="10" fontId="2" fillId="0" borderId="0" xfId="4" applyNumberFormat="1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 wrapText="1"/>
    </xf>
    <xf numFmtId="0" fontId="2" fillId="8" borderId="1" xfId="0" applyFont="1" applyFill="1" applyBorder="1" applyAlignment="1">
      <alignment horizontal="left"/>
    </xf>
    <xf numFmtId="164" fontId="2" fillId="8" borderId="1" xfId="5" applyNumberFormat="1" applyFont="1" applyFill="1" applyBorder="1" applyAlignment="1">
      <alignment horizontal="left"/>
    </xf>
    <xf numFmtId="164" fontId="2" fillId="9" borderId="1" xfId="5" applyNumberFormat="1" applyFont="1" applyFill="1" applyBorder="1" applyAlignment="1">
      <alignment horizontal="left"/>
    </xf>
    <xf numFmtId="164" fontId="3" fillId="4" borderId="14" xfId="5" applyNumberFormat="1" applyFont="1" applyFill="1" applyBorder="1" applyAlignment="1">
      <alignment horizontal="center" wrapText="1"/>
    </xf>
    <xf numFmtId="164" fontId="3" fillId="4" borderId="15" xfId="5" applyNumberFormat="1" applyFont="1" applyFill="1" applyBorder="1" applyAlignment="1">
      <alignment horizontal="center" wrapText="1"/>
    </xf>
    <xf numFmtId="164" fontId="3" fillId="4" borderId="12" xfId="5" applyNumberFormat="1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4" fillId="0" borderId="12" xfId="0" applyFont="1" applyFill="1" applyBorder="1" applyAlignment="1"/>
    <xf numFmtId="0" fontId="6" fillId="0" borderId="7" xfId="0" applyNumberFormat="1" applyFont="1" applyBorder="1" applyAlignment="1">
      <alignment horizontal="left" vertical="center" wrapText="1"/>
    </xf>
    <xf numFmtId="0" fontId="14" fillId="0" borderId="0" xfId="0" applyFont="1" applyFill="1" applyBorder="1"/>
    <xf numFmtId="0" fontId="14" fillId="0" borderId="0" xfId="0" applyFont="1" applyFill="1" applyBorder="1" applyAlignment="1">
      <alignment wrapText="1"/>
    </xf>
    <xf numFmtId="164" fontId="11" fillId="3" borderId="0" xfId="5" applyNumberFormat="1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 vertical="top"/>
    </xf>
    <xf numFmtId="0" fontId="13" fillId="4" borderId="1" xfId="0" applyFont="1" applyFill="1" applyBorder="1" applyAlignment="1">
      <alignment horizontal="center" vertical="top" wrapText="1"/>
    </xf>
    <xf numFmtId="0" fontId="13" fillId="10" borderId="2" xfId="0" applyFont="1" applyFill="1" applyBorder="1" applyAlignment="1">
      <alignment horizontal="left" vertical="top"/>
    </xf>
    <xf numFmtId="0" fontId="13" fillId="4" borderId="1" xfId="0" applyFont="1" applyFill="1" applyBorder="1" applyAlignment="1">
      <alignment horizontal="left" vertical="top"/>
    </xf>
    <xf numFmtId="0" fontId="14" fillId="0" borderId="2" xfId="0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/>
    </xf>
    <xf numFmtId="3" fontId="14" fillId="0" borderId="1" xfId="0" applyNumberFormat="1" applyFont="1" applyFill="1" applyBorder="1" applyAlignment="1">
      <alignment horizontal="left" vertical="top"/>
    </xf>
    <xf numFmtId="0" fontId="14" fillId="0" borderId="1" xfId="0" applyFont="1" applyFill="1" applyBorder="1" applyAlignment="1">
      <alignment horizontal="left" vertical="top"/>
    </xf>
    <xf numFmtId="0" fontId="14" fillId="2" borderId="1" xfId="0" applyFont="1" applyFill="1" applyBorder="1" applyAlignment="1">
      <alignment horizontal="left" vertical="top"/>
    </xf>
    <xf numFmtId="0" fontId="15" fillId="0" borderId="1" xfId="0" applyFont="1" applyFill="1" applyBorder="1" applyAlignment="1">
      <alignment horizontal="left" vertical="top"/>
    </xf>
    <xf numFmtId="0" fontId="10" fillId="0" borderId="1" xfId="0" applyFont="1" applyFill="1" applyBorder="1" applyAlignment="1">
      <alignment horizontal="left" vertical="top"/>
    </xf>
    <xf numFmtId="0" fontId="14" fillId="11" borderId="2" xfId="0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4" fillId="2" borderId="1" xfId="0" applyFont="1" applyFill="1" applyBorder="1" applyAlignment="1">
      <alignment horizontal="left" vertical="top" wrapText="1"/>
    </xf>
    <xf numFmtId="0" fontId="13" fillId="10" borderId="2" xfId="0" applyFont="1" applyFill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4" fillId="0" borderId="0" xfId="0" applyFont="1" applyFill="1" applyBorder="1" applyAlignment="1">
      <alignment horizontal="left" vertical="top"/>
    </xf>
    <xf numFmtId="0" fontId="13" fillId="0" borderId="7" xfId="0" applyFont="1" applyBorder="1" applyAlignment="1">
      <alignment horizontal="left" vertical="top" wrapText="1"/>
    </xf>
    <xf numFmtId="0" fontId="13" fillId="0" borderId="8" xfId="0" applyFont="1" applyBorder="1" applyAlignment="1">
      <alignment horizontal="left" vertical="top" wrapText="1"/>
    </xf>
    <xf numFmtId="3" fontId="14" fillId="0" borderId="8" xfId="0" applyNumberFormat="1" applyFont="1" applyFill="1" applyBorder="1" applyAlignment="1">
      <alignment horizontal="left" vertical="top"/>
    </xf>
    <xf numFmtId="0" fontId="14" fillId="0" borderId="8" xfId="0" applyFont="1" applyFill="1" applyBorder="1" applyAlignment="1">
      <alignment horizontal="left" vertical="top"/>
    </xf>
    <xf numFmtId="0" fontId="14" fillId="10" borderId="7" xfId="0" applyFont="1" applyFill="1" applyBorder="1" applyAlignment="1">
      <alignment horizontal="left" vertical="top" wrapText="1"/>
    </xf>
    <xf numFmtId="0" fontId="14" fillId="4" borderId="8" xfId="0" applyFont="1" applyFill="1" applyBorder="1" applyAlignment="1">
      <alignment horizontal="left" vertical="top"/>
    </xf>
    <xf numFmtId="3" fontId="14" fillId="4" borderId="8" xfId="0" applyNumberFormat="1" applyFont="1" applyFill="1" applyBorder="1" applyAlignment="1">
      <alignment horizontal="left" vertical="top"/>
    </xf>
    <xf numFmtId="0" fontId="14" fillId="4" borderId="8" xfId="0" applyFont="1" applyFill="1" applyBorder="1" applyAlignment="1">
      <alignment horizontal="left" vertical="top" wrapText="1"/>
    </xf>
    <xf numFmtId="0" fontId="13" fillId="9" borderId="1" xfId="0" applyFont="1" applyFill="1" applyBorder="1" applyAlignment="1">
      <alignment horizontal="center" vertical="top"/>
    </xf>
    <xf numFmtId="3" fontId="15" fillId="0" borderId="1" xfId="0" applyNumberFormat="1" applyFont="1" applyFill="1" applyBorder="1" applyAlignment="1">
      <alignment horizontal="left" vertical="top"/>
    </xf>
    <xf numFmtId="3" fontId="10" fillId="0" borderId="1" xfId="0" applyNumberFormat="1" applyFont="1" applyFill="1" applyBorder="1" applyAlignment="1">
      <alignment horizontal="left" vertical="top"/>
    </xf>
    <xf numFmtId="3" fontId="14" fillId="0" borderId="0" xfId="0" applyNumberFormat="1" applyFont="1" applyFill="1" applyBorder="1" applyAlignment="1">
      <alignment horizontal="left" vertical="top"/>
    </xf>
    <xf numFmtId="0" fontId="13" fillId="4" borderId="9" xfId="0" applyFont="1" applyFill="1" applyBorder="1" applyAlignment="1">
      <alignment horizontal="left" vertical="top"/>
    </xf>
    <xf numFmtId="164" fontId="11" fillId="3" borderId="0" xfId="5" applyNumberFormat="1" applyFont="1" applyFill="1" applyBorder="1" applyAlignment="1">
      <alignment horizontal="center"/>
    </xf>
    <xf numFmtId="0" fontId="0" fillId="6" borderId="0" xfId="0" applyFill="1" applyAlignment="1">
      <alignment horizontal="left"/>
    </xf>
    <xf numFmtId="0" fontId="12" fillId="0" borderId="16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8" borderId="0" xfId="0" applyFill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</cellXfs>
  <cellStyles count="6">
    <cellStyle name="Comma" xfId="5" builtinId="3"/>
    <cellStyle name="Comma 8" xfId="3" xr:uid="{59295426-0B9E-43F7-BA9B-60E4EF2E0B71}"/>
    <cellStyle name="Currency" xfId="1" builtinId="4"/>
    <cellStyle name="Normal" xfId="0" builtinId="0"/>
    <cellStyle name="Normal 122" xfId="2" xr:uid="{386913FD-C6AB-49F2-8DB1-D295BE2CA2B8}"/>
    <cellStyle name="Percent" xfId="4" builtinId="5"/>
  </cellStyles>
  <dxfs count="0"/>
  <tableStyles count="0" defaultTableStyle="TableStyleMedium2" defaultPivotStyle="PivotStyleLight16"/>
  <colors>
    <mruColors>
      <color rgb="FFD9D9D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D586A-EBAC-4FFA-B5C7-0DCD8364F9CF}">
  <dimension ref="A1:K75"/>
  <sheetViews>
    <sheetView topLeftCell="A33" workbookViewId="0">
      <selection activeCell="A46" sqref="A46"/>
    </sheetView>
  </sheetViews>
  <sheetFormatPr defaultRowHeight="14.4" x14ac:dyDescent="0.3"/>
  <cols>
    <col min="1" max="1" width="8.5546875" style="1" customWidth="1"/>
    <col min="2" max="2" width="51.44140625" style="1" customWidth="1"/>
    <col min="3" max="5" width="10.5546875" style="39" bestFit="1" customWidth="1"/>
    <col min="6" max="6" width="9" style="39" bestFit="1" customWidth="1"/>
    <col min="7" max="7" width="19.5546875" style="39" bestFit="1" customWidth="1"/>
    <col min="11" max="11" width="12.44140625" customWidth="1"/>
  </cols>
  <sheetData>
    <row r="1" spans="1:11" ht="21" x14ac:dyDescent="0.4">
      <c r="A1" s="101" t="s">
        <v>0</v>
      </c>
      <c r="B1" s="102"/>
      <c r="C1" s="99" t="s">
        <v>1</v>
      </c>
      <c r="D1" s="99"/>
      <c r="E1" s="99"/>
      <c r="F1" s="99"/>
      <c r="G1" s="99"/>
    </row>
    <row r="2" spans="1:11" ht="21" x14ac:dyDescent="0.4">
      <c r="A2" s="103"/>
      <c r="B2" s="104"/>
      <c r="C2" s="68" t="s">
        <v>2</v>
      </c>
      <c r="D2" s="68" t="s">
        <v>3</v>
      </c>
      <c r="E2" s="68" t="s">
        <v>4</v>
      </c>
      <c r="F2" s="68" t="s">
        <v>5</v>
      </c>
      <c r="G2" s="68" t="s">
        <v>6</v>
      </c>
    </row>
    <row r="3" spans="1:11" x14ac:dyDescent="0.3">
      <c r="A3" s="6" t="s">
        <v>7</v>
      </c>
      <c r="B3" s="7" t="s">
        <v>8</v>
      </c>
      <c r="C3" s="60"/>
      <c r="D3" s="61"/>
      <c r="E3" s="61"/>
      <c r="F3" s="61"/>
      <c r="G3" s="62"/>
      <c r="J3" s="100" t="s">
        <v>9</v>
      </c>
      <c r="K3" s="100"/>
    </row>
    <row r="4" spans="1:11" x14ac:dyDescent="0.3">
      <c r="A4" s="18" t="s">
        <v>10</v>
      </c>
      <c r="B4" s="19" t="s">
        <v>11</v>
      </c>
      <c r="C4" s="44"/>
      <c r="D4" s="44"/>
      <c r="E4" s="44"/>
      <c r="F4" s="44"/>
      <c r="G4" s="59">
        <f t="shared" ref="G4:G57" si="0">(C4+D4+E4+F4)/4</f>
        <v>0</v>
      </c>
      <c r="J4" s="105" t="s">
        <v>12</v>
      </c>
      <c r="K4" s="105"/>
    </row>
    <row r="5" spans="1:11" x14ac:dyDescent="0.3">
      <c r="A5" s="13" t="s">
        <v>13</v>
      </c>
      <c r="B5" s="2" t="s">
        <v>14</v>
      </c>
      <c r="C5" s="42">
        <v>1387436</v>
      </c>
      <c r="D5" s="42">
        <v>1448995</v>
      </c>
      <c r="E5" s="42">
        <v>975351</v>
      </c>
      <c r="F5" s="42">
        <v>174546</v>
      </c>
      <c r="G5" s="42">
        <f t="shared" si="0"/>
        <v>996582</v>
      </c>
    </row>
    <row r="6" spans="1:11" x14ac:dyDescent="0.3">
      <c r="A6" s="18" t="s">
        <v>15</v>
      </c>
      <c r="B6" s="19" t="s">
        <v>16</v>
      </c>
      <c r="C6" s="44"/>
      <c r="D6" s="44"/>
      <c r="E6" s="44"/>
      <c r="F6" s="44"/>
      <c r="G6" s="59">
        <f t="shared" si="0"/>
        <v>0</v>
      </c>
    </row>
    <row r="7" spans="1:11" x14ac:dyDescent="0.3">
      <c r="A7" s="13" t="s">
        <v>17</v>
      </c>
      <c r="B7" s="2" t="s">
        <v>18</v>
      </c>
      <c r="C7" s="42">
        <v>50292</v>
      </c>
      <c r="D7" s="42">
        <v>55765</v>
      </c>
      <c r="E7" s="42">
        <v>31476</v>
      </c>
      <c r="F7" s="42">
        <v>5645</v>
      </c>
      <c r="G7" s="42">
        <f t="shared" si="0"/>
        <v>35794.5</v>
      </c>
    </row>
    <row r="8" spans="1:11" x14ac:dyDescent="0.3">
      <c r="A8" s="13" t="s">
        <v>19</v>
      </c>
      <c r="B8" s="64" t="s">
        <v>20</v>
      </c>
      <c r="C8" s="42"/>
      <c r="D8" s="42"/>
      <c r="E8" s="42"/>
      <c r="F8" s="42"/>
      <c r="G8" s="42"/>
    </row>
    <row r="9" spans="1:11" x14ac:dyDescent="0.3">
      <c r="A9" s="13" t="s">
        <v>21</v>
      </c>
      <c r="B9" s="2" t="s">
        <v>22</v>
      </c>
      <c r="C9" s="42">
        <v>1369206</v>
      </c>
      <c r="D9" s="42">
        <v>1697053</v>
      </c>
      <c r="E9" s="42">
        <v>1677768</v>
      </c>
      <c r="F9" s="42">
        <v>153259</v>
      </c>
      <c r="G9" s="42">
        <f t="shared" si="0"/>
        <v>1224321.5</v>
      </c>
    </row>
    <row r="10" spans="1:11" x14ac:dyDescent="0.3">
      <c r="A10" s="13" t="s">
        <v>23</v>
      </c>
      <c r="B10" s="55" t="s">
        <v>24</v>
      </c>
      <c r="C10" s="49"/>
      <c r="D10" s="49"/>
      <c r="E10" s="49"/>
      <c r="F10" s="49"/>
      <c r="G10" s="43">
        <f t="shared" si="0"/>
        <v>0</v>
      </c>
    </row>
    <row r="11" spans="1:11" x14ac:dyDescent="0.3">
      <c r="A11" s="13" t="s">
        <v>25</v>
      </c>
      <c r="B11" s="15" t="s">
        <v>26</v>
      </c>
      <c r="C11" s="45"/>
      <c r="D11" s="45">
        <v>10225</v>
      </c>
      <c r="E11" s="45">
        <v>17079</v>
      </c>
      <c r="F11" s="45">
        <v>12870</v>
      </c>
      <c r="G11" s="42">
        <f t="shared" si="0"/>
        <v>10043.5</v>
      </c>
    </row>
    <row r="12" spans="1:11" x14ac:dyDescent="0.3">
      <c r="A12" s="13" t="s">
        <v>27</v>
      </c>
      <c r="B12" s="15" t="s">
        <v>28</v>
      </c>
      <c r="C12" s="45"/>
      <c r="D12" s="45">
        <v>0</v>
      </c>
      <c r="E12" s="45">
        <v>2577</v>
      </c>
      <c r="F12" s="45">
        <v>0</v>
      </c>
      <c r="G12" s="42">
        <f t="shared" si="0"/>
        <v>644.25</v>
      </c>
    </row>
    <row r="13" spans="1:11" x14ac:dyDescent="0.3">
      <c r="A13" s="33">
        <v>3</v>
      </c>
      <c r="B13" s="19" t="s">
        <v>29</v>
      </c>
      <c r="C13" s="44"/>
      <c r="D13" s="44"/>
      <c r="E13" s="44"/>
      <c r="F13" s="44"/>
      <c r="G13" s="59">
        <f t="shared" si="0"/>
        <v>0</v>
      </c>
    </row>
    <row r="14" spans="1:11" x14ac:dyDescent="0.3">
      <c r="A14" s="13" t="s">
        <v>30</v>
      </c>
      <c r="B14" s="14" t="s">
        <v>31</v>
      </c>
      <c r="C14" s="42">
        <v>102116</v>
      </c>
      <c r="D14" s="42">
        <v>189411</v>
      </c>
      <c r="E14" s="42">
        <v>391813</v>
      </c>
      <c r="F14" s="42">
        <v>377349</v>
      </c>
      <c r="G14" s="42">
        <f t="shared" si="0"/>
        <v>265172.25</v>
      </c>
    </row>
    <row r="15" spans="1:11" x14ac:dyDescent="0.3">
      <c r="A15" s="13" t="s">
        <v>32</v>
      </c>
      <c r="B15" s="14" t="s">
        <v>33</v>
      </c>
      <c r="C15" s="42">
        <v>21313</v>
      </c>
      <c r="D15" s="42">
        <v>24908</v>
      </c>
      <c r="E15" s="42">
        <v>26377</v>
      </c>
      <c r="F15" s="42">
        <v>20736</v>
      </c>
      <c r="G15" s="42">
        <f t="shared" si="0"/>
        <v>23333.5</v>
      </c>
    </row>
    <row r="16" spans="1:11" x14ac:dyDescent="0.3">
      <c r="A16" s="13" t="s">
        <v>34</v>
      </c>
      <c r="B16" s="14" t="s">
        <v>35</v>
      </c>
      <c r="C16" s="42">
        <v>11582</v>
      </c>
      <c r="D16" s="42">
        <v>12522</v>
      </c>
      <c r="E16" s="42">
        <v>12116</v>
      </c>
      <c r="F16" s="42">
        <v>10767</v>
      </c>
      <c r="G16" s="42">
        <f t="shared" si="0"/>
        <v>11746.75</v>
      </c>
    </row>
    <row r="17" spans="1:7" x14ac:dyDescent="0.3">
      <c r="A17" s="13" t="s">
        <v>36</v>
      </c>
      <c r="B17" s="14" t="s">
        <v>37</v>
      </c>
      <c r="C17" s="42">
        <v>6478</v>
      </c>
      <c r="D17" s="42">
        <v>7406</v>
      </c>
      <c r="E17" s="42">
        <v>8283</v>
      </c>
      <c r="F17" s="42">
        <v>8252</v>
      </c>
      <c r="G17" s="42">
        <f t="shared" si="0"/>
        <v>7604.75</v>
      </c>
    </row>
    <row r="18" spans="1:7" x14ac:dyDescent="0.3">
      <c r="A18" s="13" t="s">
        <v>38</v>
      </c>
      <c r="B18" s="14" t="s">
        <v>39</v>
      </c>
      <c r="C18" s="42">
        <v>969</v>
      </c>
      <c r="D18" s="42">
        <v>1078</v>
      </c>
      <c r="E18" s="42">
        <v>979</v>
      </c>
      <c r="F18" s="42"/>
      <c r="G18" s="42">
        <f t="shared" si="0"/>
        <v>756.5</v>
      </c>
    </row>
    <row r="19" spans="1:7" x14ac:dyDescent="0.3">
      <c r="A19" s="33">
        <v>5</v>
      </c>
      <c r="B19" s="19" t="s">
        <v>40</v>
      </c>
      <c r="C19" s="44"/>
      <c r="D19" s="44"/>
      <c r="E19" s="44"/>
      <c r="F19" s="44"/>
      <c r="G19" s="59">
        <f t="shared" si="0"/>
        <v>0</v>
      </c>
    </row>
    <row r="20" spans="1:7" x14ac:dyDescent="0.3">
      <c r="A20" s="13" t="s">
        <v>41</v>
      </c>
      <c r="B20" s="2" t="s">
        <v>42</v>
      </c>
      <c r="C20" s="42">
        <v>16000</v>
      </c>
      <c r="D20" s="42">
        <v>4989</v>
      </c>
      <c r="E20" s="42">
        <v>4155</v>
      </c>
      <c r="F20" s="42">
        <v>3643</v>
      </c>
      <c r="G20" s="42">
        <f t="shared" si="0"/>
        <v>7196.75</v>
      </c>
    </row>
    <row r="21" spans="1:7" x14ac:dyDescent="0.3">
      <c r="A21" s="13" t="s">
        <v>43</v>
      </c>
      <c r="B21" s="2" t="s">
        <v>44</v>
      </c>
      <c r="C21" s="42">
        <v>2000</v>
      </c>
      <c r="D21" s="42">
        <v>959</v>
      </c>
      <c r="E21" s="42">
        <v>359</v>
      </c>
      <c r="F21" s="42">
        <v>36</v>
      </c>
      <c r="G21" s="42">
        <f t="shared" si="0"/>
        <v>838.5</v>
      </c>
    </row>
    <row r="22" spans="1:7" x14ac:dyDescent="0.3">
      <c r="A22" s="13" t="s">
        <v>45</v>
      </c>
      <c r="B22" s="55" t="s">
        <v>46</v>
      </c>
      <c r="C22" s="43"/>
      <c r="D22" s="43"/>
      <c r="E22" s="43"/>
      <c r="F22" s="43"/>
      <c r="G22" s="43">
        <f t="shared" si="0"/>
        <v>0</v>
      </c>
    </row>
    <row r="23" spans="1:7" x14ac:dyDescent="0.3">
      <c r="A23" s="33">
        <v>6</v>
      </c>
      <c r="B23" s="19" t="s">
        <v>47</v>
      </c>
      <c r="C23" s="44"/>
      <c r="D23" s="44"/>
      <c r="E23" s="44"/>
      <c r="F23" s="44"/>
      <c r="G23" s="59">
        <f t="shared" si="0"/>
        <v>0</v>
      </c>
    </row>
    <row r="24" spans="1:7" x14ac:dyDescent="0.3">
      <c r="A24" s="13" t="s">
        <v>48</v>
      </c>
      <c r="B24" s="14" t="s">
        <v>49</v>
      </c>
      <c r="C24" s="42">
        <v>64786</v>
      </c>
      <c r="D24" s="42">
        <v>149736</v>
      </c>
      <c r="E24" s="42">
        <v>348818</v>
      </c>
      <c r="F24" s="42">
        <v>333977</v>
      </c>
      <c r="G24" s="42">
        <f t="shared" si="0"/>
        <v>224329.25</v>
      </c>
    </row>
    <row r="25" spans="1:7" x14ac:dyDescent="0.3">
      <c r="A25" s="13" t="s">
        <v>50</v>
      </c>
      <c r="B25" s="14" t="s">
        <v>51</v>
      </c>
      <c r="C25" s="42">
        <v>562</v>
      </c>
      <c r="D25" s="42">
        <v>646</v>
      </c>
      <c r="E25" s="42">
        <v>604</v>
      </c>
      <c r="F25" s="42">
        <v>571</v>
      </c>
      <c r="G25" s="42">
        <f t="shared" si="0"/>
        <v>595.75</v>
      </c>
    </row>
    <row r="26" spans="1:7" x14ac:dyDescent="0.3">
      <c r="A26" s="13" t="s">
        <v>52</v>
      </c>
      <c r="B26" s="2" t="s">
        <v>53</v>
      </c>
      <c r="C26" s="42">
        <v>6886</v>
      </c>
      <c r="D26" s="42">
        <v>7926</v>
      </c>
      <c r="E26" s="42">
        <v>7407</v>
      </c>
      <c r="F26" s="42">
        <v>5467</v>
      </c>
      <c r="G26" s="42">
        <f t="shared" si="0"/>
        <v>6921.5</v>
      </c>
    </row>
    <row r="27" spans="1:7" x14ac:dyDescent="0.3">
      <c r="A27" s="33">
        <v>7</v>
      </c>
      <c r="B27" s="19" t="s">
        <v>54</v>
      </c>
      <c r="C27" s="44"/>
      <c r="D27" s="44"/>
      <c r="E27" s="44"/>
      <c r="F27" s="44"/>
      <c r="G27" s="59">
        <f t="shared" si="0"/>
        <v>0</v>
      </c>
    </row>
    <row r="28" spans="1:7" x14ac:dyDescent="0.3">
      <c r="A28" s="13" t="s">
        <v>55</v>
      </c>
      <c r="B28" s="57" t="s">
        <v>56</v>
      </c>
      <c r="C28" s="58">
        <v>295549</v>
      </c>
      <c r="D28" s="58">
        <v>363394</v>
      </c>
      <c r="E28" s="58">
        <v>373007</v>
      </c>
      <c r="F28" s="58">
        <v>328784</v>
      </c>
      <c r="G28" s="58">
        <f t="shared" si="0"/>
        <v>340183.5</v>
      </c>
    </row>
    <row r="29" spans="1:7" x14ac:dyDescent="0.3">
      <c r="A29" s="13" t="s">
        <v>57</v>
      </c>
      <c r="B29" s="57" t="s">
        <v>58</v>
      </c>
      <c r="C29" s="50"/>
      <c r="D29" s="50"/>
      <c r="E29" s="50"/>
      <c r="F29" s="50"/>
      <c r="G29" s="58">
        <f t="shared" si="0"/>
        <v>0</v>
      </c>
    </row>
    <row r="30" spans="1:7" x14ac:dyDescent="0.3">
      <c r="A30" s="13" t="s">
        <v>59</v>
      </c>
      <c r="B30" s="2" t="s">
        <v>60</v>
      </c>
      <c r="C30" s="42">
        <v>68000</v>
      </c>
      <c r="D30" s="42">
        <v>51662</v>
      </c>
      <c r="E30" s="42">
        <v>58418</v>
      </c>
      <c r="F30" s="42">
        <v>51785</v>
      </c>
      <c r="G30" s="42">
        <f t="shared" si="0"/>
        <v>57466.25</v>
      </c>
    </row>
    <row r="31" spans="1:7" x14ac:dyDescent="0.3">
      <c r="A31" s="13" t="s">
        <v>61</v>
      </c>
      <c r="B31" s="2" t="s">
        <v>62</v>
      </c>
      <c r="C31" s="42">
        <v>2119</v>
      </c>
      <c r="D31" s="42">
        <v>3704</v>
      </c>
      <c r="E31" s="42">
        <v>6100</v>
      </c>
      <c r="F31" s="42">
        <v>5295</v>
      </c>
      <c r="G31" s="42">
        <f t="shared" si="0"/>
        <v>4304.5</v>
      </c>
    </row>
    <row r="32" spans="1:7" x14ac:dyDescent="0.3">
      <c r="A32" s="13" t="s">
        <v>63</v>
      </c>
      <c r="B32" s="2" t="s">
        <v>64</v>
      </c>
      <c r="C32" s="42">
        <v>135</v>
      </c>
      <c r="D32" s="42">
        <v>150</v>
      </c>
      <c r="E32" s="42">
        <v>281</v>
      </c>
      <c r="F32" s="42">
        <v>184</v>
      </c>
      <c r="G32" s="42">
        <f t="shared" si="0"/>
        <v>187.5</v>
      </c>
    </row>
    <row r="33" spans="1:7" x14ac:dyDescent="0.3">
      <c r="A33" s="13" t="s">
        <v>65</v>
      </c>
      <c r="B33" s="2" t="s">
        <v>66</v>
      </c>
      <c r="C33" s="42">
        <v>124391</v>
      </c>
      <c r="D33" s="42">
        <v>148663</v>
      </c>
      <c r="E33" s="42">
        <v>144886</v>
      </c>
      <c r="F33" s="42">
        <v>146343</v>
      </c>
      <c r="G33" s="42">
        <f t="shared" si="0"/>
        <v>141070.75</v>
      </c>
    </row>
    <row r="34" spans="1:7" x14ac:dyDescent="0.3">
      <c r="A34" s="33">
        <v>8</v>
      </c>
      <c r="B34" s="19" t="s">
        <v>67</v>
      </c>
      <c r="C34" s="44"/>
      <c r="D34" s="44"/>
      <c r="E34" s="44"/>
      <c r="F34" s="44"/>
      <c r="G34" s="59">
        <f t="shared" si="0"/>
        <v>0</v>
      </c>
    </row>
    <row r="35" spans="1:7" x14ac:dyDescent="0.3">
      <c r="A35" s="13" t="s">
        <v>68</v>
      </c>
      <c r="B35" s="2" t="s">
        <v>69</v>
      </c>
      <c r="C35" s="42">
        <v>19065</v>
      </c>
      <c r="D35" s="42">
        <v>21973</v>
      </c>
      <c r="E35" s="42">
        <v>29285</v>
      </c>
      <c r="F35" s="42">
        <v>36000</v>
      </c>
      <c r="G35" s="42">
        <f t="shared" si="0"/>
        <v>26580.75</v>
      </c>
    </row>
    <row r="36" spans="1:7" x14ac:dyDescent="0.3">
      <c r="A36" s="13" t="s">
        <v>70</v>
      </c>
      <c r="B36" s="2" t="s">
        <v>71</v>
      </c>
      <c r="C36" s="42">
        <v>122173</v>
      </c>
      <c r="D36" s="42">
        <v>144864</v>
      </c>
      <c r="E36" s="42">
        <v>160268</v>
      </c>
      <c r="F36" s="42">
        <v>132219</v>
      </c>
      <c r="G36" s="42">
        <f t="shared" si="0"/>
        <v>139881</v>
      </c>
    </row>
    <row r="37" spans="1:7" x14ac:dyDescent="0.3">
      <c r="A37" s="13" t="s">
        <v>72</v>
      </c>
      <c r="B37" s="2" t="s">
        <v>73</v>
      </c>
      <c r="C37" s="42">
        <v>4221</v>
      </c>
      <c r="D37" s="42">
        <v>5808</v>
      </c>
      <c r="E37" s="42">
        <v>7386</v>
      </c>
      <c r="F37" s="42">
        <v>8186</v>
      </c>
      <c r="G37" s="42">
        <f t="shared" si="0"/>
        <v>6400.25</v>
      </c>
    </row>
    <row r="38" spans="1:7" x14ac:dyDescent="0.3">
      <c r="A38" s="13" t="s">
        <v>74</v>
      </c>
      <c r="B38" s="2" t="s">
        <v>75</v>
      </c>
      <c r="C38" s="42">
        <v>72255</v>
      </c>
      <c r="D38" s="42">
        <v>80753</v>
      </c>
      <c r="E38" s="42">
        <v>83132</v>
      </c>
      <c r="F38" s="42">
        <v>70987</v>
      </c>
      <c r="G38" s="42">
        <f t="shared" si="0"/>
        <v>76781.75</v>
      </c>
    </row>
    <row r="39" spans="1:7" x14ac:dyDescent="0.3">
      <c r="A39" s="13" t="s">
        <v>76</v>
      </c>
      <c r="B39" s="2" t="s">
        <v>77</v>
      </c>
      <c r="C39" s="42">
        <v>144025</v>
      </c>
      <c r="D39" s="42">
        <v>169009</v>
      </c>
      <c r="E39" s="42">
        <v>200558</v>
      </c>
      <c r="F39" s="42">
        <v>175470</v>
      </c>
      <c r="G39" s="42">
        <f t="shared" si="0"/>
        <v>172265.5</v>
      </c>
    </row>
    <row r="40" spans="1:7" x14ac:dyDescent="0.3">
      <c r="A40" s="13" t="s">
        <v>78</v>
      </c>
      <c r="B40" s="2" t="s">
        <v>79</v>
      </c>
      <c r="C40" s="42">
        <v>418238</v>
      </c>
      <c r="D40" s="42">
        <v>590910</v>
      </c>
      <c r="E40" s="42">
        <v>594892</v>
      </c>
      <c r="F40" s="42">
        <v>480903</v>
      </c>
      <c r="G40" s="42">
        <f t="shared" si="0"/>
        <v>521235.75</v>
      </c>
    </row>
    <row r="41" spans="1:7" x14ac:dyDescent="0.3">
      <c r="A41" s="13" t="s">
        <v>80</v>
      </c>
      <c r="B41" s="2" t="s">
        <v>81</v>
      </c>
      <c r="C41" s="42">
        <v>293</v>
      </c>
      <c r="D41" s="42">
        <v>316</v>
      </c>
      <c r="E41" s="42">
        <v>316</v>
      </c>
      <c r="F41" s="42">
        <v>261</v>
      </c>
      <c r="G41" s="42">
        <f t="shared" si="0"/>
        <v>296.5</v>
      </c>
    </row>
    <row r="42" spans="1:7" x14ac:dyDescent="0.3">
      <c r="A42" s="13" t="s">
        <v>82</v>
      </c>
      <c r="B42" s="2" t="s">
        <v>83</v>
      </c>
      <c r="C42" s="42">
        <v>1985</v>
      </c>
      <c r="D42" s="42">
        <v>32445</v>
      </c>
      <c r="E42" s="42">
        <v>43689</v>
      </c>
      <c r="F42" s="42">
        <v>30206</v>
      </c>
      <c r="G42" s="42">
        <f t="shared" si="0"/>
        <v>27081.25</v>
      </c>
    </row>
    <row r="43" spans="1:7" x14ac:dyDescent="0.3">
      <c r="A43" s="33">
        <v>9</v>
      </c>
      <c r="B43" s="19" t="s">
        <v>84</v>
      </c>
      <c r="C43" s="44"/>
      <c r="D43" s="44"/>
      <c r="E43" s="44"/>
      <c r="F43" s="44"/>
      <c r="G43" s="59">
        <f t="shared" si="0"/>
        <v>0</v>
      </c>
    </row>
    <row r="44" spans="1:7" x14ac:dyDescent="0.3">
      <c r="A44" s="13" t="s">
        <v>85</v>
      </c>
      <c r="B44" s="2" t="s">
        <v>86</v>
      </c>
      <c r="C44" s="42">
        <v>100860</v>
      </c>
      <c r="D44" s="42">
        <v>125437</v>
      </c>
      <c r="E44" s="42">
        <v>139136</v>
      </c>
      <c r="F44" s="42">
        <v>86451</v>
      </c>
      <c r="G44" s="42">
        <f t="shared" si="0"/>
        <v>112971</v>
      </c>
    </row>
    <row r="45" spans="1:7" ht="28.8" x14ac:dyDescent="0.3">
      <c r="A45" s="13" t="s">
        <v>87</v>
      </c>
      <c r="B45" s="56" t="s">
        <v>88</v>
      </c>
      <c r="C45" s="43"/>
      <c r="D45" s="43"/>
      <c r="E45" s="43"/>
      <c r="F45" s="43"/>
      <c r="G45" s="43">
        <f t="shared" si="0"/>
        <v>0</v>
      </c>
    </row>
    <row r="46" spans="1:7" x14ac:dyDescent="0.3">
      <c r="A46" s="13"/>
      <c r="B46" s="56"/>
      <c r="C46" s="43"/>
      <c r="D46" s="43"/>
      <c r="E46" s="43"/>
      <c r="F46" s="43"/>
      <c r="G46" s="43"/>
    </row>
    <row r="47" spans="1:7" x14ac:dyDescent="0.3">
      <c r="A47" s="13" t="s">
        <v>89</v>
      </c>
      <c r="B47" s="2" t="s">
        <v>90</v>
      </c>
      <c r="C47" s="42">
        <v>124673</v>
      </c>
      <c r="D47" s="42">
        <v>145393</v>
      </c>
      <c r="E47" s="42">
        <v>169741</v>
      </c>
      <c r="F47" s="42">
        <v>128785</v>
      </c>
      <c r="G47" s="42">
        <f t="shared" si="0"/>
        <v>142148</v>
      </c>
    </row>
    <row r="48" spans="1:7" x14ac:dyDescent="0.3">
      <c r="A48" s="33">
        <v>10</v>
      </c>
      <c r="B48" s="7" t="s">
        <v>91</v>
      </c>
      <c r="C48" s="44"/>
      <c r="D48" s="44"/>
      <c r="E48" s="44"/>
      <c r="F48" s="44"/>
      <c r="G48" s="59">
        <f t="shared" si="0"/>
        <v>0</v>
      </c>
    </row>
    <row r="49" spans="1:7" x14ac:dyDescent="0.3">
      <c r="A49" s="13" t="s">
        <v>92</v>
      </c>
      <c r="B49" s="2" t="s">
        <v>93</v>
      </c>
      <c r="C49" s="42">
        <v>49535</v>
      </c>
      <c r="D49" s="42">
        <v>56827</v>
      </c>
      <c r="E49" s="42">
        <v>55021</v>
      </c>
      <c r="F49" s="42">
        <v>46048</v>
      </c>
      <c r="G49" s="42">
        <f t="shared" si="0"/>
        <v>51857.75</v>
      </c>
    </row>
    <row r="50" spans="1:7" x14ac:dyDescent="0.3">
      <c r="A50" s="13" t="s">
        <v>94</v>
      </c>
      <c r="B50" s="2" t="s">
        <v>95</v>
      </c>
      <c r="C50" s="42">
        <v>86578</v>
      </c>
      <c r="D50" s="42">
        <v>101803</v>
      </c>
      <c r="E50" s="42">
        <v>102358</v>
      </c>
      <c r="F50" s="42">
        <v>81381</v>
      </c>
      <c r="G50" s="42">
        <f t="shared" si="0"/>
        <v>93030</v>
      </c>
    </row>
    <row r="51" spans="1:7" x14ac:dyDescent="0.3">
      <c r="A51" s="13" t="s">
        <v>96</v>
      </c>
      <c r="B51" s="55" t="s">
        <v>97</v>
      </c>
      <c r="C51" s="43"/>
      <c r="D51" s="43"/>
      <c r="E51" s="43"/>
      <c r="F51" s="43"/>
      <c r="G51" s="43">
        <f t="shared" si="0"/>
        <v>0</v>
      </c>
    </row>
    <row r="52" spans="1:7" x14ac:dyDescent="0.3">
      <c r="A52" s="13" t="s">
        <v>98</v>
      </c>
      <c r="B52" s="55" t="s">
        <v>99</v>
      </c>
      <c r="C52" s="43"/>
      <c r="D52" s="43"/>
      <c r="E52" s="43"/>
      <c r="F52" s="43"/>
      <c r="G52" s="43">
        <f t="shared" si="0"/>
        <v>0</v>
      </c>
    </row>
    <row r="53" spans="1:7" x14ac:dyDescent="0.3">
      <c r="A53" s="13" t="s">
        <v>100</v>
      </c>
      <c r="B53" s="55" t="s">
        <v>101</v>
      </c>
      <c r="C53" s="43"/>
      <c r="D53" s="43"/>
      <c r="E53" s="43"/>
      <c r="F53" s="43"/>
      <c r="G53" s="43"/>
    </row>
    <row r="54" spans="1:7" x14ac:dyDescent="0.3">
      <c r="A54" s="31">
        <v>12</v>
      </c>
      <c r="B54" s="19" t="s">
        <v>102</v>
      </c>
      <c r="C54" s="46"/>
      <c r="D54" s="46"/>
      <c r="E54" s="46"/>
      <c r="F54" s="46"/>
      <c r="G54" s="59">
        <f t="shared" si="0"/>
        <v>0</v>
      </c>
    </row>
    <row r="55" spans="1:7" x14ac:dyDescent="0.3">
      <c r="A55" s="30" t="s">
        <v>103</v>
      </c>
      <c r="B55" s="2" t="s">
        <v>102</v>
      </c>
      <c r="C55" s="42">
        <v>12</v>
      </c>
      <c r="D55" s="42">
        <v>11.1</v>
      </c>
      <c r="E55" s="42">
        <v>12</v>
      </c>
      <c r="F55" s="42">
        <v>10.5</v>
      </c>
      <c r="G55" s="42">
        <f t="shared" si="0"/>
        <v>11.4</v>
      </c>
    </row>
    <row r="56" spans="1:7" x14ac:dyDescent="0.3">
      <c r="A56" s="32">
        <v>13</v>
      </c>
      <c r="B56" s="19" t="s">
        <v>104</v>
      </c>
      <c r="C56" s="47"/>
      <c r="D56" s="47"/>
      <c r="E56" s="47"/>
      <c r="F56" s="47"/>
      <c r="G56" s="59">
        <f t="shared" si="0"/>
        <v>0</v>
      </c>
    </row>
    <row r="57" spans="1:7" x14ac:dyDescent="0.3">
      <c r="A57" s="30" t="s">
        <v>105</v>
      </c>
      <c r="B57" s="2" t="s">
        <v>104</v>
      </c>
      <c r="C57" s="42">
        <v>12</v>
      </c>
      <c r="D57" s="42">
        <v>11.1</v>
      </c>
      <c r="E57" s="42">
        <v>12</v>
      </c>
      <c r="F57" s="42">
        <v>10.5</v>
      </c>
      <c r="G57" s="42">
        <f t="shared" si="0"/>
        <v>11.4</v>
      </c>
    </row>
    <row r="58" spans="1:7" x14ac:dyDescent="0.3">
      <c r="A58" s="65">
        <v>14</v>
      </c>
      <c r="B58" s="41" t="s">
        <v>106</v>
      </c>
      <c r="C58" s="42"/>
      <c r="D58" s="42"/>
      <c r="E58" s="42"/>
      <c r="F58" s="42"/>
      <c r="G58" s="42"/>
    </row>
    <row r="59" spans="1:7" x14ac:dyDescent="0.3">
      <c r="A59" s="40" t="s">
        <v>107</v>
      </c>
      <c r="B59" s="16" t="s">
        <v>106</v>
      </c>
      <c r="C59" s="46"/>
      <c r="D59" s="46"/>
      <c r="E59" s="46"/>
      <c r="F59" s="46"/>
      <c r="G59" s="46"/>
    </row>
    <row r="60" spans="1:7" x14ac:dyDescent="0.3">
      <c r="A60" s="23"/>
      <c r="B60" s="24" t="s">
        <v>108</v>
      </c>
      <c r="C60" s="48"/>
      <c r="D60" s="48"/>
      <c r="E60" s="48"/>
      <c r="F60" s="48"/>
      <c r="G60" s="48"/>
    </row>
    <row r="61" spans="1:7" x14ac:dyDescent="0.3">
      <c r="A61" s="8"/>
      <c r="B61" s="8"/>
      <c r="C61" s="35"/>
      <c r="D61" s="35"/>
      <c r="E61" s="35"/>
      <c r="F61" s="35"/>
      <c r="G61" s="35"/>
    </row>
    <row r="62" spans="1:7" x14ac:dyDescent="0.3">
      <c r="A62" s="8"/>
      <c r="B62" s="11"/>
      <c r="C62" s="35"/>
      <c r="D62" s="35"/>
      <c r="E62" s="35"/>
      <c r="F62" s="35"/>
      <c r="G62" s="35"/>
    </row>
    <row r="63" spans="1:7" x14ac:dyDescent="0.3">
      <c r="A63" s="12"/>
      <c r="B63" s="12"/>
      <c r="C63" s="51"/>
      <c r="D63" s="51"/>
      <c r="E63" s="51"/>
      <c r="F63" s="51"/>
      <c r="G63" s="51"/>
    </row>
    <row r="64" spans="1:7" x14ac:dyDescent="0.3">
      <c r="A64" s="52"/>
      <c r="B64" s="52"/>
      <c r="C64" s="53"/>
      <c r="D64" s="53"/>
      <c r="E64" s="53"/>
      <c r="F64" s="53"/>
      <c r="G64" s="53"/>
    </row>
    <row r="65" spans="1:7" x14ac:dyDescent="0.3">
      <c r="A65" s="17"/>
      <c r="B65" s="17"/>
      <c r="C65" s="34"/>
      <c r="D65" s="34"/>
      <c r="E65" s="34"/>
      <c r="F65" s="34"/>
      <c r="G65" s="34"/>
    </row>
    <row r="66" spans="1:7" x14ac:dyDescent="0.3">
      <c r="A66" s="54"/>
      <c r="B66" s="17"/>
      <c r="C66" s="34"/>
      <c r="D66" s="34"/>
      <c r="E66" s="34"/>
      <c r="F66" s="34"/>
      <c r="G66" s="34"/>
    </row>
    <row r="67" spans="1:7" x14ac:dyDescent="0.3">
      <c r="A67" s="52"/>
      <c r="B67" s="52"/>
      <c r="C67" s="53"/>
      <c r="D67" s="53"/>
      <c r="E67" s="53"/>
      <c r="F67" s="53"/>
      <c r="G67" s="53"/>
    </row>
    <row r="68" spans="1:7" x14ac:dyDescent="0.3">
      <c r="A68" s="10"/>
      <c r="B68" s="10"/>
      <c r="C68" s="36"/>
      <c r="D68" s="36"/>
      <c r="E68" s="36"/>
      <c r="F68" s="36"/>
      <c r="G68" s="36"/>
    </row>
    <row r="69" spans="1:7" ht="15.6" x14ac:dyDescent="0.3">
      <c r="A69" s="10"/>
      <c r="B69" s="10"/>
      <c r="C69" s="37"/>
      <c r="D69" s="37"/>
      <c r="E69" s="37"/>
      <c r="F69" s="37"/>
      <c r="G69" s="37"/>
    </row>
    <row r="70" spans="1:7" ht="15.6" x14ac:dyDescent="0.3">
      <c r="A70" s="10"/>
      <c r="B70" s="10"/>
      <c r="C70" s="37"/>
      <c r="D70" s="37"/>
      <c r="E70" s="37"/>
      <c r="F70" s="37"/>
      <c r="G70" s="37"/>
    </row>
    <row r="71" spans="1:7" ht="15.6" x14ac:dyDescent="0.3">
      <c r="A71" s="10"/>
      <c r="B71" s="10"/>
      <c r="C71" s="37"/>
      <c r="D71" s="37"/>
      <c r="E71" s="37"/>
      <c r="F71" s="37"/>
      <c r="G71" s="37"/>
    </row>
    <row r="72" spans="1:7" ht="15.6" x14ac:dyDescent="0.3">
      <c r="A72" s="10"/>
      <c r="B72" s="10"/>
      <c r="C72" s="37"/>
      <c r="D72" s="37"/>
      <c r="E72" s="37"/>
      <c r="F72" s="37"/>
      <c r="G72" s="37"/>
    </row>
    <row r="73" spans="1:7" ht="15.6" x14ac:dyDescent="0.3">
      <c r="A73" s="10"/>
      <c r="B73" s="10"/>
      <c r="C73" s="37"/>
      <c r="D73" s="37"/>
      <c r="E73" s="37"/>
      <c r="F73" s="37"/>
      <c r="G73" s="37"/>
    </row>
    <row r="74" spans="1:7" x14ac:dyDescent="0.3">
      <c r="A74" s="10"/>
      <c r="B74" s="10"/>
      <c r="C74" s="35"/>
      <c r="D74" s="35"/>
      <c r="E74" s="35"/>
      <c r="F74" s="35"/>
      <c r="G74" s="35"/>
    </row>
    <row r="75" spans="1:7" x14ac:dyDescent="0.3">
      <c r="A75" s="10"/>
      <c r="B75" s="10"/>
      <c r="C75" s="38"/>
      <c r="D75" s="38"/>
      <c r="E75" s="38"/>
      <c r="F75" s="38"/>
      <c r="G75" s="38"/>
    </row>
  </sheetData>
  <mergeCells count="4">
    <mergeCell ref="C1:G1"/>
    <mergeCell ref="J3:K3"/>
    <mergeCell ref="A1:B2"/>
    <mergeCell ref="J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70"/>
  <sheetViews>
    <sheetView tabSelected="1" zoomScale="130" zoomScaleNormal="130" workbookViewId="0">
      <selection activeCell="B57" sqref="B57"/>
    </sheetView>
  </sheetViews>
  <sheetFormatPr defaultColWidth="9.109375" defaultRowHeight="14.4" x14ac:dyDescent="0.3"/>
  <cols>
    <col min="1" max="1" width="27.88671875" style="1" customWidth="1"/>
    <col min="2" max="2" width="43.5546875" style="1" customWidth="1"/>
    <col min="3" max="3" width="18" style="1" bestFit="1" customWidth="1"/>
    <col min="4" max="4" width="24.33203125" style="1" bestFit="1" customWidth="1"/>
    <col min="5" max="5" width="28.33203125" style="1" customWidth="1"/>
    <col min="6" max="6" width="15.88671875" style="1" customWidth="1"/>
    <col min="7" max="29" width="9.109375" style="1" customWidth="1"/>
    <col min="30" max="30" width="9.109375" style="1"/>
    <col min="31" max="31" width="11.5546875" style="1" bestFit="1" customWidth="1"/>
    <col min="32" max="16384" width="9.109375" style="1"/>
  </cols>
  <sheetData>
    <row r="1" spans="1:5" ht="15.6" x14ac:dyDescent="0.3">
      <c r="A1" s="69" t="s">
        <v>109</v>
      </c>
      <c r="B1" s="69" t="s">
        <v>8</v>
      </c>
      <c r="C1" s="70" t="s">
        <v>110</v>
      </c>
      <c r="D1" s="69" t="s">
        <v>111</v>
      </c>
    </row>
    <row r="2" spans="1:5" ht="15.6" x14ac:dyDescent="0.3">
      <c r="A2" s="71">
        <v>1</v>
      </c>
      <c r="B2" s="69" t="s">
        <v>11</v>
      </c>
      <c r="C2" s="69"/>
      <c r="D2" s="69"/>
    </row>
    <row r="3" spans="1:5" ht="15.6" x14ac:dyDescent="0.3">
      <c r="A3" s="73" t="s">
        <v>13</v>
      </c>
      <c r="B3" s="74" t="s">
        <v>14</v>
      </c>
      <c r="C3" s="75">
        <v>16000</v>
      </c>
      <c r="D3" s="76" t="s">
        <v>112</v>
      </c>
    </row>
    <row r="4" spans="1:5" ht="15.6" x14ac:dyDescent="0.3">
      <c r="A4" s="71">
        <v>2</v>
      </c>
      <c r="B4" s="69" t="s">
        <v>113</v>
      </c>
      <c r="C4" s="94"/>
      <c r="D4" s="69"/>
    </row>
    <row r="5" spans="1:5" ht="15.6" x14ac:dyDescent="0.3">
      <c r="A5" s="73" t="s">
        <v>17</v>
      </c>
      <c r="B5" s="74" t="s">
        <v>114</v>
      </c>
      <c r="C5" s="75">
        <v>70000</v>
      </c>
      <c r="D5" s="76" t="s">
        <v>115</v>
      </c>
    </row>
    <row r="6" spans="1:5" ht="38.25" customHeight="1" x14ac:dyDescent="0.3">
      <c r="A6" s="73" t="s">
        <v>116</v>
      </c>
      <c r="B6" s="74" t="s">
        <v>20</v>
      </c>
      <c r="C6" s="75">
        <f>220000</f>
        <v>220000</v>
      </c>
      <c r="D6" s="76" t="s">
        <v>115</v>
      </c>
    </row>
    <row r="7" spans="1:5" ht="23.25" customHeight="1" x14ac:dyDescent="0.3">
      <c r="A7" s="73" t="s">
        <v>23</v>
      </c>
      <c r="B7" s="74" t="s">
        <v>117</v>
      </c>
      <c r="C7" s="75">
        <f>2200000</f>
        <v>2200000</v>
      </c>
      <c r="D7" s="76" t="s">
        <v>115</v>
      </c>
      <c r="E7" s="9"/>
    </row>
    <row r="8" spans="1:5" ht="21.75" customHeight="1" x14ac:dyDescent="0.3">
      <c r="A8" s="73" t="s">
        <v>118</v>
      </c>
      <c r="B8" s="77" t="s">
        <v>24</v>
      </c>
      <c r="C8" s="95">
        <f>2200000*2%</f>
        <v>44000</v>
      </c>
      <c r="D8" s="78" t="s">
        <v>115</v>
      </c>
    </row>
    <row r="9" spans="1:5" ht="15.6" x14ac:dyDescent="0.3">
      <c r="A9" s="73" t="s">
        <v>119</v>
      </c>
      <c r="B9" s="77" t="s">
        <v>26</v>
      </c>
      <c r="C9" s="96">
        <f>50000</f>
        <v>50000</v>
      </c>
      <c r="D9" s="79" t="s">
        <v>115</v>
      </c>
    </row>
    <row r="10" spans="1:5" ht="15.6" x14ac:dyDescent="0.3">
      <c r="A10" s="73" t="s">
        <v>120</v>
      </c>
      <c r="B10" s="77" t="s">
        <v>28</v>
      </c>
      <c r="C10" s="96">
        <f>32649</f>
        <v>32649</v>
      </c>
      <c r="D10" s="79" t="s">
        <v>115</v>
      </c>
    </row>
    <row r="11" spans="1:5" ht="15.6" x14ac:dyDescent="0.3">
      <c r="A11" s="71">
        <v>3</v>
      </c>
      <c r="B11" s="69" t="s">
        <v>29</v>
      </c>
      <c r="C11" s="94"/>
      <c r="D11" s="69"/>
    </row>
    <row r="12" spans="1:5" ht="15.6" x14ac:dyDescent="0.3">
      <c r="A12" s="80" t="s">
        <v>30</v>
      </c>
      <c r="B12" s="76" t="s">
        <v>31</v>
      </c>
      <c r="C12" s="75">
        <f>470000</f>
        <v>470000</v>
      </c>
      <c r="D12" s="76" t="s">
        <v>121</v>
      </c>
    </row>
    <row r="13" spans="1:5" ht="15.6" x14ac:dyDescent="0.3">
      <c r="A13" s="80" t="s">
        <v>32</v>
      </c>
      <c r="B13" s="76" t="s">
        <v>33</v>
      </c>
      <c r="C13" s="75">
        <f>35000</f>
        <v>35000</v>
      </c>
      <c r="D13" s="76" t="s">
        <v>121</v>
      </c>
    </row>
    <row r="14" spans="1:5" ht="15.6" x14ac:dyDescent="0.3">
      <c r="A14" s="80" t="s">
        <v>34</v>
      </c>
      <c r="B14" s="76" t="s">
        <v>35</v>
      </c>
      <c r="C14" s="75">
        <f>27000</f>
        <v>27000</v>
      </c>
      <c r="D14" s="76" t="s">
        <v>122</v>
      </c>
    </row>
    <row r="15" spans="1:5" ht="15.6" x14ac:dyDescent="0.3">
      <c r="A15" s="80" t="s">
        <v>36</v>
      </c>
      <c r="B15" s="76" t="s">
        <v>37</v>
      </c>
      <c r="C15" s="75">
        <f>12000</f>
        <v>12000</v>
      </c>
      <c r="D15" s="76" t="s">
        <v>123</v>
      </c>
    </row>
    <row r="16" spans="1:5" ht="15.6" x14ac:dyDescent="0.3">
      <c r="A16" s="80" t="s">
        <v>38</v>
      </c>
      <c r="B16" s="76" t="s">
        <v>39</v>
      </c>
      <c r="C16" s="75">
        <f>1700</f>
        <v>1700</v>
      </c>
      <c r="D16" s="76" t="s">
        <v>115</v>
      </c>
    </row>
    <row r="17" spans="1:12" ht="14.25" customHeight="1" x14ac:dyDescent="0.3">
      <c r="A17" s="71">
        <v>4</v>
      </c>
      <c r="B17" s="69" t="s">
        <v>40</v>
      </c>
      <c r="C17" s="94"/>
      <c r="D17" s="69"/>
    </row>
    <row r="18" spans="1:12" ht="15.6" x14ac:dyDescent="0.3">
      <c r="A18" s="80" t="s">
        <v>124</v>
      </c>
      <c r="B18" s="74" t="s">
        <v>42</v>
      </c>
      <c r="C18" s="75">
        <f>10000</f>
        <v>10000</v>
      </c>
      <c r="D18" s="76" t="s">
        <v>125</v>
      </c>
    </row>
    <row r="19" spans="1:12" ht="15.6" x14ac:dyDescent="0.3">
      <c r="A19" s="80" t="s">
        <v>126</v>
      </c>
      <c r="B19" s="74" t="s">
        <v>44</v>
      </c>
      <c r="C19" s="75">
        <f>2000</f>
        <v>2000</v>
      </c>
      <c r="D19" s="76" t="s">
        <v>125</v>
      </c>
    </row>
    <row r="20" spans="1:12" ht="15.6" x14ac:dyDescent="0.3">
      <c r="A20" s="80" t="s">
        <v>127</v>
      </c>
      <c r="B20" s="74" t="s">
        <v>46</v>
      </c>
      <c r="C20" s="75">
        <v>107</v>
      </c>
      <c r="D20" s="76" t="s">
        <v>115</v>
      </c>
    </row>
    <row r="21" spans="1:12" ht="15.6" x14ac:dyDescent="0.3">
      <c r="A21" s="71">
        <v>5</v>
      </c>
      <c r="B21" s="69" t="s">
        <v>47</v>
      </c>
      <c r="C21" s="94"/>
      <c r="D21" s="69"/>
    </row>
    <row r="22" spans="1:12" ht="15.6" x14ac:dyDescent="0.3">
      <c r="A22" s="80" t="s">
        <v>41</v>
      </c>
      <c r="B22" s="76" t="s">
        <v>49</v>
      </c>
      <c r="C22" s="75">
        <f>450000</f>
        <v>450000</v>
      </c>
      <c r="D22" s="76" t="s">
        <v>115</v>
      </c>
    </row>
    <row r="23" spans="1:12" ht="15.6" x14ac:dyDescent="0.3">
      <c r="A23" s="80" t="s">
        <v>43</v>
      </c>
      <c r="B23" s="76" t="s">
        <v>51</v>
      </c>
      <c r="C23" s="75">
        <f>1450</f>
        <v>1450</v>
      </c>
      <c r="D23" s="76" t="s">
        <v>115</v>
      </c>
    </row>
    <row r="24" spans="1:12" ht="15.6" x14ac:dyDescent="0.3">
      <c r="A24" s="80" t="s">
        <v>45</v>
      </c>
      <c r="B24" s="74" t="s">
        <v>53</v>
      </c>
      <c r="C24" s="75">
        <f>10000</f>
        <v>10000</v>
      </c>
      <c r="D24" s="76" t="s">
        <v>115</v>
      </c>
      <c r="L24" s="3"/>
    </row>
    <row r="25" spans="1:12" ht="15.6" x14ac:dyDescent="0.3">
      <c r="A25" s="71">
        <v>6</v>
      </c>
      <c r="B25" s="69" t="s">
        <v>128</v>
      </c>
      <c r="C25" s="94"/>
      <c r="D25" s="69"/>
    </row>
    <row r="26" spans="1:12" ht="15.6" x14ac:dyDescent="0.3">
      <c r="A26" s="80" t="s">
        <v>48</v>
      </c>
      <c r="B26" s="74" t="s">
        <v>129</v>
      </c>
      <c r="C26" s="75">
        <f>400000</f>
        <v>400000</v>
      </c>
      <c r="D26" s="76" t="s">
        <v>130</v>
      </c>
    </row>
    <row r="27" spans="1:12" ht="15.6" x14ac:dyDescent="0.3">
      <c r="A27" s="80" t="s">
        <v>50</v>
      </c>
      <c r="B27" s="74" t="s">
        <v>131</v>
      </c>
      <c r="C27" s="96">
        <f>50000</f>
        <v>50000</v>
      </c>
      <c r="D27" s="79" t="s">
        <v>130</v>
      </c>
    </row>
    <row r="28" spans="1:12" ht="15.6" x14ac:dyDescent="0.3">
      <c r="A28" s="80" t="s">
        <v>52</v>
      </c>
      <c r="B28" s="74" t="s">
        <v>132</v>
      </c>
      <c r="C28" s="75">
        <f>73000</f>
        <v>73000</v>
      </c>
      <c r="D28" s="76" t="s">
        <v>130</v>
      </c>
    </row>
    <row r="29" spans="1:12" ht="15.6" x14ac:dyDescent="0.3">
      <c r="A29" s="80" t="s">
        <v>133</v>
      </c>
      <c r="B29" s="74" t="s">
        <v>134</v>
      </c>
      <c r="C29" s="75">
        <f>8000</f>
        <v>8000</v>
      </c>
      <c r="D29" s="76" t="s">
        <v>130</v>
      </c>
    </row>
    <row r="30" spans="1:12" ht="15.6" x14ac:dyDescent="0.3">
      <c r="A30" s="80" t="s">
        <v>135</v>
      </c>
      <c r="B30" s="74" t="s">
        <v>136</v>
      </c>
      <c r="C30" s="75">
        <f>1000</f>
        <v>1000</v>
      </c>
      <c r="D30" s="76" t="s">
        <v>130</v>
      </c>
    </row>
    <row r="31" spans="1:12" ht="15.6" x14ac:dyDescent="0.3">
      <c r="A31" s="80" t="s">
        <v>137</v>
      </c>
      <c r="B31" s="74" t="s">
        <v>138</v>
      </c>
      <c r="C31" s="75">
        <f>192599</f>
        <v>192599</v>
      </c>
      <c r="D31" s="76" t="s">
        <v>130</v>
      </c>
    </row>
    <row r="32" spans="1:12" ht="15.6" x14ac:dyDescent="0.3">
      <c r="A32" s="71">
        <v>7</v>
      </c>
      <c r="B32" s="69" t="s">
        <v>139</v>
      </c>
      <c r="C32" s="94"/>
      <c r="D32" s="69"/>
    </row>
    <row r="33" spans="1:5" ht="15.6" x14ac:dyDescent="0.3">
      <c r="A33" s="80" t="s">
        <v>55</v>
      </c>
      <c r="B33" s="74" t="s">
        <v>69</v>
      </c>
      <c r="C33" s="75">
        <f>36751</f>
        <v>36751</v>
      </c>
      <c r="D33" s="76" t="s">
        <v>115</v>
      </c>
    </row>
    <row r="34" spans="1:5" ht="15.6" x14ac:dyDescent="0.3">
      <c r="A34" s="80" t="s">
        <v>57</v>
      </c>
      <c r="B34" s="74" t="s">
        <v>71</v>
      </c>
      <c r="C34" s="75">
        <f>200000</f>
        <v>200000</v>
      </c>
      <c r="D34" s="76" t="s">
        <v>115</v>
      </c>
    </row>
    <row r="35" spans="1:5" ht="15.6" x14ac:dyDescent="0.3">
      <c r="A35" s="80" t="s">
        <v>59</v>
      </c>
      <c r="B35" s="74" t="s">
        <v>73</v>
      </c>
      <c r="C35" s="75">
        <f>12000</f>
        <v>12000</v>
      </c>
      <c r="D35" s="76" t="s">
        <v>115</v>
      </c>
    </row>
    <row r="36" spans="1:5" ht="15.6" x14ac:dyDescent="0.3">
      <c r="A36" s="80" t="s">
        <v>61</v>
      </c>
      <c r="B36" s="74" t="s">
        <v>75</v>
      </c>
      <c r="C36" s="75">
        <v>117972</v>
      </c>
      <c r="D36" s="76" t="s">
        <v>115</v>
      </c>
    </row>
    <row r="37" spans="1:5" ht="15.6" x14ac:dyDescent="0.3">
      <c r="A37" s="80" t="s">
        <v>63</v>
      </c>
      <c r="B37" s="74" t="s">
        <v>77</v>
      </c>
      <c r="C37" s="75">
        <f>275000</f>
        <v>275000</v>
      </c>
      <c r="D37" s="76" t="s">
        <v>115</v>
      </c>
    </row>
    <row r="38" spans="1:5" ht="15.6" x14ac:dyDescent="0.3">
      <c r="A38" s="80" t="s">
        <v>65</v>
      </c>
      <c r="B38" s="74" t="s">
        <v>79</v>
      </c>
      <c r="C38" s="75">
        <f>670000</f>
        <v>670000</v>
      </c>
      <c r="D38" s="76" t="s">
        <v>115</v>
      </c>
    </row>
    <row r="39" spans="1:5" ht="31.2" x14ac:dyDescent="0.3">
      <c r="A39" s="80" t="s">
        <v>140</v>
      </c>
      <c r="B39" s="81" t="s">
        <v>81</v>
      </c>
      <c r="C39" s="75">
        <f>1000</f>
        <v>1000</v>
      </c>
      <c r="D39" s="76" t="s">
        <v>115</v>
      </c>
      <c r="E39" s="63"/>
    </row>
    <row r="40" spans="1:5" ht="15.6" x14ac:dyDescent="0.3">
      <c r="A40" s="80" t="s">
        <v>141</v>
      </c>
      <c r="B40" s="74" t="s">
        <v>83</v>
      </c>
      <c r="C40" s="75">
        <f>50000</f>
        <v>50000</v>
      </c>
      <c r="D40" s="76" t="s">
        <v>115</v>
      </c>
      <c r="E40" s="63"/>
    </row>
    <row r="41" spans="1:5" ht="15.6" x14ac:dyDescent="0.3">
      <c r="A41" s="71">
        <v>8</v>
      </c>
      <c r="B41" s="69" t="s">
        <v>84</v>
      </c>
      <c r="C41" s="94"/>
      <c r="D41" s="69"/>
    </row>
    <row r="42" spans="1:5" ht="15.6" x14ac:dyDescent="0.3">
      <c r="A42" s="80" t="s">
        <v>68</v>
      </c>
      <c r="B42" s="74" t="s">
        <v>86</v>
      </c>
      <c r="C42" s="75">
        <f>150000</f>
        <v>150000</v>
      </c>
      <c r="D42" s="76" t="s">
        <v>130</v>
      </c>
      <c r="E42" s="63"/>
    </row>
    <row r="43" spans="1:5" ht="15.6" x14ac:dyDescent="0.3">
      <c r="A43" s="80" t="s">
        <v>70</v>
      </c>
      <c r="B43" s="82" t="s">
        <v>142</v>
      </c>
      <c r="C43" s="75">
        <f>11000</f>
        <v>11000</v>
      </c>
      <c r="D43" s="76" t="s">
        <v>130</v>
      </c>
    </row>
    <row r="44" spans="1:5" ht="15.6" x14ac:dyDescent="0.3">
      <c r="A44" s="80" t="s">
        <v>72</v>
      </c>
      <c r="B44" s="82" t="s">
        <v>143</v>
      </c>
      <c r="C44" s="75">
        <v>11000</v>
      </c>
      <c r="D44" s="76" t="s">
        <v>130</v>
      </c>
    </row>
    <row r="45" spans="1:5" ht="15.6" x14ac:dyDescent="0.3">
      <c r="A45" s="80" t="s">
        <v>74</v>
      </c>
      <c r="B45" s="74" t="s">
        <v>90</v>
      </c>
      <c r="C45" s="75">
        <f>205000</f>
        <v>205000</v>
      </c>
      <c r="D45" s="76" t="s">
        <v>130</v>
      </c>
      <c r="E45" s="63"/>
    </row>
    <row r="46" spans="1:5" ht="15.6" x14ac:dyDescent="0.3">
      <c r="A46" s="71">
        <v>9</v>
      </c>
      <c r="B46" s="69" t="s">
        <v>91</v>
      </c>
      <c r="C46" s="94"/>
      <c r="D46" s="69"/>
    </row>
    <row r="47" spans="1:5" ht="15.6" x14ac:dyDescent="0.3">
      <c r="A47" s="80" t="s">
        <v>85</v>
      </c>
      <c r="B47" s="74" t="s">
        <v>93</v>
      </c>
      <c r="C47" s="75">
        <f>75000</f>
        <v>75000</v>
      </c>
      <c r="D47" s="76" t="s">
        <v>144</v>
      </c>
      <c r="E47" s="63"/>
    </row>
    <row r="48" spans="1:5" ht="15.6" x14ac:dyDescent="0.3">
      <c r="A48" s="80" t="s">
        <v>87</v>
      </c>
      <c r="B48" s="74" t="s">
        <v>95</v>
      </c>
      <c r="C48" s="75">
        <f>140000</f>
        <v>140000</v>
      </c>
      <c r="D48" s="76" t="s">
        <v>130</v>
      </c>
      <c r="E48" s="63"/>
    </row>
    <row r="49" spans="1:9" ht="22.5" customHeight="1" x14ac:dyDescent="0.3">
      <c r="A49" s="80" t="s">
        <v>89</v>
      </c>
      <c r="B49" s="74" t="s">
        <v>97</v>
      </c>
      <c r="C49" s="75">
        <v>50000</v>
      </c>
      <c r="D49" s="76" t="s">
        <v>130</v>
      </c>
      <c r="E49" s="63"/>
    </row>
    <row r="50" spans="1:9" ht="15.6" x14ac:dyDescent="0.3">
      <c r="A50" s="80" t="s">
        <v>145</v>
      </c>
      <c r="B50" s="74" t="s">
        <v>99</v>
      </c>
      <c r="C50" s="75">
        <v>1250</v>
      </c>
      <c r="D50" s="76" t="s">
        <v>130</v>
      </c>
    </row>
    <row r="51" spans="1:9" ht="15.6" x14ac:dyDescent="0.3">
      <c r="A51" s="80" t="s">
        <v>146</v>
      </c>
      <c r="B51" s="74" t="s">
        <v>101</v>
      </c>
      <c r="C51" s="97">
        <f>64*12</f>
        <v>768</v>
      </c>
      <c r="D51" s="76" t="s">
        <v>144</v>
      </c>
    </row>
    <row r="52" spans="1:9" ht="15.6" x14ac:dyDescent="0.3">
      <c r="A52" s="83">
        <v>10</v>
      </c>
      <c r="B52" s="72" t="s">
        <v>104</v>
      </c>
      <c r="C52" s="98"/>
      <c r="D52" s="72"/>
    </row>
    <row r="53" spans="1:9" ht="15.6" x14ac:dyDescent="0.3">
      <c r="A53" s="84" t="s">
        <v>147</v>
      </c>
      <c r="B53" s="74" t="s">
        <v>104</v>
      </c>
      <c r="C53" s="85">
        <v>12</v>
      </c>
      <c r="D53" s="76" t="s">
        <v>154</v>
      </c>
    </row>
    <row r="54" spans="1:9" ht="15.6" x14ac:dyDescent="0.3">
      <c r="A54" s="86">
        <v>11</v>
      </c>
      <c r="B54" s="87" t="s">
        <v>106</v>
      </c>
      <c r="C54" s="88"/>
      <c r="D54" s="89"/>
      <c r="E54" s="4"/>
      <c r="F54" s="4"/>
      <c r="G54" s="4"/>
      <c r="H54" s="4"/>
      <c r="I54" s="4"/>
    </row>
    <row r="55" spans="1:9" ht="30" customHeight="1" x14ac:dyDescent="0.3">
      <c r="A55" s="90" t="s">
        <v>148</v>
      </c>
      <c r="B55" s="91" t="s">
        <v>106</v>
      </c>
      <c r="C55" s="92">
        <v>3</v>
      </c>
      <c r="D55" s="93" t="s">
        <v>154</v>
      </c>
      <c r="F55" s="4"/>
    </row>
    <row r="56" spans="1:9" ht="15.6" x14ac:dyDescent="0.3">
      <c r="A56" s="66"/>
      <c r="B56" s="66"/>
      <c r="C56" s="66"/>
      <c r="D56" s="66"/>
      <c r="F56" s="5"/>
    </row>
    <row r="57" spans="1:9" ht="15.6" x14ac:dyDescent="0.3">
      <c r="A57" s="66"/>
      <c r="B57" s="67"/>
      <c r="C57" s="66"/>
      <c r="D57" s="67"/>
    </row>
    <row r="58" spans="1:9" ht="15.75" hidden="1" customHeight="1" x14ac:dyDescent="0.3">
      <c r="A58" s="106" t="s">
        <v>149</v>
      </c>
      <c r="B58" s="107"/>
      <c r="C58" s="107"/>
      <c r="D58" s="107"/>
    </row>
    <row r="59" spans="1:9" hidden="1" x14ac:dyDescent="0.3">
      <c r="A59" s="25"/>
      <c r="B59" s="26" t="s">
        <v>150</v>
      </c>
      <c r="C59" s="27"/>
      <c r="D59" s="26"/>
    </row>
    <row r="60" spans="1:9" hidden="1" x14ac:dyDescent="0.3">
      <c r="A60" s="20"/>
      <c r="B60" s="20" t="s">
        <v>151</v>
      </c>
      <c r="C60" s="21"/>
      <c r="D60" s="20"/>
    </row>
    <row r="61" spans="1:9" hidden="1" x14ac:dyDescent="0.3">
      <c r="A61" s="22">
        <v>0.03</v>
      </c>
      <c r="B61" s="20" t="s">
        <v>152</v>
      </c>
      <c r="C61" s="20"/>
      <c r="D61" s="20"/>
    </row>
    <row r="62" spans="1:9" ht="15" hidden="1" thickBot="1" x14ac:dyDescent="0.35">
      <c r="A62" s="28"/>
      <c r="B62" s="29" t="s">
        <v>153</v>
      </c>
      <c r="C62" s="29"/>
      <c r="D62" s="29"/>
    </row>
    <row r="63" spans="1:9" x14ac:dyDescent="0.3">
      <c r="A63" s="10"/>
      <c r="B63" s="10"/>
      <c r="C63" s="10"/>
      <c r="D63" s="10"/>
      <c r="E63" s="4"/>
      <c r="F63" s="4"/>
      <c r="G63" s="4"/>
      <c r="H63" s="4"/>
      <c r="I63" s="4"/>
    </row>
    <row r="64" spans="1:9" ht="15.75" hidden="1" customHeight="1" x14ac:dyDescent="0.3">
      <c r="A64" s="10"/>
      <c r="B64" s="10"/>
      <c r="C64" s="10"/>
      <c r="D64" s="10"/>
      <c r="E64" s="4"/>
      <c r="F64" s="4"/>
      <c r="G64" s="4"/>
      <c r="H64" s="4"/>
      <c r="I64" s="4"/>
    </row>
    <row r="65" spans="1:9" x14ac:dyDescent="0.3">
      <c r="A65" s="10"/>
      <c r="B65" s="10"/>
      <c r="C65" s="10"/>
      <c r="D65" s="10"/>
      <c r="E65" s="4"/>
      <c r="F65" s="4"/>
      <c r="G65" s="4"/>
      <c r="H65" s="4"/>
      <c r="I65" s="4"/>
    </row>
    <row r="66" spans="1:9" x14ac:dyDescent="0.3">
      <c r="A66" s="10"/>
      <c r="B66" s="10"/>
      <c r="C66" s="10"/>
      <c r="D66" s="10"/>
      <c r="E66" s="4"/>
      <c r="F66" s="4"/>
      <c r="G66" s="4"/>
      <c r="H66" s="4"/>
      <c r="I66" s="4"/>
    </row>
    <row r="67" spans="1:9" ht="30" hidden="1" customHeight="1" x14ac:dyDescent="0.3">
      <c r="A67" s="10"/>
      <c r="B67" s="10"/>
      <c r="C67" s="10"/>
      <c r="D67" s="10"/>
    </row>
    <row r="68" spans="1:9" x14ac:dyDescent="0.3">
      <c r="A68" s="10"/>
      <c r="B68" s="10"/>
      <c r="C68" s="10"/>
      <c r="D68" s="10"/>
    </row>
    <row r="69" spans="1:9" x14ac:dyDescent="0.3">
      <c r="A69" s="10"/>
      <c r="B69" s="10"/>
      <c r="C69" s="10"/>
      <c r="D69" s="10"/>
    </row>
    <row r="70" spans="1:9" x14ac:dyDescent="0.3">
      <c r="A70" s="10"/>
      <c r="B70" s="10"/>
      <c r="C70" s="10"/>
      <c r="D70" s="10"/>
    </row>
  </sheetData>
  <mergeCells count="1">
    <mergeCell ref="A58:D58"/>
  </mergeCells>
  <phoneticPr fontId="7" type="noConversion"/>
  <pageMargins left="0.7" right="0.7" top="0.75" bottom="0.75" header="0.3" footer="0.3"/>
  <pageSetup scale="95" fitToHeight="0" orientation="landscape" r:id="rId1"/>
  <headerFooter>
    <oddFooter>&amp;CUse or disclosure of data contained on this sheet is subject to the restriction on the title page of this proposal.&amp;R&amp;P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5AE46F2455284883EACBFDB8B4563C" ma:contentTypeVersion="11" ma:contentTypeDescription="Create a new document." ma:contentTypeScope="" ma:versionID="146ccf88bea4e5ca32cd76ed26795ce7">
  <xsd:schema xmlns:xsd="http://www.w3.org/2001/XMLSchema" xmlns:xs="http://www.w3.org/2001/XMLSchema" xmlns:p="http://schemas.microsoft.com/office/2006/metadata/properties" xmlns:ns2="1fe6f6a5-405a-4fa5-9651-4f60112389d7" targetNamespace="http://schemas.microsoft.com/office/2006/metadata/properties" ma:root="true" ma:fieldsID="fc2e64ad52bad035479f43aaea5dd77c" ns2:_="">
    <xsd:import namespace="1fe6f6a5-405a-4fa5-9651-4f60112389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e6f6a5-405a-4fa5-9651-4f60112389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4ebad28-0e8c-4119-ae15-4b314486bd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e6f6a5-405a-4fa5-9651-4f60112389d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49CCAB-02B7-4830-B3A9-7AA682705F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e6f6a5-405a-4fa5-9651-4f60112389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3E1032-D15B-4584-BC35-9767AB2680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982029-0699-4C20-8F35-43B9B03E67EE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4ae04d84-5822-4688-bb35-f6709f3d9514"/>
    <ds:schemaRef ds:uri="http://www.w3.org/XML/1998/namespace"/>
    <ds:schemaRef ds:uri="http://purl.org/dc/dcmitype/"/>
    <ds:schemaRef ds:uri="1fe6f6a5-405a-4fa5-9651-4f60112389d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Projections</vt:lpstr>
      <vt:lpstr>Draft Volumes</vt:lpstr>
      <vt:lpstr>'Draft Volumes'!Print_Area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2022-04-22T23:58:24Z</dcterms:created>
  <dcterms:modified xsi:type="dcterms:W3CDTF">2025-11-07T17:03:39Z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0x010100F55AE46F2455284883EACBFDB8B4563C</vt:lpwstr>
  </property>
  <property fmtid="{D5CDD505-2E9C-101B-9397-08002B2CF9AE}" pid="3" name="MediaServiceImageTags">
    <vt:lpwstr/>
  </property>
  <property fmtid="{D5CDD505-2E9C-101B-9397-08002B2CF9AE}" pid="4" name="o82285c619374bb29a7e47696ddfad9e">
    <vt:lpwstr>Active|697ddb71-a084-4cd3-818f-97c06a49515f</vt:lpwstr>
  </property>
  <property fmtid="{D5CDD505-2E9C-101B-9397-08002B2CF9AE}" pid="5" name="le94619906ff46edae86aa4e3b30ed90">
    <vt:lpwstr>Open|94b05fbe-5442-448b-891d-71e7e2774461</vt:lpwstr>
  </property>
  <property fmtid="{D5CDD505-2E9C-101B-9397-08002B2CF9AE}" pid="6" name="TaxCatchAll">
    <vt:lpwstr>2;#Open|94b05fbe-5442-448b-891d-71e7e2774461;#1;#Active|697ddb71-a084-4cd3-818f-97c06a49515f</vt:lpwstr>
  </property>
  <property fmtid="{D5CDD505-2E9C-101B-9397-08002B2CF9AE}" pid="7" name="i217936ac50d40629737bcb0512ceb2e">
    <vt:lpwstr/>
  </property>
  <property fmtid="{D5CDD505-2E9C-101B-9397-08002B2CF9AE}" pid="8" name="RM_Project_Status">
    <vt:lpwstr>2;#Open|94b05fbe-5442-448b-891d-71e7e2774461</vt:lpwstr>
  </property>
  <property fmtid="{D5CDD505-2E9C-101B-9397-08002B2CF9AE}" pid="9" name="c168f614d41446da9f0d1cf789304236">
    <vt:lpwstr/>
  </property>
  <property fmtid="{D5CDD505-2E9C-101B-9397-08002B2CF9AE}" pid="10" name="RM_Owning_Org">
    <vt:lpwstr/>
  </property>
  <property fmtid="{D5CDD505-2E9C-101B-9397-08002B2CF9AE}" pid="11" name="RM_CRS">
    <vt:lpwstr/>
  </property>
  <property fmtid="{D5CDD505-2E9C-101B-9397-08002B2CF9AE}" pid="12" name="RM_Lifecycle_State">
    <vt:lpwstr>1;#Active|697ddb71-a084-4cd3-818f-97c06a49515f</vt:lpwstr>
  </property>
</Properties>
</file>