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filterPrivacy="1" codeName="ThisWorkbook" defaultThemeVersion="124226"/>
  <xr:revisionPtr revIDLastSave="413" documentId="8_{3DE40A81-E16D-49E7-9109-92B793CC2DCD}" xr6:coauthVersionLast="47" xr6:coauthVersionMax="47" xr10:uidLastSave="{8F316D9F-B43D-4D90-91AB-69000C84904F}"/>
  <bookViews>
    <workbookView xWindow="-28920" yWindow="120" windowWidth="29040" windowHeight="15480" activeTab="1" xr2:uid="{70E75BAF-5473-4904-9A29-8A038B14017A}"/>
  </bookViews>
  <sheets>
    <sheet name="Instructions" sheetId="62" r:id="rId1"/>
    <sheet name="Section B" sheetId="58" r:id="rId2"/>
    <sheet name="Cost Summary" sheetId="5" r:id="rId3"/>
    <sheet name="Indirect Rate Summary" sheetId="59" r:id="rId4"/>
    <sheet name="Direct Labor Rate Schedule" sheetId="81" r:id="rId5"/>
    <sheet name="Regular Labor Detail" sheetId="66" r:id="rId6"/>
    <sheet name="Surge Labor Detail" sheetId="88" r:id="rId7"/>
    <sheet name="Phase-in &amp; OES 52.217-8 Labor" sheetId="89" r:id="rId8"/>
    <sheet name="ODC Cost Detail" sheetId="63" r:id="rId9"/>
    <sheet name="Fringe Benefit Worksheet" sheetId="87" r:id="rId10"/>
    <sheet name="Fringe Worksheet" sheetId="84" r:id="rId11"/>
    <sheet name="Overhead Worksheet" sheetId="85" r:id="rId12"/>
    <sheet name="G&amp;A Worksheet" sheetId="86" r:id="rId13"/>
  </sheets>
  <externalReferences>
    <externalReference r:id="rId14"/>
    <externalReference r:id="rId15"/>
  </externalReferences>
  <definedNames>
    <definedName name="AnnualProductiveHours" localSheetId="9">[1]Instructions!$H$11</definedName>
    <definedName name="AnnualProductiveHours" localSheetId="10">[2]Instructions!$G$13</definedName>
    <definedName name="AnnualProductiveHours" localSheetId="12">[2]Instructions!$G$13</definedName>
    <definedName name="AnnualProductiveHours" localSheetId="11">[2]Instructions!$G$13</definedName>
    <definedName name="AnnualProductiveHours">Instructions!$H$12</definedName>
    <definedName name="_xlnm.Print_Area" localSheetId="8">'ODC Cost Detail'!$A$1:$F$17</definedName>
    <definedName name="_xlnm.Print_Area" localSheetId="7">'Phase-in &amp; OES 52.217-8 Labor'!$C$1:$Q$90</definedName>
    <definedName name="_xlnm.Print_Area" localSheetId="5">'Regular Labor Detail'!$C$1:$Q$129</definedName>
    <definedName name="_xlnm.Print_Area" localSheetId="1">'Section B'!$B$1:$H$141</definedName>
    <definedName name="_xlnm.Print_Area" localSheetId="6">'Surge Labor Detail'!$C$1:$Q$129</definedName>
    <definedName name="_xlnm.Print_Titles" localSheetId="2">'Cost Summary'!$7:$7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 i="5" l="1"/>
  <c r="I15" i="5"/>
  <c r="I13" i="5"/>
  <c r="I10" i="5"/>
  <c r="I11" i="5"/>
  <c r="I9" i="5"/>
  <c r="H17" i="5"/>
  <c r="H18" i="5"/>
  <c r="H16" i="5"/>
  <c r="H15" i="5"/>
  <c r="H14" i="5"/>
  <c r="H13" i="5"/>
  <c r="H12" i="5"/>
  <c r="H11" i="5"/>
  <c r="H10" i="5"/>
  <c r="G13" i="5"/>
  <c r="G11" i="5"/>
  <c r="G10" i="5"/>
  <c r="F13" i="5"/>
  <c r="F11" i="5"/>
  <c r="F10" i="5"/>
  <c r="E13" i="5"/>
  <c r="E11" i="5"/>
  <c r="E10" i="5"/>
  <c r="D13" i="5"/>
  <c r="D11" i="5"/>
  <c r="D10" i="5"/>
  <c r="C13" i="5"/>
  <c r="C11" i="5"/>
  <c r="C10" i="5"/>
  <c r="B14" i="5"/>
  <c r="B13" i="5"/>
  <c r="B12" i="5"/>
  <c r="B11" i="5"/>
  <c r="B10" i="5"/>
  <c r="H9" i="5"/>
  <c r="G9" i="5"/>
  <c r="F9" i="5"/>
  <c r="E9" i="5"/>
  <c r="D9" i="5"/>
  <c r="C9" i="5"/>
  <c r="B9" i="5"/>
  <c r="H15" i="89"/>
  <c r="H16" i="89"/>
  <c r="H17" i="89"/>
  <c r="H18" i="89"/>
  <c r="H19" i="89"/>
  <c r="H20" i="89"/>
  <c r="H21" i="89"/>
  <c r="H22" i="89"/>
  <c r="H23" i="89"/>
  <c r="H24" i="89"/>
  <c r="H25" i="89"/>
  <c r="H14" i="89"/>
  <c r="H75" i="89"/>
  <c r="H76" i="89"/>
  <c r="H77" i="89"/>
  <c r="H78" i="89"/>
  <c r="H79" i="89"/>
  <c r="H80" i="89"/>
  <c r="H81" i="89"/>
  <c r="H82" i="89"/>
  <c r="H83" i="89"/>
  <c r="H84" i="89"/>
  <c r="H85" i="89"/>
  <c r="H74" i="89"/>
  <c r="H55" i="89"/>
  <c r="H56" i="89"/>
  <c r="H57" i="89"/>
  <c r="H58" i="89"/>
  <c r="H59" i="89"/>
  <c r="H60" i="89"/>
  <c r="H61" i="89"/>
  <c r="H62" i="89"/>
  <c r="H63" i="89"/>
  <c r="H64" i="89"/>
  <c r="H65" i="89"/>
  <c r="H54" i="89"/>
  <c r="G90" i="89"/>
  <c r="O50" i="89"/>
  <c r="O70" i="89" s="1"/>
  <c r="M50" i="89"/>
  <c r="M70" i="89" s="1"/>
  <c r="J50" i="89"/>
  <c r="J70" i="89" s="1"/>
  <c r="I50" i="89"/>
  <c r="I70" i="89" s="1"/>
  <c r="F126" i="58"/>
  <c r="F125" i="58"/>
  <c r="F107" i="58"/>
  <c r="F106" i="58"/>
  <c r="F101" i="58"/>
  <c r="F100" i="58"/>
  <c r="F95" i="58"/>
  <c r="F94" i="58"/>
  <c r="F88" i="58"/>
  <c r="F87" i="58"/>
  <c r="F82" i="58"/>
  <c r="F81" i="58"/>
  <c r="F76" i="58"/>
  <c r="F75" i="58"/>
  <c r="F69" i="58"/>
  <c r="F68" i="58"/>
  <c r="F70" i="58" s="1"/>
  <c r="F63" i="58"/>
  <c r="F62" i="58"/>
  <c r="F57" i="58"/>
  <c r="F56" i="58"/>
  <c r="F50" i="58"/>
  <c r="F49" i="58"/>
  <c r="F51" i="58" s="1"/>
  <c r="F44" i="58"/>
  <c r="F43" i="58"/>
  <c r="F38" i="58"/>
  <c r="F37" i="58"/>
  <c r="F31" i="58"/>
  <c r="F30" i="58"/>
  <c r="F25" i="58"/>
  <c r="F24" i="58"/>
  <c r="F19" i="58"/>
  <c r="F18" i="58"/>
  <c r="E107" i="58"/>
  <c r="E88" i="58"/>
  <c r="E69" i="58"/>
  <c r="E50" i="58"/>
  <c r="D17" i="63"/>
  <c r="E31" i="58"/>
  <c r="C16" i="63"/>
  <c r="E15" i="63"/>
  <c r="E16" i="63"/>
  <c r="F15" i="63"/>
  <c r="F16" i="63" s="1"/>
  <c r="F83" i="58" l="1"/>
  <c r="F102" i="58"/>
  <c r="F96" i="58"/>
  <c r="F77" i="58"/>
  <c r="F108" i="58"/>
  <c r="F89" i="58"/>
  <c r="F26" i="58"/>
  <c r="F64" i="58"/>
  <c r="F58" i="58"/>
  <c r="F45" i="58"/>
  <c r="F39" i="58"/>
  <c r="F20" i="58"/>
  <c r="G86" i="89"/>
  <c r="F85" i="89"/>
  <c r="F84" i="89"/>
  <c r="I83" i="89"/>
  <c r="F83" i="89"/>
  <c r="I82" i="89"/>
  <c r="F82" i="89"/>
  <c r="I81" i="89"/>
  <c r="F81" i="89"/>
  <c r="F80" i="89"/>
  <c r="I79" i="89"/>
  <c r="F79" i="89"/>
  <c r="I78" i="89"/>
  <c r="F78" i="89"/>
  <c r="I77" i="89"/>
  <c r="F77" i="89"/>
  <c r="F76" i="89"/>
  <c r="I75" i="89"/>
  <c r="F75" i="89"/>
  <c r="I74" i="89"/>
  <c r="F74" i="89"/>
  <c r="A73" i="89"/>
  <c r="G66" i="89"/>
  <c r="F65" i="89"/>
  <c r="F64" i="89"/>
  <c r="I63" i="89"/>
  <c r="F63" i="89"/>
  <c r="J62" i="89"/>
  <c r="F62" i="89"/>
  <c r="J61" i="89"/>
  <c r="F61" i="89"/>
  <c r="F60" i="89"/>
  <c r="J59" i="89"/>
  <c r="F59" i="89"/>
  <c r="J58" i="89"/>
  <c r="F58" i="89"/>
  <c r="F57" i="89"/>
  <c r="F56" i="89"/>
  <c r="J55" i="89"/>
  <c r="F55" i="89"/>
  <c r="F54" i="89"/>
  <c r="A53" i="89"/>
  <c r="K51" i="89"/>
  <c r="K71" i="89" s="1"/>
  <c r="G46" i="89"/>
  <c r="H45" i="89"/>
  <c r="F45" i="89"/>
  <c r="H44" i="89"/>
  <c r="F44" i="89"/>
  <c r="C44" i="89"/>
  <c r="C64" i="89" s="1"/>
  <c r="C84" i="89" s="1"/>
  <c r="H43" i="89"/>
  <c r="F43" i="89"/>
  <c r="H42" i="89"/>
  <c r="F42" i="89"/>
  <c r="H41" i="89"/>
  <c r="J41" i="89" s="1"/>
  <c r="F41" i="89"/>
  <c r="H40" i="89"/>
  <c r="F40" i="89"/>
  <c r="H39" i="89"/>
  <c r="F39" i="89"/>
  <c r="H38" i="89"/>
  <c r="F38" i="89"/>
  <c r="H37" i="89"/>
  <c r="F37" i="89"/>
  <c r="H36" i="89"/>
  <c r="J36" i="89" s="1"/>
  <c r="F36" i="89"/>
  <c r="C36" i="89"/>
  <c r="C56" i="89" s="1"/>
  <c r="C76" i="89" s="1"/>
  <c r="H35" i="89"/>
  <c r="F35" i="89"/>
  <c r="H34" i="89"/>
  <c r="I34" i="89" s="1"/>
  <c r="F34" i="89"/>
  <c r="A33" i="89"/>
  <c r="R32" i="89"/>
  <c r="R52" i="89" s="1"/>
  <c r="R72" i="89" s="1"/>
  <c r="Q32" i="89"/>
  <c r="Q52" i="89" s="1"/>
  <c r="Q72" i="89" s="1"/>
  <c r="P32" i="89"/>
  <c r="P52" i="89" s="1"/>
  <c r="P72" i="89" s="1"/>
  <c r="O32" i="89"/>
  <c r="O52" i="89" s="1"/>
  <c r="O72" i="89" s="1"/>
  <c r="N32" i="89"/>
  <c r="N52" i="89" s="1"/>
  <c r="N72" i="89" s="1"/>
  <c r="M32" i="89"/>
  <c r="M52" i="89" s="1"/>
  <c r="M72" i="89" s="1"/>
  <c r="L32" i="89"/>
  <c r="L52" i="89" s="1"/>
  <c r="L72" i="89" s="1"/>
  <c r="K32" i="89"/>
  <c r="K52" i="89" s="1"/>
  <c r="K72" i="89" s="1"/>
  <c r="J32" i="89"/>
  <c r="J52" i="89" s="1"/>
  <c r="J72" i="89" s="1"/>
  <c r="I32" i="89"/>
  <c r="I52" i="89" s="1"/>
  <c r="I72" i="89" s="1"/>
  <c r="H32" i="89"/>
  <c r="H52" i="89" s="1"/>
  <c r="H72" i="89" s="1"/>
  <c r="G32" i="89"/>
  <c r="G52" i="89" s="1"/>
  <c r="G72" i="89" s="1"/>
  <c r="F32" i="89"/>
  <c r="F52" i="89" s="1"/>
  <c r="F72" i="89" s="1"/>
  <c r="E32" i="89"/>
  <c r="E52" i="89" s="1"/>
  <c r="E72" i="89" s="1"/>
  <c r="D32" i="89"/>
  <c r="D52" i="89" s="1"/>
  <c r="D72" i="89" s="1"/>
  <c r="C32" i="89"/>
  <c r="C52" i="89" s="1"/>
  <c r="C72" i="89" s="1"/>
  <c r="B32" i="89"/>
  <c r="B52" i="89" s="1"/>
  <c r="B72" i="89" s="1"/>
  <c r="A32" i="89"/>
  <c r="A52" i="89" s="1"/>
  <c r="A72" i="89" s="1"/>
  <c r="R31" i="89"/>
  <c r="R51" i="89" s="1"/>
  <c r="R71" i="89" s="1"/>
  <c r="Q31" i="89"/>
  <c r="Q51" i="89" s="1"/>
  <c r="Q71" i="89" s="1"/>
  <c r="P31" i="89"/>
  <c r="P51" i="89" s="1"/>
  <c r="P71" i="89" s="1"/>
  <c r="O31" i="89"/>
  <c r="O51" i="89" s="1"/>
  <c r="O71" i="89" s="1"/>
  <c r="N31" i="89"/>
  <c r="N51" i="89" s="1"/>
  <c r="N71" i="89" s="1"/>
  <c r="M31" i="89"/>
  <c r="M51" i="89" s="1"/>
  <c r="M71" i="89" s="1"/>
  <c r="L31" i="89"/>
  <c r="L51" i="89" s="1"/>
  <c r="L71" i="89" s="1"/>
  <c r="K31" i="89"/>
  <c r="J31" i="89"/>
  <c r="J51" i="89" s="1"/>
  <c r="J71" i="89" s="1"/>
  <c r="I31" i="89"/>
  <c r="I51" i="89" s="1"/>
  <c r="I71" i="89" s="1"/>
  <c r="H31" i="89"/>
  <c r="H51" i="89" s="1"/>
  <c r="H71" i="89" s="1"/>
  <c r="G31" i="89"/>
  <c r="G51" i="89" s="1"/>
  <c r="G71" i="89" s="1"/>
  <c r="F31" i="89"/>
  <c r="F51" i="89" s="1"/>
  <c r="F71" i="89" s="1"/>
  <c r="E31" i="89"/>
  <c r="E51" i="89" s="1"/>
  <c r="E71" i="89" s="1"/>
  <c r="D31" i="89"/>
  <c r="D51" i="89" s="1"/>
  <c r="D71" i="89" s="1"/>
  <c r="C31" i="89"/>
  <c r="C51" i="89" s="1"/>
  <c r="C71" i="89" s="1"/>
  <c r="B31" i="89"/>
  <c r="B51" i="89" s="1"/>
  <c r="B71" i="89" s="1"/>
  <c r="A31" i="89"/>
  <c r="A51" i="89" s="1"/>
  <c r="A71" i="89" s="1"/>
  <c r="O30" i="89"/>
  <c r="M30" i="89"/>
  <c r="J30" i="89"/>
  <c r="I30" i="89"/>
  <c r="G26" i="89"/>
  <c r="F25" i="89"/>
  <c r="C25" i="89"/>
  <c r="C45" i="89" s="1"/>
  <c r="C65" i="89" s="1"/>
  <c r="C85" i="89" s="1"/>
  <c r="B25" i="89"/>
  <c r="B45" i="89" s="1"/>
  <c r="B65" i="89" s="1"/>
  <c r="B85" i="89" s="1"/>
  <c r="A25" i="89"/>
  <c r="A45" i="89" s="1"/>
  <c r="A65" i="89" s="1"/>
  <c r="A85" i="89" s="1"/>
  <c r="J24" i="89"/>
  <c r="F24" i="89"/>
  <c r="C24" i="89"/>
  <c r="B24" i="89"/>
  <c r="B44" i="89" s="1"/>
  <c r="B64" i="89" s="1"/>
  <c r="B84" i="89" s="1"/>
  <c r="A24" i="89"/>
  <c r="A44" i="89" s="1"/>
  <c r="A64" i="89" s="1"/>
  <c r="A84" i="89" s="1"/>
  <c r="J23" i="89"/>
  <c r="F23" i="89"/>
  <c r="C23" i="89"/>
  <c r="C43" i="89" s="1"/>
  <c r="C63" i="89" s="1"/>
  <c r="C83" i="89" s="1"/>
  <c r="B23" i="89"/>
  <c r="B43" i="89" s="1"/>
  <c r="B63" i="89" s="1"/>
  <c r="B83" i="89" s="1"/>
  <c r="A23" i="89"/>
  <c r="A43" i="89" s="1"/>
  <c r="A63" i="89" s="1"/>
  <c r="A83" i="89" s="1"/>
  <c r="F22" i="89"/>
  <c r="C22" i="89"/>
  <c r="C42" i="89" s="1"/>
  <c r="C62" i="89" s="1"/>
  <c r="C82" i="89" s="1"/>
  <c r="B22" i="89"/>
  <c r="B42" i="89" s="1"/>
  <c r="B62" i="89" s="1"/>
  <c r="B82" i="89" s="1"/>
  <c r="A22" i="89"/>
  <c r="A42" i="89" s="1"/>
  <c r="A62" i="89" s="1"/>
  <c r="A82" i="89" s="1"/>
  <c r="F21" i="89"/>
  <c r="C21" i="89"/>
  <c r="C41" i="89" s="1"/>
  <c r="C61" i="89" s="1"/>
  <c r="C81" i="89" s="1"/>
  <c r="B21" i="89"/>
  <c r="B41" i="89" s="1"/>
  <c r="B61" i="89" s="1"/>
  <c r="B81" i="89" s="1"/>
  <c r="A21" i="89"/>
  <c r="A41" i="89" s="1"/>
  <c r="A61" i="89" s="1"/>
  <c r="A81" i="89" s="1"/>
  <c r="J20" i="89"/>
  <c r="F20" i="89"/>
  <c r="C20" i="89"/>
  <c r="C40" i="89" s="1"/>
  <c r="C60" i="89" s="1"/>
  <c r="C80" i="89" s="1"/>
  <c r="B20" i="89"/>
  <c r="B40" i="89" s="1"/>
  <c r="B60" i="89" s="1"/>
  <c r="B80" i="89" s="1"/>
  <c r="A20" i="89"/>
  <c r="A40" i="89" s="1"/>
  <c r="A60" i="89" s="1"/>
  <c r="A80" i="89" s="1"/>
  <c r="J19" i="89"/>
  <c r="F19" i="89"/>
  <c r="C19" i="89"/>
  <c r="C39" i="89" s="1"/>
  <c r="C59" i="89" s="1"/>
  <c r="C79" i="89" s="1"/>
  <c r="B19" i="89"/>
  <c r="B39" i="89" s="1"/>
  <c r="B59" i="89" s="1"/>
  <c r="B79" i="89" s="1"/>
  <c r="A19" i="89"/>
  <c r="A39" i="89" s="1"/>
  <c r="A59" i="89" s="1"/>
  <c r="A79" i="89" s="1"/>
  <c r="F18" i="89"/>
  <c r="C18" i="89"/>
  <c r="C38" i="89" s="1"/>
  <c r="C58" i="89" s="1"/>
  <c r="C78" i="89" s="1"/>
  <c r="B18" i="89"/>
  <c r="B38" i="89" s="1"/>
  <c r="B58" i="89" s="1"/>
  <c r="B78" i="89" s="1"/>
  <c r="A18" i="89"/>
  <c r="A38" i="89" s="1"/>
  <c r="A58" i="89" s="1"/>
  <c r="A78" i="89" s="1"/>
  <c r="F17" i="89"/>
  <c r="C17" i="89"/>
  <c r="C37" i="89" s="1"/>
  <c r="C57" i="89" s="1"/>
  <c r="C77" i="89" s="1"/>
  <c r="B17" i="89"/>
  <c r="B37" i="89" s="1"/>
  <c r="B57" i="89" s="1"/>
  <c r="B77" i="89" s="1"/>
  <c r="A17" i="89"/>
  <c r="A37" i="89" s="1"/>
  <c r="A57" i="89" s="1"/>
  <c r="A77" i="89" s="1"/>
  <c r="F16" i="89"/>
  <c r="C16" i="89"/>
  <c r="B16" i="89"/>
  <c r="B36" i="89" s="1"/>
  <c r="B56" i="89" s="1"/>
  <c r="B76" i="89" s="1"/>
  <c r="A16" i="89"/>
  <c r="A36" i="89" s="1"/>
  <c r="A56" i="89" s="1"/>
  <c r="A76" i="89" s="1"/>
  <c r="J15" i="89"/>
  <c r="F15" i="89"/>
  <c r="C15" i="89"/>
  <c r="C35" i="89" s="1"/>
  <c r="C55" i="89" s="1"/>
  <c r="C75" i="89" s="1"/>
  <c r="B15" i="89"/>
  <c r="B35" i="89" s="1"/>
  <c r="B55" i="89" s="1"/>
  <c r="B75" i="89" s="1"/>
  <c r="A15" i="89"/>
  <c r="A35" i="89" s="1"/>
  <c r="A55" i="89" s="1"/>
  <c r="A75" i="89" s="1"/>
  <c r="F14" i="89"/>
  <c r="C14" i="89"/>
  <c r="C34" i="89" s="1"/>
  <c r="C54" i="89" s="1"/>
  <c r="C74" i="89" s="1"/>
  <c r="B14" i="89"/>
  <c r="B34" i="89" s="1"/>
  <c r="B54" i="89" s="1"/>
  <c r="B74" i="89" s="1"/>
  <c r="A14" i="89"/>
  <c r="A34" i="89" s="1"/>
  <c r="A54" i="89" s="1"/>
  <c r="A74" i="89" s="1"/>
  <c r="A13" i="89"/>
  <c r="O10" i="89"/>
  <c r="M10" i="89"/>
  <c r="J10" i="89"/>
  <c r="J16" i="89" s="1"/>
  <c r="I10" i="89"/>
  <c r="I24" i="89" s="1"/>
  <c r="A7" i="89"/>
  <c r="A6" i="89"/>
  <c r="A5" i="89"/>
  <c r="A4" i="89"/>
  <c r="A3" i="89"/>
  <c r="A2" i="89"/>
  <c r="G126" i="88"/>
  <c r="L125" i="88"/>
  <c r="K125" i="88"/>
  <c r="J125" i="88"/>
  <c r="I125" i="88"/>
  <c r="H125" i="88"/>
  <c r="F125" i="88"/>
  <c r="L124" i="88"/>
  <c r="M124" i="88" s="1"/>
  <c r="N124" i="88" s="1"/>
  <c r="J124" i="88"/>
  <c r="I124" i="88"/>
  <c r="K124" i="88" s="1"/>
  <c r="H124" i="88"/>
  <c r="F124" i="88"/>
  <c r="J123" i="88"/>
  <c r="H123" i="88"/>
  <c r="I123" i="88" s="1"/>
  <c r="K123" i="88" s="1"/>
  <c r="L123" i="88" s="1"/>
  <c r="M123" i="88" s="1"/>
  <c r="F123" i="88"/>
  <c r="H122" i="88"/>
  <c r="F122" i="88"/>
  <c r="J121" i="88"/>
  <c r="I121" i="88"/>
  <c r="K121" i="88" s="1"/>
  <c r="L121" i="88" s="1"/>
  <c r="H121" i="88"/>
  <c r="F121" i="88"/>
  <c r="J120" i="88"/>
  <c r="I120" i="88"/>
  <c r="H120" i="88"/>
  <c r="F120" i="88"/>
  <c r="J119" i="88"/>
  <c r="H119" i="88"/>
  <c r="I119" i="88" s="1"/>
  <c r="F119" i="88"/>
  <c r="J118" i="88"/>
  <c r="I118" i="88"/>
  <c r="H118" i="88"/>
  <c r="F118" i="88"/>
  <c r="J117" i="88"/>
  <c r="I117" i="88"/>
  <c r="K117" i="88" s="1"/>
  <c r="L117" i="88" s="1"/>
  <c r="H117" i="88"/>
  <c r="F117" i="88"/>
  <c r="J116" i="88"/>
  <c r="I116" i="88"/>
  <c r="K116" i="88" s="1"/>
  <c r="L116" i="88" s="1"/>
  <c r="H116" i="88"/>
  <c r="F116" i="88"/>
  <c r="J115" i="88"/>
  <c r="H115" i="88"/>
  <c r="I115" i="88" s="1"/>
  <c r="F115" i="88"/>
  <c r="J114" i="88"/>
  <c r="I114" i="88"/>
  <c r="H114" i="88"/>
  <c r="F114" i="88"/>
  <c r="A113" i="88"/>
  <c r="O110" i="88"/>
  <c r="M110" i="88"/>
  <c r="M125" i="88" s="1"/>
  <c r="J110" i="88"/>
  <c r="I110" i="88"/>
  <c r="G106" i="88"/>
  <c r="I105" i="88"/>
  <c r="H105" i="88"/>
  <c r="F105" i="88"/>
  <c r="I104" i="88"/>
  <c r="H104" i="88"/>
  <c r="F104" i="88"/>
  <c r="H103" i="88"/>
  <c r="F103" i="88"/>
  <c r="H102" i="88"/>
  <c r="F102" i="88"/>
  <c r="H101" i="88"/>
  <c r="F101" i="88"/>
  <c r="H100" i="88"/>
  <c r="F100" i="88"/>
  <c r="H99" i="88"/>
  <c r="J99" i="88" s="1"/>
  <c r="F99" i="88"/>
  <c r="H98" i="88"/>
  <c r="F98" i="88"/>
  <c r="H97" i="88"/>
  <c r="F97" i="88"/>
  <c r="I96" i="88"/>
  <c r="H96" i="88"/>
  <c r="F96" i="88"/>
  <c r="H95" i="88"/>
  <c r="F95" i="88"/>
  <c r="H94" i="88"/>
  <c r="J94" i="88" s="1"/>
  <c r="F94" i="88"/>
  <c r="A93" i="88"/>
  <c r="O90" i="88"/>
  <c r="M90" i="88"/>
  <c r="J90" i="88"/>
  <c r="I90" i="88"/>
  <c r="I98" i="88" s="1"/>
  <c r="G86" i="88"/>
  <c r="H85" i="88"/>
  <c r="F85" i="88"/>
  <c r="J84" i="88"/>
  <c r="H84" i="88"/>
  <c r="F84" i="88"/>
  <c r="J83" i="88"/>
  <c r="H83" i="88"/>
  <c r="F83" i="88"/>
  <c r="H82" i="88"/>
  <c r="F82" i="88"/>
  <c r="J81" i="88"/>
  <c r="H81" i="88"/>
  <c r="F81" i="88"/>
  <c r="B81" i="88"/>
  <c r="B101" i="88" s="1"/>
  <c r="B121" i="88" s="1"/>
  <c r="H80" i="88"/>
  <c r="F80" i="88"/>
  <c r="H79" i="88"/>
  <c r="F79" i="88"/>
  <c r="H78" i="88"/>
  <c r="F78" i="88"/>
  <c r="J77" i="88"/>
  <c r="H77" i="88"/>
  <c r="F77" i="88"/>
  <c r="J76" i="88"/>
  <c r="H76" i="88"/>
  <c r="F76" i="88"/>
  <c r="H75" i="88"/>
  <c r="F75" i="88"/>
  <c r="H74" i="88"/>
  <c r="F74" i="88"/>
  <c r="B74" i="88"/>
  <c r="B94" i="88" s="1"/>
  <c r="B114" i="88" s="1"/>
  <c r="A73" i="88"/>
  <c r="L72" i="88"/>
  <c r="L92" i="88" s="1"/>
  <c r="L112" i="88" s="1"/>
  <c r="I72" i="88"/>
  <c r="I92" i="88" s="1"/>
  <c r="I112" i="88" s="1"/>
  <c r="D71" i="88"/>
  <c r="D91" i="88" s="1"/>
  <c r="D111" i="88" s="1"/>
  <c r="O70" i="88"/>
  <c r="M70" i="88"/>
  <c r="J70" i="88"/>
  <c r="I70" i="88"/>
  <c r="I81" i="88" s="1"/>
  <c r="K81" i="88" s="1"/>
  <c r="L81" i="88" s="1"/>
  <c r="G66" i="88"/>
  <c r="I65" i="88"/>
  <c r="H65" i="88"/>
  <c r="F65" i="88"/>
  <c r="A65" i="88"/>
  <c r="A85" i="88" s="1"/>
  <c r="A105" i="88" s="1"/>
  <c r="A125" i="88" s="1"/>
  <c r="H64" i="88"/>
  <c r="I64" i="88" s="1"/>
  <c r="F64" i="88"/>
  <c r="C64" i="88"/>
  <c r="C84" i="88" s="1"/>
  <c r="C104" i="88" s="1"/>
  <c r="C124" i="88" s="1"/>
  <c r="B64" i="88"/>
  <c r="B84" i="88" s="1"/>
  <c r="B104" i="88" s="1"/>
  <c r="B124" i="88" s="1"/>
  <c r="A64" i="88"/>
  <c r="A84" i="88" s="1"/>
  <c r="A104" i="88" s="1"/>
  <c r="A124" i="88" s="1"/>
  <c r="H63" i="88"/>
  <c r="F63" i="88"/>
  <c r="H62" i="88"/>
  <c r="F62" i="88"/>
  <c r="H61" i="88"/>
  <c r="F61" i="88"/>
  <c r="A61" i="88"/>
  <c r="A81" i="88" s="1"/>
  <c r="A101" i="88" s="1"/>
  <c r="A121" i="88" s="1"/>
  <c r="H60" i="88"/>
  <c r="F60" i="88"/>
  <c r="H59" i="88"/>
  <c r="F59" i="88"/>
  <c r="A59" i="88"/>
  <c r="A79" i="88" s="1"/>
  <c r="A99" i="88" s="1"/>
  <c r="A119" i="88" s="1"/>
  <c r="H58" i="88"/>
  <c r="F58" i="88"/>
  <c r="H57" i="88"/>
  <c r="F57" i="88"/>
  <c r="A57" i="88"/>
  <c r="A77" i="88" s="1"/>
  <c r="A97" i="88" s="1"/>
  <c r="A117" i="88" s="1"/>
  <c r="H56" i="88"/>
  <c r="F56" i="88"/>
  <c r="H55" i="88"/>
  <c r="F55" i="88"/>
  <c r="A55" i="88"/>
  <c r="A75" i="88" s="1"/>
  <c r="A95" i="88" s="1"/>
  <c r="A115" i="88" s="1"/>
  <c r="H54" i="88"/>
  <c r="J54" i="88" s="1"/>
  <c r="F54" i="88"/>
  <c r="A53" i="88"/>
  <c r="Q52" i="88"/>
  <c r="Q72" i="88" s="1"/>
  <c r="Q92" i="88" s="1"/>
  <c r="Q112" i="88" s="1"/>
  <c r="E52" i="88"/>
  <c r="E72" i="88" s="1"/>
  <c r="E92" i="88" s="1"/>
  <c r="E112" i="88" s="1"/>
  <c r="A52" i="88"/>
  <c r="A72" i="88" s="1"/>
  <c r="A92" i="88" s="1"/>
  <c r="A112" i="88" s="1"/>
  <c r="R51" i="88"/>
  <c r="R71" i="88" s="1"/>
  <c r="R91" i="88" s="1"/>
  <c r="R111" i="88" s="1"/>
  <c r="Q51" i="88"/>
  <c r="Q71" i="88" s="1"/>
  <c r="Q91" i="88" s="1"/>
  <c r="Q111" i="88" s="1"/>
  <c r="P51" i="88"/>
  <c r="P71" i="88" s="1"/>
  <c r="P91" i="88" s="1"/>
  <c r="P111" i="88" s="1"/>
  <c r="H51" i="88"/>
  <c r="H71" i="88" s="1"/>
  <c r="H91" i="88" s="1"/>
  <c r="H111" i="88" s="1"/>
  <c r="G51" i="88"/>
  <c r="G71" i="88" s="1"/>
  <c r="G91" i="88" s="1"/>
  <c r="G111" i="88" s="1"/>
  <c r="F51" i="88"/>
  <c r="F71" i="88" s="1"/>
  <c r="F91" i="88" s="1"/>
  <c r="F111" i="88" s="1"/>
  <c r="E51" i="88"/>
  <c r="E71" i="88" s="1"/>
  <c r="E91" i="88" s="1"/>
  <c r="E111" i="88" s="1"/>
  <c r="D51" i="88"/>
  <c r="O50" i="88"/>
  <c r="M50" i="88"/>
  <c r="J50" i="88"/>
  <c r="J57" i="88" s="1"/>
  <c r="I50" i="88"/>
  <c r="I57" i="88" s="1"/>
  <c r="K57" i="88" s="1"/>
  <c r="L57" i="88" s="1"/>
  <c r="M57" i="88" s="1"/>
  <c r="G46" i="88"/>
  <c r="H45" i="88"/>
  <c r="F45" i="88"/>
  <c r="B45" i="88"/>
  <c r="B65" i="88" s="1"/>
  <c r="B85" i="88" s="1"/>
  <c r="B105" i="88" s="1"/>
  <c r="B125" i="88" s="1"/>
  <c r="A45" i="88"/>
  <c r="H44" i="88"/>
  <c r="F44" i="88"/>
  <c r="C44" i="88"/>
  <c r="B44" i="88"/>
  <c r="H43" i="88"/>
  <c r="F43" i="88"/>
  <c r="H42" i="88"/>
  <c r="F42" i="88"/>
  <c r="H41" i="88"/>
  <c r="F41" i="88"/>
  <c r="B41" i="88"/>
  <c r="B61" i="88" s="1"/>
  <c r="A41" i="88"/>
  <c r="I40" i="88"/>
  <c r="H40" i="88"/>
  <c r="F40" i="88"/>
  <c r="C40" i="88"/>
  <c r="C60" i="88" s="1"/>
  <c r="C80" i="88" s="1"/>
  <c r="C100" i="88" s="1"/>
  <c r="C120" i="88" s="1"/>
  <c r="H39" i="88"/>
  <c r="F39" i="88"/>
  <c r="H38" i="88"/>
  <c r="F38" i="88"/>
  <c r="H37" i="88"/>
  <c r="F37" i="88"/>
  <c r="C37" i="88"/>
  <c r="C57" i="88" s="1"/>
  <c r="C77" i="88" s="1"/>
  <c r="C97" i="88" s="1"/>
  <c r="C117" i="88" s="1"/>
  <c r="B37" i="88"/>
  <c r="B57" i="88" s="1"/>
  <c r="B77" i="88" s="1"/>
  <c r="B97" i="88" s="1"/>
  <c r="B117" i="88" s="1"/>
  <c r="A37" i="88"/>
  <c r="I36" i="88"/>
  <c r="H36" i="88"/>
  <c r="F36" i="88"/>
  <c r="C36" i="88"/>
  <c r="C56" i="88" s="1"/>
  <c r="C76" i="88" s="1"/>
  <c r="C96" i="88" s="1"/>
  <c r="C116" i="88" s="1"/>
  <c r="B36" i="88"/>
  <c r="B56" i="88" s="1"/>
  <c r="B76" i="88" s="1"/>
  <c r="B96" i="88" s="1"/>
  <c r="B116" i="88" s="1"/>
  <c r="A36" i="88"/>
  <c r="A56" i="88" s="1"/>
  <c r="A76" i="88" s="1"/>
  <c r="A96" i="88" s="1"/>
  <c r="A116" i="88" s="1"/>
  <c r="I35" i="88"/>
  <c r="H35" i="88"/>
  <c r="H46" i="88" s="1"/>
  <c r="H47" i="88" s="1"/>
  <c r="F35" i="88"/>
  <c r="H34" i="88"/>
  <c r="F34" i="88"/>
  <c r="A34" i="88"/>
  <c r="A54" i="88" s="1"/>
  <c r="A74" i="88" s="1"/>
  <c r="A94" i="88" s="1"/>
  <c r="A114" i="88" s="1"/>
  <c r="A33" i="88"/>
  <c r="R32" i="88"/>
  <c r="R52" i="88" s="1"/>
  <c r="R72" i="88" s="1"/>
  <c r="R92" i="88" s="1"/>
  <c r="R112" i="88" s="1"/>
  <c r="Q32" i="88"/>
  <c r="P32" i="88"/>
  <c r="P52" i="88" s="1"/>
  <c r="P72" i="88" s="1"/>
  <c r="P92" i="88" s="1"/>
  <c r="P112" i="88" s="1"/>
  <c r="O32" i="88"/>
  <c r="O52" i="88" s="1"/>
  <c r="O72" i="88" s="1"/>
  <c r="O92" i="88" s="1"/>
  <c r="O112" i="88" s="1"/>
  <c r="N32" i="88"/>
  <c r="N52" i="88" s="1"/>
  <c r="N72" i="88" s="1"/>
  <c r="N92" i="88" s="1"/>
  <c r="N112" i="88" s="1"/>
  <c r="M32" i="88"/>
  <c r="M52" i="88" s="1"/>
  <c r="M72" i="88" s="1"/>
  <c r="M92" i="88" s="1"/>
  <c r="M112" i="88" s="1"/>
  <c r="L32" i="88"/>
  <c r="L52" i="88" s="1"/>
  <c r="K32" i="88"/>
  <c r="K52" i="88" s="1"/>
  <c r="K72" i="88" s="1"/>
  <c r="K92" i="88" s="1"/>
  <c r="K112" i="88" s="1"/>
  <c r="J32" i="88"/>
  <c r="J52" i="88" s="1"/>
  <c r="J72" i="88" s="1"/>
  <c r="J92" i="88" s="1"/>
  <c r="J112" i="88" s="1"/>
  <c r="I32" i="88"/>
  <c r="I52" i="88" s="1"/>
  <c r="H32" i="88"/>
  <c r="H52" i="88" s="1"/>
  <c r="H72" i="88" s="1"/>
  <c r="H92" i="88" s="1"/>
  <c r="H112" i="88" s="1"/>
  <c r="G32" i="88"/>
  <c r="G52" i="88" s="1"/>
  <c r="G72" i="88" s="1"/>
  <c r="G92" i="88" s="1"/>
  <c r="G112" i="88" s="1"/>
  <c r="F32" i="88"/>
  <c r="F52" i="88" s="1"/>
  <c r="F72" i="88" s="1"/>
  <c r="F92" i="88" s="1"/>
  <c r="F112" i="88" s="1"/>
  <c r="E32" i="88"/>
  <c r="D32" i="88"/>
  <c r="D52" i="88" s="1"/>
  <c r="D72" i="88" s="1"/>
  <c r="D92" i="88" s="1"/>
  <c r="D112" i="88" s="1"/>
  <c r="C32" i="88"/>
  <c r="C52" i="88" s="1"/>
  <c r="C72" i="88" s="1"/>
  <c r="C92" i="88" s="1"/>
  <c r="C112" i="88" s="1"/>
  <c r="B32" i="88"/>
  <c r="B52" i="88" s="1"/>
  <c r="B72" i="88" s="1"/>
  <c r="B92" i="88" s="1"/>
  <c r="B112" i="88" s="1"/>
  <c r="A32" i="88"/>
  <c r="R31" i="88"/>
  <c r="Q31" i="88"/>
  <c r="P31" i="88"/>
  <c r="O31" i="88"/>
  <c r="O51" i="88" s="1"/>
  <c r="O71" i="88" s="1"/>
  <c r="O91" i="88" s="1"/>
  <c r="O111" i="88" s="1"/>
  <c r="N31" i="88"/>
  <c r="N51" i="88" s="1"/>
  <c r="N71" i="88" s="1"/>
  <c r="N91" i="88" s="1"/>
  <c r="N111" i="88" s="1"/>
  <c r="M31" i="88"/>
  <c r="M51" i="88" s="1"/>
  <c r="M71" i="88" s="1"/>
  <c r="M91" i="88" s="1"/>
  <c r="M111" i="88" s="1"/>
  <c r="L31" i="88"/>
  <c r="L51" i="88" s="1"/>
  <c r="L71" i="88" s="1"/>
  <c r="L91" i="88" s="1"/>
  <c r="L111" i="88" s="1"/>
  <c r="K31" i="88"/>
  <c r="K51" i="88" s="1"/>
  <c r="K71" i="88" s="1"/>
  <c r="K91" i="88" s="1"/>
  <c r="K111" i="88" s="1"/>
  <c r="J31" i="88"/>
  <c r="J51" i="88" s="1"/>
  <c r="J71" i="88" s="1"/>
  <c r="J91" i="88" s="1"/>
  <c r="J111" i="88" s="1"/>
  <c r="I31" i="88"/>
  <c r="I51" i="88" s="1"/>
  <c r="I71" i="88" s="1"/>
  <c r="I91" i="88" s="1"/>
  <c r="I111" i="88" s="1"/>
  <c r="H31" i="88"/>
  <c r="G31" i="88"/>
  <c r="F31" i="88"/>
  <c r="E31" i="88"/>
  <c r="D31" i="88"/>
  <c r="C31" i="88"/>
  <c r="C51" i="88" s="1"/>
  <c r="C71" i="88" s="1"/>
  <c r="C91" i="88" s="1"/>
  <c r="C111" i="88" s="1"/>
  <c r="B31" i="88"/>
  <c r="B51" i="88" s="1"/>
  <c r="B71" i="88" s="1"/>
  <c r="B91" i="88" s="1"/>
  <c r="B111" i="88" s="1"/>
  <c r="A31" i="88"/>
  <c r="A51" i="88" s="1"/>
  <c r="A71" i="88" s="1"/>
  <c r="A91" i="88" s="1"/>
  <c r="A111" i="88" s="1"/>
  <c r="O30" i="88"/>
  <c r="M30" i="88"/>
  <c r="J30" i="88"/>
  <c r="J38" i="88" s="1"/>
  <c r="I30" i="88"/>
  <c r="G26" i="88"/>
  <c r="I25" i="88"/>
  <c r="H25" i="88"/>
  <c r="F25" i="88"/>
  <c r="C25" i="88"/>
  <c r="C45" i="88" s="1"/>
  <c r="C65" i="88" s="1"/>
  <c r="C85" i="88" s="1"/>
  <c r="C105" i="88" s="1"/>
  <c r="C125" i="88" s="1"/>
  <c r="B25" i="88"/>
  <c r="A25" i="88"/>
  <c r="J24" i="88"/>
  <c r="I24" i="88"/>
  <c r="K24" i="88" s="1"/>
  <c r="L24" i="88" s="1"/>
  <c r="H24" i="88"/>
  <c r="F24" i="88"/>
  <c r="C24" i="88"/>
  <c r="B24" i="88"/>
  <c r="A24" i="88"/>
  <c r="A44" i="88" s="1"/>
  <c r="H23" i="88"/>
  <c r="J23" i="88" s="1"/>
  <c r="F23" i="88"/>
  <c r="C23" i="88"/>
  <c r="C43" i="88" s="1"/>
  <c r="C63" i="88" s="1"/>
  <c r="C83" i="88" s="1"/>
  <c r="C103" i="88" s="1"/>
  <c r="C123" i="88" s="1"/>
  <c r="B23" i="88"/>
  <c r="B43" i="88" s="1"/>
  <c r="B63" i="88" s="1"/>
  <c r="B83" i="88" s="1"/>
  <c r="B103" i="88" s="1"/>
  <c r="B123" i="88" s="1"/>
  <c r="A23" i="88"/>
  <c r="A43" i="88" s="1"/>
  <c r="A63" i="88" s="1"/>
  <c r="A83" i="88" s="1"/>
  <c r="A103" i="88" s="1"/>
  <c r="A123" i="88" s="1"/>
  <c r="H22" i="88"/>
  <c r="F22" i="88"/>
  <c r="C22" i="88"/>
  <c r="C42" i="88" s="1"/>
  <c r="C62" i="88" s="1"/>
  <c r="C82" i="88" s="1"/>
  <c r="C102" i="88" s="1"/>
  <c r="C122" i="88" s="1"/>
  <c r="B22" i="88"/>
  <c r="B42" i="88" s="1"/>
  <c r="B62" i="88" s="1"/>
  <c r="B82" i="88" s="1"/>
  <c r="B102" i="88" s="1"/>
  <c r="B122" i="88" s="1"/>
  <c r="A22" i="88"/>
  <c r="A42" i="88" s="1"/>
  <c r="A62" i="88" s="1"/>
  <c r="A82" i="88" s="1"/>
  <c r="A102" i="88" s="1"/>
  <c r="A122" i="88" s="1"/>
  <c r="J21" i="88"/>
  <c r="H21" i="88"/>
  <c r="F21" i="88"/>
  <c r="C21" i="88"/>
  <c r="C41" i="88" s="1"/>
  <c r="C61" i="88" s="1"/>
  <c r="C81" i="88" s="1"/>
  <c r="C101" i="88" s="1"/>
  <c r="C121" i="88" s="1"/>
  <c r="B21" i="88"/>
  <c r="A21" i="88"/>
  <c r="J20" i="88"/>
  <c r="I20" i="88"/>
  <c r="K20" i="88" s="1"/>
  <c r="L20" i="88" s="1"/>
  <c r="H20" i="88"/>
  <c r="F20" i="88"/>
  <c r="C20" i="88"/>
  <c r="B20" i="88"/>
  <c r="B40" i="88" s="1"/>
  <c r="B60" i="88" s="1"/>
  <c r="B80" i="88" s="1"/>
  <c r="B100" i="88" s="1"/>
  <c r="B120" i="88" s="1"/>
  <c r="A20" i="88"/>
  <c r="A40" i="88" s="1"/>
  <c r="A60" i="88" s="1"/>
  <c r="A80" i="88" s="1"/>
  <c r="A100" i="88" s="1"/>
  <c r="A120" i="88" s="1"/>
  <c r="I19" i="88"/>
  <c r="H19" i="88"/>
  <c r="J19" i="88" s="1"/>
  <c r="K19" i="88" s="1"/>
  <c r="L19" i="88" s="1"/>
  <c r="F19" i="88"/>
  <c r="C19" i="88"/>
  <c r="C39" i="88" s="1"/>
  <c r="C59" i="88" s="1"/>
  <c r="C79" i="88" s="1"/>
  <c r="C99" i="88" s="1"/>
  <c r="C119" i="88" s="1"/>
  <c r="B19" i="88"/>
  <c r="B39" i="88" s="1"/>
  <c r="B59" i="88" s="1"/>
  <c r="B79" i="88" s="1"/>
  <c r="B99" i="88" s="1"/>
  <c r="B119" i="88" s="1"/>
  <c r="A19" i="88"/>
  <c r="A39" i="88" s="1"/>
  <c r="I18" i="88"/>
  <c r="H18" i="88"/>
  <c r="F18" i="88"/>
  <c r="C18" i="88"/>
  <c r="C38" i="88" s="1"/>
  <c r="C58" i="88" s="1"/>
  <c r="C78" i="88" s="1"/>
  <c r="C98" i="88" s="1"/>
  <c r="C118" i="88" s="1"/>
  <c r="B18" i="88"/>
  <c r="B38" i="88" s="1"/>
  <c r="B58" i="88" s="1"/>
  <c r="B78" i="88" s="1"/>
  <c r="B98" i="88" s="1"/>
  <c r="B118" i="88" s="1"/>
  <c r="A18" i="88"/>
  <c r="A38" i="88" s="1"/>
  <c r="A58" i="88" s="1"/>
  <c r="A78" i="88" s="1"/>
  <c r="A98" i="88" s="1"/>
  <c r="A118" i="88" s="1"/>
  <c r="J17" i="88"/>
  <c r="K17" i="88" s="1"/>
  <c r="L17" i="88" s="1"/>
  <c r="I17" i="88"/>
  <c r="H17" i="88"/>
  <c r="F17" i="88"/>
  <c r="C17" i="88"/>
  <c r="B17" i="88"/>
  <c r="A17" i="88"/>
  <c r="J16" i="88"/>
  <c r="K16" i="88" s="1"/>
  <c r="L16" i="88" s="1"/>
  <c r="I16" i="88"/>
  <c r="H16" i="88"/>
  <c r="F16" i="88"/>
  <c r="C16" i="88"/>
  <c r="B16" i="88"/>
  <c r="A16" i="88"/>
  <c r="I15" i="88"/>
  <c r="H15" i="88"/>
  <c r="J15" i="88" s="1"/>
  <c r="K15" i="88" s="1"/>
  <c r="L15" i="88" s="1"/>
  <c r="F15" i="88"/>
  <c r="C15" i="88"/>
  <c r="C35" i="88" s="1"/>
  <c r="C55" i="88" s="1"/>
  <c r="C75" i="88" s="1"/>
  <c r="C95" i="88" s="1"/>
  <c r="C115" i="88" s="1"/>
  <c r="B15" i="88"/>
  <c r="B35" i="88" s="1"/>
  <c r="B55" i="88" s="1"/>
  <c r="B75" i="88" s="1"/>
  <c r="B95" i="88" s="1"/>
  <c r="B115" i="88" s="1"/>
  <c r="A15" i="88"/>
  <c r="A35" i="88" s="1"/>
  <c r="I14" i="88"/>
  <c r="H14" i="88"/>
  <c r="F14" i="88"/>
  <c r="C14" i="88"/>
  <c r="C34" i="88" s="1"/>
  <c r="C54" i="88" s="1"/>
  <c r="C74" i="88" s="1"/>
  <c r="C94" i="88" s="1"/>
  <c r="C114" i="88" s="1"/>
  <c r="B14" i="88"/>
  <c r="B34" i="88" s="1"/>
  <c r="B54" i="88" s="1"/>
  <c r="A14" i="88"/>
  <c r="A13" i="88"/>
  <c r="O10" i="88"/>
  <c r="M10" i="88"/>
  <c r="J10" i="88"/>
  <c r="I10" i="88"/>
  <c r="I23" i="88" s="1"/>
  <c r="K23" i="88" s="1"/>
  <c r="L23" i="88" s="1"/>
  <c r="A7" i="88"/>
  <c r="A6" i="88"/>
  <c r="A5" i="88"/>
  <c r="A4" i="88"/>
  <c r="A3" i="88"/>
  <c r="A2" i="88"/>
  <c r="K24" i="89" l="1"/>
  <c r="L24" i="89" s="1"/>
  <c r="J44" i="89"/>
  <c r="I59" i="89"/>
  <c r="I21" i="89"/>
  <c r="I62" i="89"/>
  <c r="J77" i="89"/>
  <c r="K77" i="89" s="1"/>
  <c r="L77" i="89" s="1"/>
  <c r="I17" i="89"/>
  <c r="I16" i="89"/>
  <c r="K16" i="89" s="1"/>
  <c r="L16" i="89" s="1"/>
  <c r="M16" i="89" s="1"/>
  <c r="N16" i="89" s="1"/>
  <c r="I20" i="89"/>
  <c r="K20" i="89" s="1"/>
  <c r="L20" i="89" s="1"/>
  <c r="H46" i="89"/>
  <c r="H47" i="89" s="1"/>
  <c r="I35" i="89"/>
  <c r="I25" i="89"/>
  <c r="I55" i="89"/>
  <c r="K55" i="89" s="1"/>
  <c r="L55" i="89" s="1"/>
  <c r="I40" i="89"/>
  <c r="K59" i="89"/>
  <c r="L59" i="89" s="1"/>
  <c r="G27" i="89"/>
  <c r="F26" i="89"/>
  <c r="M24" i="89"/>
  <c r="N24" i="89" s="1"/>
  <c r="M55" i="89"/>
  <c r="N55" i="89"/>
  <c r="M59" i="89"/>
  <c r="N59" i="89" s="1"/>
  <c r="M20" i="89"/>
  <c r="N20" i="89" s="1"/>
  <c r="J34" i="89"/>
  <c r="J56" i="89"/>
  <c r="I56" i="89"/>
  <c r="G67" i="89"/>
  <c r="F26" i="88"/>
  <c r="I45" i="89"/>
  <c r="J64" i="89"/>
  <c r="I64" i="89"/>
  <c r="F86" i="89"/>
  <c r="H26" i="89"/>
  <c r="H27" i="89" s="1"/>
  <c r="F106" i="88"/>
  <c r="J17" i="89"/>
  <c r="K17" i="89" s="1"/>
  <c r="L17" i="89" s="1"/>
  <c r="J21" i="89"/>
  <c r="J25" i="89"/>
  <c r="I44" i="89"/>
  <c r="K44" i="89" s="1"/>
  <c r="L44" i="89" s="1"/>
  <c r="J76" i="89"/>
  <c r="I76" i="89"/>
  <c r="J80" i="89"/>
  <c r="I80" i="89"/>
  <c r="I36" i="89"/>
  <c r="K36" i="89" s="1"/>
  <c r="L36" i="89" s="1"/>
  <c r="J45" i="89"/>
  <c r="K45" i="89" s="1"/>
  <c r="L45" i="89" s="1"/>
  <c r="K74" i="89"/>
  <c r="J84" i="89"/>
  <c r="I84" i="89"/>
  <c r="K84" i="89" s="1"/>
  <c r="L84" i="89" s="1"/>
  <c r="J35" i="89"/>
  <c r="G47" i="88"/>
  <c r="I14" i="89"/>
  <c r="I18" i="89"/>
  <c r="I22" i="89"/>
  <c r="J43" i="89"/>
  <c r="G47" i="89"/>
  <c r="K62" i="89"/>
  <c r="L62" i="89" s="1"/>
  <c r="F66" i="89"/>
  <c r="F46" i="88"/>
  <c r="J14" i="89"/>
  <c r="J18" i="89"/>
  <c r="J22" i="89"/>
  <c r="I37" i="89"/>
  <c r="I43" i="89"/>
  <c r="H66" i="89"/>
  <c r="J63" i="89"/>
  <c r="K63" i="89" s="1"/>
  <c r="L63" i="89" s="1"/>
  <c r="J37" i="89"/>
  <c r="J54" i="89"/>
  <c r="I57" i="89"/>
  <c r="J60" i="89"/>
  <c r="I60" i="89"/>
  <c r="I65" i="89"/>
  <c r="J83" i="89"/>
  <c r="K83" i="89" s="1"/>
  <c r="L83" i="89" s="1"/>
  <c r="J85" i="89"/>
  <c r="I15" i="89"/>
  <c r="K15" i="89" s="1"/>
  <c r="L15" i="89" s="1"/>
  <c r="I19" i="89"/>
  <c r="K19" i="89" s="1"/>
  <c r="L19" i="89" s="1"/>
  <c r="I23" i="89"/>
  <c r="K23" i="89" s="1"/>
  <c r="L23" i="89" s="1"/>
  <c r="F46" i="89"/>
  <c r="I38" i="89"/>
  <c r="J39" i="89"/>
  <c r="I42" i="89"/>
  <c r="K42" i="89" s="1"/>
  <c r="L42" i="89" s="1"/>
  <c r="J57" i="89"/>
  <c r="J65" i="89"/>
  <c r="J75" i="89"/>
  <c r="K75" i="89" s="1"/>
  <c r="L75" i="89" s="1"/>
  <c r="J38" i="89"/>
  <c r="I39" i="89"/>
  <c r="I41" i="89"/>
  <c r="K41" i="89" s="1"/>
  <c r="L41" i="89" s="1"/>
  <c r="J42" i="89"/>
  <c r="J79" i="89"/>
  <c r="K79" i="89" s="1"/>
  <c r="L79" i="89" s="1"/>
  <c r="J81" i="89"/>
  <c r="K81" i="89" s="1"/>
  <c r="L81" i="89" s="1"/>
  <c r="I61" i="89"/>
  <c r="K61" i="89" s="1"/>
  <c r="L61" i="89" s="1"/>
  <c r="J40" i="89"/>
  <c r="K40" i="89" s="1"/>
  <c r="L40" i="89" s="1"/>
  <c r="G87" i="89"/>
  <c r="I54" i="89"/>
  <c r="I58" i="89"/>
  <c r="K58" i="89" s="1"/>
  <c r="L58" i="89" s="1"/>
  <c r="I85" i="89"/>
  <c r="K85" i="89" s="1"/>
  <c r="L85" i="89" s="1"/>
  <c r="H86" i="89"/>
  <c r="H87" i="89" s="1"/>
  <c r="J74" i="89"/>
  <c r="J78" i="89"/>
  <c r="K78" i="89" s="1"/>
  <c r="L78" i="89" s="1"/>
  <c r="J82" i="89"/>
  <c r="K82" i="89" s="1"/>
  <c r="L82" i="89" s="1"/>
  <c r="M19" i="88"/>
  <c r="N19" i="88" s="1"/>
  <c r="M17" i="88"/>
  <c r="N17" i="88" s="1"/>
  <c r="M16" i="88"/>
  <c r="N16" i="88" s="1"/>
  <c r="O124" i="88"/>
  <c r="P124" i="88" s="1"/>
  <c r="Q124" i="88" s="1"/>
  <c r="R124" i="88" s="1"/>
  <c r="M81" i="88"/>
  <c r="N81" i="88" s="1"/>
  <c r="M24" i="88"/>
  <c r="N24" i="88" s="1"/>
  <c r="M20" i="88"/>
  <c r="N20" i="88"/>
  <c r="K40" i="88"/>
  <c r="L40" i="88" s="1"/>
  <c r="K21" i="88"/>
  <c r="L21" i="88" s="1"/>
  <c r="K105" i="88"/>
  <c r="L105" i="88" s="1"/>
  <c r="M23" i="88"/>
  <c r="N23" i="88" s="1"/>
  <c r="M15" i="88"/>
  <c r="N15" i="88" s="1"/>
  <c r="J41" i="88"/>
  <c r="J63" i="88"/>
  <c r="I63" i="88"/>
  <c r="K63" i="88" s="1"/>
  <c r="L63" i="88" s="1"/>
  <c r="M117" i="88"/>
  <c r="N117" i="88" s="1"/>
  <c r="I80" i="88"/>
  <c r="K80" i="88" s="1"/>
  <c r="L80" i="88" s="1"/>
  <c r="K98" i="88"/>
  <c r="L98" i="88" s="1"/>
  <c r="J103" i="88"/>
  <c r="J36" i="88"/>
  <c r="K36" i="88" s="1"/>
  <c r="L36" i="88" s="1"/>
  <c r="F66" i="88"/>
  <c r="H66" i="88"/>
  <c r="H67" i="88" s="1"/>
  <c r="F86" i="88"/>
  <c r="J80" i="88"/>
  <c r="I103" i="88"/>
  <c r="K103" i="88" s="1"/>
  <c r="L103" i="88" s="1"/>
  <c r="I122" i="88"/>
  <c r="I126" i="88" s="1"/>
  <c r="J122" i="88"/>
  <c r="J126" i="88" s="1"/>
  <c r="J74" i="88"/>
  <c r="I74" i="88"/>
  <c r="J40" i="88"/>
  <c r="G67" i="88"/>
  <c r="J22" i="88"/>
  <c r="J25" i="88"/>
  <c r="K25" i="88" s="1"/>
  <c r="L25" i="88" s="1"/>
  <c r="J35" i="88"/>
  <c r="K35" i="88" s="1"/>
  <c r="L35" i="88" s="1"/>
  <c r="K85" i="88"/>
  <c r="L85" i="88" s="1"/>
  <c r="I22" i="88"/>
  <c r="I26" i="88" s="1"/>
  <c r="I27" i="88" s="1"/>
  <c r="I39" i="88"/>
  <c r="J104" i="88"/>
  <c r="K104" i="88" s="1"/>
  <c r="L104" i="88" s="1"/>
  <c r="G27" i="88"/>
  <c r="N57" i="88"/>
  <c r="J34" i="88"/>
  <c r="J39" i="88"/>
  <c r="K39" i="88" s="1"/>
  <c r="L39" i="88" s="1"/>
  <c r="G87" i="88"/>
  <c r="J18" i="88"/>
  <c r="K18" i="88" s="1"/>
  <c r="L18" i="88" s="1"/>
  <c r="I21" i="88"/>
  <c r="J62" i="88"/>
  <c r="I62" i="88"/>
  <c r="K62" i="88" s="1"/>
  <c r="L62" i="88" s="1"/>
  <c r="H86" i="88"/>
  <c r="H87" i="88" s="1"/>
  <c r="J95" i="88"/>
  <c r="J106" i="88" s="1"/>
  <c r="J107" i="88" s="1"/>
  <c r="I95" i="88"/>
  <c r="K95" i="88" s="1"/>
  <c r="L95" i="88" s="1"/>
  <c r="M116" i="88"/>
  <c r="N116" i="88" s="1"/>
  <c r="K41" i="88"/>
  <c r="L41" i="88" s="1"/>
  <c r="I77" i="88"/>
  <c r="K77" i="88" s="1"/>
  <c r="L77" i="88" s="1"/>
  <c r="J37" i="88"/>
  <c r="J42" i="88"/>
  <c r="J14" i="88"/>
  <c r="H26" i="88"/>
  <c r="H27" i="88" s="1"/>
  <c r="I42" i="88"/>
  <c r="K42" i="88" s="1"/>
  <c r="L42" i="88" s="1"/>
  <c r="I38" i="88"/>
  <c r="K38" i="88" s="1"/>
  <c r="L38" i="88" s="1"/>
  <c r="I34" i="88"/>
  <c r="I41" i="88"/>
  <c r="I79" i="88"/>
  <c r="J102" i="88"/>
  <c r="I102" i="88"/>
  <c r="K102" i="88"/>
  <c r="L102" i="88" s="1"/>
  <c r="M121" i="88"/>
  <c r="N121" i="88" s="1"/>
  <c r="I76" i="88"/>
  <c r="K76" i="88" s="1"/>
  <c r="L76" i="88" s="1"/>
  <c r="I83" i="88"/>
  <c r="K83" i="88" s="1"/>
  <c r="L83" i="88" s="1"/>
  <c r="J96" i="88"/>
  <c r="K96" i="88" s="1"/>
  <c r="L96" i="88" s="1"/>
  <c r="I97" i="88"/>
  <c r="G107" i="88"/>
  <c r="K114" i="88"/>
  <c r="H106" i="88"/>
  <c r="H107" i="88" s="1"/>
  <c r="K119" i="88"/>
  <c r="L119" i="88" s="1"/>
  <c r="N125" i="88"/>
  <c r="I75" i="88"/>
  <c r="J82" i="88"/>
  <c r="I82" i="88"/>
  <c r="J75" i="88"/>
  <c r="K82" i="88"/>
  <c r="L82" i="88" s="1"/>
  <c r="I94" i="88"/>
  <c r="K118" i="88"/>
  <c r="L118" i="88" s="1"/>
  <c r="N123" i="88"/>
  <c r="G129" i="88"/>
  <c r="H126" i="88"/>
  <c r="J45" i="88"/>
  <c r="K59" i="88"/>
  <c r="L59" i="88" s="1"/>
  <c r="I60" i="88"/>
  <c r="K60" i="88" s="1"/>
  <c r="L60" i="88" s="1"/>
  <c r="I61" i="88"/>
  <c r="K61" i="88" s="1"/>
  <c r="L61" i="88" s="1"/>
  <c r="J64" i="88"/>
  <c r="K64" i="88" s="1"/>
  <c r="L64" i="88" s="1"/>
  <c r="J65" i="88"/>
  <c r="K65" i="88" s="1"/>
  <c r="L65" i="88" s="1"/>
  <c r="J79" i="88"/>
  <c r="K79" i="88" s="1"/>
  <c r="L79" i="88" s="1"/>
  <c r="J105" i="88"/>
  <c r="J101" i="88"/>
  <c r="J97" i="88"/>
  <c r="J100" i="88"/>
  <c r="I101" i="88"/>
  <c r="K101" i="88" s="1"/>
  <c r="L101" i="88" s="1"/>
  <c r="I37" i="88"/>
  <c r="K37" i="88" s="1"/>
  <c r="L37" i="88" s="1"/>
  <c r="I43" i="88"/>
  <c r="K43" i="88" s="1"/>
  <c r="L43" i="88" s="1"/>
  <c r="I44" i="88"/>
  <c r="K44" i="88" s="1"/>
  <c r="L44" i="88" s="1"/>
  <c r="I45" i="88"/>
  <c r="K45" i="88" s="1"/>
  <c r="L45" i="88" s="1"/>
  <c r="I56" i="88"/>
  <c r="K56" i="88" s="1"/>
  <c r="L56" i="88" s="1"/>
  <c r="I58" i="88"/>
  <c r="K58" i="88" s="1"/>
  <c r="L58" i="88" s="1"/>
  <c r="I59" i="88"/>
  <c r="J60" i="88"/>
  <c r="J61" i="88"/>
  <c r="J78" i="88"/>
  <c r="I78" i="88"/>
  <c r="K78" i="88" s="1"/>
  <c r="L78" i="88" s="1"/>
  <c r="I85" i="88"/>
  <c r="I100" i="88"/>
  <c r="K100" i="88" s="1"/>
  <c r="L100" i="88" s="1"/>
  <c r="J43" i="88"/>
  <c r="J44" i="88"/>
  <c r="I54" i="88"/>
  <c r="I55" i="88"/>
  <c r="J56" i="88"/>
  <c r="J58" i="88"/>
  <c r="J59" i="88"/>
  <c r="I84" i="88"/>
  <c r="K84" i="88" s="1"/>
  <c r="L84" i="88" s="1"/>
  <c r="J85" i="88"/>
  <c r="J98" i="88"/>
  <c r="I99" i="88"/>
  <c r="K99" i="88" s="1"/>
  <c r="L99" i="88" s="1"/>
  <c r="K115" i="88"/>
  <c r="L115" i="88" s="1"/>
  <c r="J55" i="88"/>
  <c r="J66" i="88" s="1"/>
  <c r="J67" i="88" s="1"/>
  <c r="F126" i="88"/>
  <c r="K120" i="88"/>
  <c r="L120" i="88" s="1"/>
  <c r="G127" i="88"/>
  <c r="A6" i="87"/>
  <c r="A5" i="87"/>
  <c r="A4" i="87"/>
  <c r="A3" i="87"/>
  <c r="A2" i="87"/>
  <c r="K25" i="89" l="1"/>
  <c r="L25" i="89" s="1"/>
  <c r="K22" i="89"/>
  <c r="L22" i="89" s="1"/>
  <c r="K18" i="89"/>
  <c r="L18" i="89" s="1"/>
  <c r="K56" i="89"/>
  <c r="L56" i="89" s="1"/>
  <c r="M56" i="89" s="1"/>
  <c r="N56" i="89" s="1"/>
  <c r="H67" i="89"/>
  <c r="H90" i="89"/>
  <c r="H91" i="89" s="1"/>
  <c r="K39" i="89"/>
  <c r="L39" i="89" s="1"/>
  <c r="M39" i="89" s="1"/>
  <c r="N39" i="89" s="1"/>
  <c r="K43" i="89"/>
  <c r="L43" i="89" s="1"/>
  <c r="M43" i="89" s="1"/>
  <c r="K38" i="89"/>
  <c r="L38" i="89" s="1"/>
  <c r="K35" i="89"/>
  <c r="L35" i="89" s="1"/>
  <c r="K57" i="89"/>
  <c r="L57" i="89" s="1"/>
  <c r="K60" i="89"/>
  <c r="L60" i="89" s="1"/>
  <c r="K21" i="89"/>
  <c r="L21" i="89" s="1"/>
  <c r="K80" i="89"/>
  <c r="L80" i="89" s="1"/>
  <c r="M80" i="89" s="1"/>
  <c r="N80" i="89" s="1"/>
  <c r="I86" i="89"/>
  <c r="I87" i="89" s="1"/>
  <c r="K65" i="89"/>
  <c r="L65" i="89" s="1"/>
  <c r="M65" i="89" s="1"/>
  <c r="N65" i="89" s="1"/>
  <c r="K64" i="89"/>
  <c r="L64" i="89" s="1"/>
  <c r="M64" i="89" s="1"/>
  <c r="N64" i="89" s="1"/>
  <c r="M21" i="89"/>
  <c r="N21" i="89" s="1"/>
  <c r="M82" i="89"/>
  <c r="N82" i="89"/>
  <c r="M78" i="89"/>
  <c r="N78" i="89"/>
  <c r="M83" i="89"/>
  <c r="N83" i="89" s="1"/>
  <c r="M22" i="89"/>
  <c r="N22" i="89" s="1"/>
  <c r="O24" i="89"/>
  <c r="P24" i="89" s="1"/>
  <c r="Q24" i="89" s="1"/>
  <c r="R24" i="89" s="1"/>
  <c r="M81" i="89"/>
  <c r="N81" i="89" s="1"/>
  <c r="M18" i="89"/>
  <c r="N18" i="89" s="1"/>
  <c r="N45" i="89"/>
  <c r="M45" i="89"/>
  <c r="M17" i="89"/>
  <c r="N17" i="89" s="1"/>
  <c r="M23" i="89"/>
  <c r="N23" i="89" s="1"/>
  <c r="M42" i="89"/>
  <c r="N42" i="89" s="1"/>
  <c r="M38" i="89"/>
  <c r="N38" i="89"/>
  <c r="M19" i="89"/>
  <c r="N19" i="89" s="1"/>
  <c r="O20" i="89"/>
  <c r="P20" i="89" s="1"/>
  <c r="Q20" i="89" s="1"/>
  <c r="R20" i="89" s="1"/>
  <c r="M61" i="89"/>
  <c r="N61" i="89" s="1"/>
  <c r="M15" i="89"/>
  <c r="N15" i="89" s="1"/>
  <c r="M35" i="89"/>
  <c r="N35" i="89" s="1"/>
  <c r="O16" i="89"/>
  <c r="P16" i="89" s="1"/>
  <c r="Q16" i="89" s="1"/>
  <c r="R16" i="89" s="1"/>
  <c r="O59" i="89"/>
  <c r="P59" i="89" s="1"/>
  <c r="Q59" i="89" s="1"/>
  <c r="R59" i="89" s="1"/>
  <c r="M84" i="89"/>
  <c r="N84" i="89" s="1"/>
  <c r="L74" i="89"/>
  <c r="J46" i="89"/>
  <c r="J47" i="89" s="1"/>
  <c r="M85" i="89"/>
  <c r="N85" i="89" s="1"/>
  <c r="J86" i="89"/>
  <c r="J87" i="89" s="1"/>
  <c r="M75" i="89"/>
  <c r="N75" i="89" s="1"/>
  <c r="M77" i="89"/>
  <c r="N77" i="89" s="1"/>
  <c r="K37" i="89"/>
  <c r="L37" i="89" s="1"/>
  <c r="M79" i="89"/>
  <c r="N79" i="89" s="1"/>
  <c r="M60" i="89"/>
  <c r="N60" i="89" s="1"/>
  <c r="M41" i="89"/>
  <c r="N41" i="89" s="1"/>
  <c r="M36" i="89"/>
  <c r="N36" i="89" s="1"/>
  <c r="K76" i="89"/>
  <c r="L76" i="89" s="1"/>
  <c r="K34" i="89"/>
  <c r="I26" i="89"/>
  <c r="I27" i="89" s="1"/>
  <c r="I46" i="89"/>
  <c r="I47" i="89" s="1"/>
  <c r="O55" i="89"/>
  <c r="P55" i="89" s="1"/>
  <c r="Q55" i="89" s="1"/>
  <c r="R55" i="89" s="1"/>
  <c r="M62" i="89"/>
  <c r="N62" i="89" s="1"/>
  <c r="M57" i="89"/>
  <c r="N57" i="89" s="1"/>
  <c r="M25" i="89"/>
  <c r="N25" i="89" s="1"/>
  <c r="J66" i="89"/>
  <c r="J26" i="89"/>
  <c r="J27" i="89" s="1"/>
  <c r="M63" i="89"/>
  <c r="N63" i="89" s="1"/>
  <c r="M44" i="89"/>
  <c r="N44" i="89" s="1"/>
  <c r="M58" i="89"/>
  <c r="N58" i="89" s="1"/>
  <c r="M40" i="89"/>
  <c r="N40" i="89" s="1"/>
  <c r="K54" i="89"/>
  <c r="I66" i="89"/>
  <c r="K14" i="89"/>
  <c r="M79" i="88"/>
  <c r="N79" i="88" s="1"/>
  <c r="M25" i="88"/>
  <c r="N25" i="88" s="1"/>
  <c r="M58" i="88"/>
  <c r="N58" i="88" s="1"/>
  <c r="M65" i="88"/>
  <c r="N65" i="88" s="1"/>
  <c r="M18" i="88"/>
  <c r="N18" i="88" s="1"/>
  <c r="M36" i="88"/>
  <c r="N36" i="88" s="1"/>
  <c r="M100" i="88"/>
  <c r="N100" i="88" s="1"/>
  <c r="I127" i="88"/>
  <c r="M37" i="88"/>
  <c r="N37" i="88" s="1"/>
  <c r="M103" i="88"/>
  <c r="N103" i="88" s="1"/>
  <c r="O16" i="88"/>
  <c r="P16" i="88" s="1"/>
  <c r="Q16" i="88" s="1"/>
  <c r="R16" i="88" s="1"/>
  <c r="M64" i="88"/>
  <c r="N64" i="88" s="1"/>
  <c r="M44" i="88"/>
  <c r="N44" i="88" s="1"/>
  <c r="M80" i="88"/>
  <c r="N80" i="88" s="1"/>
  <c r="M63" i="88"/>
  <c r="N63" i="88" s="1"/>
  <c r="O15" i="88"/>
  <c r="P15" i="88" s="1"/>
  <c r="Q15" i="88" s="1"/>
  <c r="R15" i="88" s="1"/>
  <c r="M78" i="88"/>
  <c r="N78" i="88" s="1"/>
  <c r="M62" i="88"/>
  <c r="N62" i="88" s="1"/>
  <c r="O23" i="88"/>
  <c r="P23" i="88" s="1"/>
  <c r="Q23" i="88" s="1"/>
  <c r="R23" i="88" s="1"/>
  <c r="O121" i="88"/>
  <c r="P121" i="88" s="1"/>
  <c r="Q121" i="88" s="1"/>
  <c r="R121" i="88" s="1"/>
  <c r="M45" i="88"/>
  <c r="N45" i="88" s="1"/>
  <c r="M39" i="88"/>
  <c r="N39" i="88" s="1"/>
  <c r="M43" i="88"/>
  <c r="N43" i="88" s="1"/>
  <c r="O117" i="88"/>
  <c r="P117" i="88"/>
  <c r="Q117" i="88" s="1"/>
  <c r="R117" i="88" s="1"/>
  <c r="J127" i="88"/>
  <c r="O81" i="88"/>
  <c r="P81" i="88" s="1"/>
  <c r="Q81" i="88" s="1"/>
  <c r="R81" i="88" s="1"/>
  <c r="M95" i="88"/>
  <c r="N95" i="88" s="1"/>
  <c r="M104" i="88"/>
  <c r="N104" i="88" s="1"/>
  <c r="M96" i="88"/>
  <c r="N96" i="88" s="1"/>
  <c r="M35" i="88"/>
  <c r="N35" i="88" s="1"/>
  <c r="O19" i="88"/>
  <c r="P19" i="88"/>
  <c r="Q19" i="88" s="1"/>
  <c r="R19" i="88" s="1"/>
  <c r="J86" i="88"/>
  <c r="J87" i="88" s="1"/>
  <c r="M98" i="88"/>
  <c r="N98" i="88" s="1"/>
  <c r="O24" i="88"/>
  <c r="P24" i="88" s="1"/>
  <c r="Q24" i="88" s="1"/>
  <c r="R24" i="88" s="1"/>
  <c r="N41" i="88"/>
  <c r="M41" i="88"/>
  <c r="M59" i="88"/>
  <c r="N59" i="88" s="1"/>
  <c r="I46" i="88"/>
  <c r="I47" i="88" s="1"/>
  <c r="K34" i="88"/>
  <c r="I106" i="88"/>
  <c r="I107" i="88" s="1"/>
  <c r="K94" i="88"/>
  <c r="K55" i="88"/>
  <c r="L55" i="88" s="1"/>
  <c r="O116" i="88"/>
  <c r="P116" i="88" s="1"/>
  <c r="Q116" i="88" s="1"/>
  <c r="R116" i="88" s="1"/>
  <c r="M115" i="88"/>
  <c r="N115" i="88" s="1"/>
  <c r="M83" i="88"/>
  <c r="N83" i="88"/>
  <c r="M61" i="88"/>
  <c r="N61" i="88"/>
  <c r="M76" i="88"/>
  <c r="N76" i="88" s="1"/>
  <c r="K122" i="88"/>
  <c r="L122" i="88" s="1"/>
  <c r="J26" i="88"/>
  <c r="J27" i="88" s="1"/>
  <c r="K14" i="88"/>
  <c r="M84" i="88"/>
  <c r="N84" i="88" s="1"/>
  <c r="P125" i="88"/>
  <c r="Q125" i="88" s="1"/>
  <c r="R125" i="88" s="1"/>
  <c r="O125" i="88"/>
  <c r="O57" i="88"/>
  <c r="P57" i="88" s="1"/>
  <c r="Q57" i="88" s="1"/>
  <c r="R57" i="88" s="1"/>
  <c r="M105" i="88"/>
  <c r="N105" i="88" s="1"/>
  <c r="M119" i="88"/>
  <c r="N119" i="88" s="1"/>
  <c r="K22" i="88"/>
  <c r="L22" i="88" s="1"/>
  <c r="M21" i="88"/>
  <c r="N21" i="88" s="1"/>
  <c r="K54" i="88"/>
  <c r="I66" i="88"/>
  <c r="I67" i="88" s="1"/>
  <c r="M85" i="88"/>
  <c r="N85" i="88"/>
  <c r="M99" i="88"/>
  <c r="N99" i="88" s="1"/>
  <c r="M82" i="88"/>
  <c r="N82" i="88"/>
  <c r="M40" i="88"/>
  <c r="N40" i="88" s="1"/>
  <c r="O20" i="88"/>
  <c r="P20" i="88" s="1"/>
  <c r="Q20" i="88" s="1"/>
  <c r="R20" i="88" s="1"/>
  <c r="K75" i="88"/>
  <c r="L75" i="88" s="1"/>
  <c r="H129" i="88"/>
  <c r="H130" i="88" s="1"/>
  <c r="H127" i="88"/>
  <c r="O17" i="88"/>
  <c r="P17" i="88" s="1"/>
  <c r="Q17" i="88" s="1"/>
  <c r="R17" i="88" s="1"/>
  <c r="L114" i="88"/>
  <c r="O123" i="88"/>
  <c r="P123" i="88" s="1"/>
  <c r="Q123" i="88" s="1"/>
  <c r="R123" i="88" s="1"/>
  <c r="M56" i="88"/>
  <c r="N56" i="88" s="1"/>
  <c r="M38" i="88"/>
  <c r="N38" i="88"/>
  <c r="M42" i="88"/>
  <c r="N42" i="88" s="1"/>
  <c r="K74" i="88"/>
  <c r="M60" i="88"/>
  <c r="N60" i="88"/>
  <c r="J46" i="88"/>
  <c r="J47" i="88" s="1"/>
  <c r="M101" i="88"/>
  <c r="N101" i="88" s="1"/>
  <c r="M102" i="88"/>
  <c r="N102" i="88" s="1"/>
  <c r="M77" i="88"/>
  <c r="N77" i="88"/>
  <c r="N120" i="88"/>
  <c r="M120" i="88"/>
  <c r="M118" i="88"/>
  <c r="N118" i="88" s="1"/>
  <c r="K97" i="88"/>
  <c r="L97" i="88" s="1"/>
  <c r="I86" i="88"/>
  <c r="I87" i="88" s="1"/>
  <c r="G15" i="5"/>
  <c r="F15" i="5"/>
  <c r="E15" i="5"/>
  <c r="D15" i="5"/>
  <c r="C15" i="5"/>
  <c r="F15" i="66"/>
  <c r="F16" i="66"/>
  <c r="F17" i="66"/>
  <c r="F18" i="66"/>
  <c r="F19" i="66"/>
  <c r="F20" i="66"/>
  <c r="F21" i="66"/>
  <c r="F22" i="66"/>
  <c r="F23" i="66"/>
  <c r="F24" i="66"/>
  <c r="F25" i="66"/>
  <c r="F14" i="66"/>
  <c r="I10" i="66"/>
  <c r="I23" i="66" s="1"/>
  <c r="J10" i="66"/>
  <c r="J14" i="66" s="1"/>
  <c r="M10" i="66"/>
  <c r="O10" i="66"/>
  <c r="A13" i="66"/>
  <c r="A14" i="66"/>
  <c r="B14" i="66"/>
  <c r="C14" i="66"/>
  <c r="H14" i="66"/>
  <c r="A15" i="66"/>
  <c r="B15" i="66"/>
  <c r="C15" i="66"/>
  <c r="H15" i="66"/>
  <c r="J15" i="66" s="1"/>
  <c r="I15" i="66"/>
  <c r="A16" i="66"/>
  <c r="B16" i="66"/>
  <c r="C16" i="66"/>
  <c r="H16" i="66"/>
  <c r="A17" i="66"/>
  <c r="B17" i="66"/>
  <c r="C17" i="66"/>
  <c r="H17" i="66"/>
  <c r="A18" i="66"/>
  <c r="B18" i="66"/>
  <c r="C18" i="66"/>
  <c r="H18" i="66"/>
  <c r="I18" i="66" s="1"/>
  <c r="A19" i="66"/>
  <c r="B19" i="66"/>
  <c r="C19" i="66"/>
  <c r="H19" i="66"/>
  <c r="A20" i="66"/>
  <c r="B20" i="66"/>
  <c r="C20" i="66"/>
  <c r="H20" i="66"/>
  <c r="A21" i="66"/>
  <c r="B21" i="66"/>
  <c r="C21" i="66"/>
  <c r="H21" i="66"/>
  <c r="J21" i="66" s="1"/>
  <c r="A22" i="66"/>
  <c r="B22" i="66"/>
  <c r="C22" i="66"/>
  <c r="H22" i="66"/>
  <c r="I22" i="66"/>
  <c r="A23" i="66"/>
  <c r="B23" i="66"/>
  <c r="C23" i="66"/>
  <c r="H23" i="66"/>
  <c r="A24" i="66"/>
  <c r="B24" i="66"/>
  <c r="C24" i="66"/>
  <c r="H24" i="66"/>
  <c r="I24" i="66" s="1"/>
  <c r="A25" i="66"/>
  <c r="B25" i="66"/>
  <c r="C25" i="66"/>
  <c r="H25" i="66"/>
  <c r="I25" i="66"/>
  <c r="G26" i="66"/>
  <c r="J67" i="89" l="1"/>
  <c r="J90" i="89"/>
  <c r="J91" i="89" s="1"/>
  <c r="I67" i="89"/>
  <c r="I90" i="89"/>
  <c r="I91" i="89" s="1"/>
  <c r="N43" i="89"/>
  <c r="O64" i="89"/>
  <c r="P64" i="89" s="1"/>
  <c r="Q64" i="89" s="1"/>
  <c r="R64" i="89" s="1"/>
  <c r="O81" i="89"/>
  <c r="P81" i="89" s="1"/>
  <c r="Q81" i="89" s="1"/>
  <c r="R81" i="89" s="1"/>
  <c r="O61" i="89"/>
  <c r="P61" i="89" s="1"/>
  <c r="Q61" i="89" s="1"/>
  <c r="R61" i="89" s="1"/>
  <c r="O39" i="89"/>
  <c r="P39" i="89"/>
  <c r="Q39" i="89" s="1"/>
  <c r="R39" i="89" s="1"/>
  <c r="O22" i="89"/>
  <c r="P22" i="89" s="1"/>
  <c r="Q22" i="89" s="1"/>
  <c r="R22" i="89" s="1"/>
  <c r="O41" i="89"/>
  <c r="P41" i="89" s="1"/>
  <c r="Q41" i="89" s="1"/>
  <c r="R41" i="89" s="1"/>
  <c r="O85" i="89"/>
  <c r="P85" i="89" s="1"/>
  <c r="Q85" i="89" s="1"/>
  <c r="R85" i="89" s="1"/>
  <c r="O57" i="89"/>
  <c r="P57" i="89" s="1"/>
  <c r="Q57" i="89" s="1"/>
  <c r="R57" i="89" s="1"/>
  <c r="O23" i="89"/>
  <c r="P23" i="89" s="1"/>
  <c r="Q23" i="89" s="1"/>
  <c r="R23" i="89" s="1"/>
  <c r="O65" i="89"/>
  <c r="P65" i="89" s="1"/>
  <c r="Q65" i="89" s="1"/>
  <c r="R65" i="89" s="1"/>
  <c r="O40" i="89"/>
  <c r="P40" i="89" s="1"/>
  <c r="Q40" i="89" s="1"/>
  <c r="R40" i="89" s="1"/>
  <c r="O36" i="89"/>
  <c r="P36" i="89"/>
  <c r="Q36" i="89" s="1"/>
  <c r="R36" i="89" s="1"/>
  <c r="O56" i="89"/>
  <c r="P56" i="89" s="1"/>
  <c r="Q56" i="89" s="1"/>
  <c r="R56" i="89" s="1"/>
  <c r="O25" i="89"/>
  <c r="P25" i="89" s="1"/>
  <c r="Q25" i="89" s="1"/>
  <c r="R25" i="89" s="1"/>
  <c r="O83" i="89"/>
  <c r="P83" i="89" s="1"/>
  <c r="Q83" i="89" s="1"/>
  <c r="R83" i="89" s="1"/>
  <c r="O60" i="89"/>
  <c r="P60" i="89" s="1"/>
  <c r="Q60" i="89" s="1"/>
  <c r="R60" i="89" s="1"/>
  <c r="O62" i="89"/>
  <c r="P62" i="89" s="1"/>
  <c r="Q62" i="89" s="1"/>
  <c r="R62" i="89" s="1"/>
  <c r="O75" i="89"/>
  <c r="P75" i="89" s="1"/>
  <c r="Q75" i="89" s="1"/>
  <c r="R75" i="89" s="1"/>
  <c r="O17" i="89"/>
  <c r="P17" i="89" s="1"/>
  <c r="Q17" i="89" s="1"/>
  <c r="R17" i="89" s="1"/>
  <c r="O42" i="89"/>
  <c r="P42" i="89" s="1"/>
  <c r="Q42" i="89" s="1"/>
  <c r="R42" i="89" s="1"/>
  <c r="O21" i="89"/>
  <c r="P21" i="89" s="1"/>
  <c r="Q21" i="89" s="1"/>
  <c r="R21" i="89" s="1"/>
  <c r="O44" i="89"/>
  <c r="P44" i="89" s="1"/>
  <c r="Q44" i="89" s="1"/>
  <c r="R44" i="89" s="1"/>
  <c r="O80" i="89"/>
  <c r="P80" i="89" s="1"/>
  <c r="Q80" i="89" s="1"/>
  <c r="R80" i="89" s="1"/>
  <c r="O15" i="89"/>
  <c r="P15" i="89" s="1"/>
  <c r="Q15" i="89" s="1"/>
  <c r="R15" i="89" s="1"/>
  <c r="O19" i="89"/>
  <c r="P19" i="89" s="1"/>
  <c r="Q19" i="89" s="1"/>
  <c r="R19" i="89" s="1"/>
  <c r="O63" i="89"/>
  <c r="P63" i="89" s="1"/>
  <c r="Q63" i="89" s="1"/>
  <c r="R63" i="89" s="1"/>
  <c r="O35" i="89"/>
  <c r="P35" i="89" s="1"/>
  <c r="Q35" i="89" s="1"/>
  <c r="R35" i="89" s="1"/>
  <c r="O18" i="89"/>
  <c r="P18" i="89" s="1"/>
  <c r="Q18" i="89" s="1"/>
  <c r="R18" i="89" s="1"/>
  <c r="M37" i="89"/>
  <c r="N37" i="89" s="1"/>
  <c r="O78" i="89"/>
  <c r="P78" i="89" s="1"/>
  <c r="Q78" i="89" s="1"/>
  <c r="R78" i="89" s="1"/>
  <c r="K66" i="89"/>
  <c r="L54" i="89"/>
  <c r="K46" i="89"/>
  <c r="K47" i="89" s="1"/>
  <c r="L34" i="89"/>
  <c r="L86" i="89"/>
  <c r="L87" i="89" s="1"/>
  <c r="M74" i="89"/>
  <c r="N74" i="89" s="1"/>
  <c r="O38" i="89"/>
  <c r="P38" i="89" s="1"/>
  <c r="Q38" i="89" s="1"/>
  <c r="R38" i="89" s="1"/>
  <c r="O58" i="89"/>
  <c r="P58" i="89" s="1"/>
  <c r="Q58" i="89" s="1"/>
  <c r="R58" i="89" s="1"/>
  <c r="L14" i="89"/>
  <c r="K26" i="89"/>
  <c r="K27" i="89" s="1"/>
  <c r="K86" i="89"/>
  <c r="K87" i="89" s="1"/>
  <c r="O43" i="89"/>
  <c r="P43" i="89" s="1"/>
  <c r="Q43" i="89" s="1"/>
  <c r="R43" i="89" s="1"/>
  <c r="O82" i="89"/>
  <c r="P82" i="89" s="1"/>
  <c r="Q82" i="89" s="1"/>
  <c r="R82" i="89" s="1"/>
  <c r="M76" i="89"/>
  <c r="N76" i="89" s="1"/>
  <c r="O79" i="89"/>
  <c r="P79" i="89" s="1"/>
  <c r="Q79" i="89" s="1"/>
  <c r="R79" i="89" s="1"/>
  <c r="O77" i="89"/>
  <c r="P77" i="89" s="1"/>
  <c r="Q77" i="89" s="1"/>
  <c r="R77" i="89" s="1"/>
  <c r="O84" i="89"/>
  <c r="P84" i="89" s="1"/>
  <c r="Q84" i="89" s="1"/>
  <c r="R84" i="89" s="1"/>
  <c r="O45" i="89"/>
  <c r="P45" i="89" s="1"/>
  <c r="Q45" i="89" s="1"/>
  <c r="R45" i="89" s="1"/>
  <c r="O65" i="88"/>
  <c r="P65" i="88"/>
  <c r="Q65" i="88" s="1"/>
  <c r="R65" i="88" s="1"/>
  <c r="O103" i="88"/>
  <c r="P103" i="88" s="1"/>
  <c r="Q103" i="88" s="1"/>
  <c r="R103" i="88" s="1"/>
  <c r="O76" i="88"/>
  <c r="P76" i="88" s="1"/>
  <c r="Q76" i="88" s="1"/>
  <c r="R76" i="88" s="1"/>
  <c r="O37" i="88"/>
  <c r="P37" i="88" s="1"/>
  <c r="Q37" i="88" s="1"/>
  <c r="R37" i="88" s="1"/>
  <c r="O40" i="88"/>
  <c r="P40" i="88" s="1"/>
  <c r="Q40" i="88" s="1"/>
  <c r="R40" i="88" s="1"/>
  <c r="O63" i="88"/>
  <c r="P63" i="88"/>
  <c r="Q63" i="88" s="1"/>
  <c r="R63" i="88" s="1"/>
  <c r="O44" i="88"/>
  <c r="P44" i="88" s="1"/>
  <c r="Q44" i="88" s="1"/>
  <c r="R44" i="88" s="1"/>
  <c r="O58" i="88"/>
  <c r="P58" i="88" s="1"/>
  <c r="Q58" i="88" s="1"/>
  <c r="R58" i="88" s="1"/>
  <c r="O119" i="88"/>
  <c r="P119" i="88"/>
  <c r="Q119" i="88" s="1"/>
  <c r="R119" i="88" s="1"/>
  <c r="O95" i="88"/>
  <c r="P95" i="88" s="1"/>
  <c r="Q95" i="88" s="1"/>
  <c r="R95" i="88" s="1"/>
  <c r="O105" i="88"/>
  <c r="P105" i="88" s="1"/>
  <c r="Q105" i="88" s="1"/>
  <c r="R105" i="88" s="1"/>
  <c r="O36" i="88"/>
  <c r="P36" i="88" s="1"/>
  <c r="Q36" i="88" s="1"/>
  <c r="R36" i="88" s="1"/>
  <c r="O42" i="88"/>
  <c r="P42" i="88" s="1"/>
  <c r="Q42" i="88" s="1"/>
  <c r="R42" i="88" s="1"/>
  <c r="O115" i="88"/>
  <c r="P115" i="88" s="1"/>
  <c r="Q115" i="88" s="1"/>
  <c r="R115" i="88" s="1"/>
  <c r="O80" i="88"/>
  <c r="P80" i="88" s="1"/>
  <c r="Q80" i="88" s="1"/>
  <c r="R80" i="88" s="1"/>
  <c r="O56" i="88"/>
  <c r="P56" i="88" s="1"/>
  <c r="Q56" i="88" s="1"/>
  <c r="R56" i="88" s="1"/>
  <c r="O99" i="88"/>
  <c r="P99" i="88" s="1"/>
  <c r="Q99" i="88" s="1"/>
  <c r="R99" i="88" s="1"/>
  <c r="O84" i="88"/>
  <c r="P84" i="88" s="1"/>
  <c r="Q84" i="88" s="1"/>
  <c r="R84" i="88" s="1"/>
  <c r="O43" i="88"/>
  <c r="P43" i="88" s="1"/>
  <c r="Q43" i="88" s="1"/>
  <c r="R43" i="88" s="1"/>
  <c r="O39" i="88"/>
  <c r="P39" i="88" s="1"/>
  <c r="Q39" i="88" s="1"/>
  <c r="R39" i="88" s="1"/>
  <c r="O64" i="88"/>
  <c r="P64" i="88"/>
  <c r="Q64" i="88" s="1"/>
  <c r="R64" i="88" s="1"/>
  <c r="O25" i="88"/>
  <c r="P25" i="88" s="1"/>
  <c r="Q25" i="88" s="1"/>
  <c r="R25" i="88" s="1"/>
  <c r="O21" i="88"/>
  <c r="P21" i="88" s="1"/>
  <c r="Q21" i="88" s="1"/>
  <c r="R21" i="88" s="1"/>
  <c r="O62" i="88"/>
  <c r="P62" i="88"/>
  <c r="Q62" i="88" s="1"/>
  <c r="R62" i="88" s="1"/>
  <c r="O118" i="88"/>
  <c r="P118" i="88"/>
  <c r="Q118" i="88" s="1"/>
  <c r="R118" i="88" s="1"/>
  <c r="O35" i="88"/>
  <c r="P35" i="88" s="1"/>
  <c r="Q35" i="88" s="1"/>
  <c r="R35" i="88" s="1"/>
  <c r="O45" i="88"/>
  <c r="P45" i="88"/>
  <c r="Q45" i="88" s="1"/>
  <c r="R45" i="88" s="1"/>
  <c r="O79" i="88"/>
  <c r="P79" i="88"/>
  <c r="Q79" i="88" s="1"/>
  <c r="R79" i="88" s="1"/>
  <c r="M97" i="88"/>
  <c r="N97" i="88" s="1"/>
  <c r="O60" i="88"/>
  <c r="P60" i="88" s="1"/>
  <c r="Q60" i="88" s="1"/>
  <c r="R60" i="88" s="1"/>
  <c r="O85" i="88"/>
  <c r="P85" i="88"/>
  <c r="Q85" i="88" s="1"/>
  <c r="R85" i="88" s="1"/>
  <c r="O59" i="88"/>
  <c r="P59" i="88"/>
  <c r="Q59" i="88" s="1"/>
  <c r="R59" i="88" s="1"/>
  <c r="O78" i="88"/>
  <c r="P78" i="88" s="1"/>
  <c r="Q78" i="88" s="1"/>
  <c r="R78" i="88" s="1"/>
  <c r="O77" i="88"/>
  <c r="P77" i="88"/>
  <c r="Q77" i="88" s="1"/>
  <c r="R77" i="88" s="1"/>
  <c r="O38" i="88"/>
  <c r="P38" i="88" s="1"/>
  <c r="Q38" i="88" s="1"/>
  <c r="R38" i="88" s="1"/>
  <c r="M75" i="88"/>
  <c r="N75" i="88"/>
  <c r="L54" i="88"/>
  <c r="K66" i="88"/>
  <c r="K67" i="88" s="1"/>
  <c r="L126" i="88"/>
  <c r="M114" i="88"/>
  <c r="O61" i="88"/>
  <c r="P61" i="88" s="1"/>
  <c r="Q61" i="88" s="1"/>
  <c r="R61" i="88" s="1"/>
  <c r="L14" i="88"/>
  <c r="K26" i="88"/>
  <c r="K27" i="88" s="1"/>
  <c r="O120" i="88"/>
  <c r="P120" i="88" s="1"/>
  <c r="Q120" i="88" s="1"/>
  <c r="R120" i="88" s="1"/>
  <c r="M55" i="88"/>
  <c r="N55" i="88" s="1"/>
  <c r="O98" i="88"/>
  <c r="P98" i="88" s="1"/>
  <c r="Q98" i="88" s="1"/>
  <c r="R98" i="88" s="1"/>
  <c r="I129" i="88"/>
  <c r="I130" i="88" s="1"/>
  <c r="K86" i="88"/>
  <c r="K87" i="88" s="1"/>
  <c r="L74" i="88"/>
  <c r="O41" i="88"/>
  <c r="P41" i="88"/>
  <c r="Q41" i="88" s="1"/>
  <c r="R41" i="88" s="1"/>
  <c r="O82" i="88"/>
  <c r="P82" i="88" s="1"/>
  <c r="Q82" i="88" s="1"/>
  <c r="R82" i="88" s="1"/>
  <c r="J129" i="88"/>
  <c r="J130" i="88" s="1"/>
  <c r="O100" i="88"/>
  <c r="P100" i="88" s="1"/>
  <c r="Q100" i="88" s="1"/>
  <c r="R100" i="88" s="1"/>
  <c r="O83" i="88"/>
  <c r="P83" i="88" s="1"/>
  <c r="Q83" i="88" s="1"/>
  <c r="R83" i="88" s="1"/>
  <c r="O96" i="88"/>
  <c r="P96" i="88" s="1"/>
  <c r="Q96" i="88" s="1"/>
  <c r="R96" i="88" s="1"/>
  <c r="O18" i="88"/>
  <c r="P18" i="88" s="1"/>
  <c r="Q18" i="88" s="1"/>
  <c r="R18" i="88" s="1"/>
  <c r="O104" i="88"/>
  <c r="P104" i="88" s="1"/>
  <c r="Q104" i="88" s="1"/>
  <c r="R104" i="88" s="1"/>
  <c r="O102" i="88"/>
  <c r="P102" i="88" s="1"/>
  <c r="Q102" i="88" s="1"/>
  <c r="R102" i="88" s="1"/>
  <c r="M22" i="88"/>
  <c r="N22" i="88" s="1"/>
  <c r="O101" i="88"/>
  <c r="P101" i="88" s="1"/>
  <c r="Q101" i="88" s="1"/>
  <c r="R101" i="88" s="1"/>
  <c r="M122" i="88"/>
  <c r="N122" i="88" s="1"/>
  <c r="K106" i="88"/>
  <c r="K107" i="88" s="1"/>
  <c r="L94" i="88"/>
  <c r="K126" i="88"/>
  <c r="L34" i="88"/>
  <c r="K46" i="88"/>
  <c r="K47" i="88" s="1"/>
  <c r="J23" i="66"/>
  <c r="I20" i="66"/>
  <c r="I17" i="66"/>
  <c r="J25" i="66"/>
  <c r="K25" i="66" s="1"/>
  <c r="L25" i="66" s="1"/>
  <c r="M25" i="66" s="1"/>
  <c r="N25" i="66" s="1"/>
  <c r="J22" i="66"/>
  <c r="K22" i="66" s="1"/>
  <c r="L22" i="66" s="1"/>
  <c r="M22" i="66" s="1"/>
  <c r="N22" i="66" s="1"/>
  <c r="J17" i="66"/>
  <c r="J19" i="66"/>
  <c r="I19" i="66"/>
  <c r="K19" i="66" s="1"/>
  <c r="L19" i="66" s="1"/>
  <c r="M19" i="66" s="1"/>
  <c r="N19" i="66" s="1"/>
  <c r="I14" i="66"/>
  <c r="K14" i="66" s="1"/>
  <c r="L14" i="66" s="1"/>
  <c r="I21" i="66"/>
  <c r="K21" i="66" s="1"/>
  <c r="L21" i="66" s="1"/>
  <c r="M21" i="66" s="1"/>
  <c r="N21" i="66" s="1"/>
  <c r="I16" i="66"/>
  <c r="K23" i="66"/>
  <c r="L23" i="66" s="1"/>
  <c r="M23" i="66" s="1"/>
  <c r="N23" i="66" s="1"/>
  <c r="H26" i="66"/>
  <c r="H27" i="66" s="1"/>
  <c r="J18" i="66"/>
  <c r="K18" i="66" s="1"/>
  <c r="L18" i="66" s="1"/>
  <c r="K15" i="66"/>
  <c r="L15" i="66" s="1"/>
  <c r="M15" i="66" s="1"/>
  <c r="N15" i="66" s="1"/>
  <c r="F26" i="66"/>
  <c r="G27" i="66"/>
  <c r="J24" i="66"/>
  <c r="K24" i="66" s="1"/>
  <c r="L24" i="66" s="1"/>
  <c r="J20" i="66"/>
  <c r="K20" i="66" s="1"/>
  <c r="L20" i="66" s="1"/>
  <c r="J16" i="66"/>
  <c r="A40" i="66"/>
  <c r="A60" i="66" s="1"/>
  <c r="A80" i="66" s="1"/>
  <c r="A100" i="66" s="1"/>
  <c r="A120" i="66" s="1"/>
  <c r="A41" i="66"/>
  <c r="A61" i="66" s="1"/>
  <c r="A81" i="66" s="1"/>
  <c r="A101" i="66" s="1"/>
  <c r="A121" i="66" s="1"/>
  <c r="A42" i="66"/>
  <c r="A62" i="66" s="1"/>
  <c r="A82" i="66" s="1"/>
  <c r="A102" i="66" s="1"/>
  <c r="A122" i="66" s="1"/>
  <c r="A43" i="66"/>
  <c r="A63" i="66" s="1"/>
  <c r="A83" i="66" s="1"/>
  <c r="A103" i="66" s="1"/>
  <c r="A123" i="66" s="1"/>
  <c r="A44" i="66"/>
  <c r="A64" i="66" s="1"/>
  <c r="A84" i="66" s="1"/>
  <c r="A104" i="66" s="1"/>
  <c r="A124" i="66" s="1"/>
  <c r="A45" i="66"/>
  <c r="A65" i="66" s="1"/>
  <c r="A85" i="66" s="1"/>
  <c r="A105" i="66" s="1"/>
  <c r="A125" i="66" s="1"/>
  <c r="F125" i="66"/>
  <c r="F124" i="66"/>
  <c r="F123" i="66"/>
  <c r="F122" i="66"/>
  <c r="F121" i="66"/>
  <c r="F120" i="66"/>
  <c r="F119" i="66"/>
  <c r="F118" i="66"/>
  <c r="F117" i="66"/>
  <c r="F116" i="66"/>
  <c r="F115" i="66"/>
  <c r="F114" i="66"/>
  <c r="F105" i="66"/>
  <c r="F104" i="66"/>
  <c r="F103" i="66"/>
  <c r="F102" i="66"/>
  <c r="F101" i="66"/>
  <c r="F100" i="66"/>
  <c r="F99" i="66"/>
  <c r="F98" i="66"/>
  <c r="F97" i="66"/>
  <c r="F96" i="66"/>
  <c r="F95" i="66"/>
  <c r="F94" i="66"/>
  <c r="F85" i="66"/>
  <c r="F84" i="66"/>
  <c r="F83" i="66"/>
  <c r="F82" i="66"/>
  <c r="F81" i="66"/>
  <c r="F80" i="66"/>
  <c r="F79" i="66"/>
  <c r="F78" i="66"/>
  <c r="F77" i="66"/>
  <c r="F76" i="66"/>
  <c r="F75" i="66"/>
  <c r="F74" i="66"/>
  <c r="F35" i="66"/>
  <c r="F36" i="66"/>
  <c r="F37" i="66"/>
  <c r="F38" i="66"/>
  <c r="F39" i="66"/>
  <c r="F40" i="66"/>
  <c r="F41" i="66"/>
  <c r="F42" i="66"/>
  <c r="F43" i="66"/>
  <c r="F44" i="66"/>
  <c r="F45" i="66"/>
  <c r="F34" i="66"/>
  <c r="F55" i="66"/>
  <c r="F56" i="66"/>
  <c r="F57" i="66"/>
  <c r="F58" i="66"/>
  <c r="F59" i="66"/>
  <c r="F60" i="66"/>
  <c r="F61" i="66"/>
  <c r="F62" i="66"/>
  <c r="F63" i="66"/>
  <c r="F64" i="66"/>
  <c r="F65" i="66"/>
  <c r="F54" i="66"/>
  <c r="H35" i="66"/>
  <c r="H36" i="66"/>
  <c r="H37" i="66"/>
  <c r="H38" i="66"/>
  <c r="H39" i="66"/>
  <c r="H40" i="66"/>
  <c r="H41" i="66"/>
  <c r="H42" i="66"/>
  <c r="H43" i="66"/>
  <c r="H44" i="66"/>
  <c r="H45" i="66"/>
  <c r="H34" i="66"/>
  <c r="B40" i="66"/>
  <c r="B60" i="66" s="1"/>
  <c r="B80" i="66" s="1"/>
  <c r="B100" i="66" s="1"/>
  <c r="B120" i="66" s="1"/>
  <c r="B41" i="66"/>
  <c r="B61" i="66" s="1"/>
  <c r="B81" i="66" s="1"/>
  <c r="B101" i="66" s="1"/>
  <c r="B121" i="66" s="1"/>
  <c r="B42" i="66"/>
  <c r="B62" i="66" s="1"/>
  <c r="B82" i="66" s="1"/>
  <c r="B102" i="66" s="1"/>
  <c r="B122" i="66" s="1"/>
  <c r="B43" i="66"/>
  <c r="B63" i="66" s="1"/>
  <c r="B83" i="66" s="1"/>
  <c r="B103" i="66" s="1"/>
  <c r="B123" i="66" s="1"/>
  <c r="B44" i="66"/>
  <c r="B64" i="66" s="1"/>
  <c r="B84" i="66" s="1"/>
  <c r="B104" i="66" s="1"/>
  <c r="B124" i="66" s="1"/>
  <c r="C35" i="66"/>
  <c r="C55" i="66" s="1"/>
  <c r="C36" i="66"/>
  <c r="C56" i="66" s="1"/>
  <c r="C37" i="66"/>
  <c r="C57" i="66" s="1"/>
  <c r="C38" i="66"/>
  <c r="C58" i="66" s="1"/>
  <c r="C39" i="66"/>
  <c r="C59" i="66" s="1"/>
  <c r="C40" i="66"/>
  <c r="C60" i="66" s="1"/>
  <c r="C80" i="66" s="1"/>
  <c r="C100" i="66" s="1"/>
  <c r="C120" i="66" s="1"/>
  <c r="C41" i="66"/>
  <c r="C61" i="66" s="1"/>
  <c r="C81" i="66" s="1"/>
  <c r="C101" i="66" s="1"/>
  <c r="C121" i="66" s="1"/>
  <c r="C42" i="66"/>
  <c r="C62" i="66" s="1"/>
  <c r="C82" i="66" s="1"/>
  <c r="C102" i="66" s="1"/>
  <c r="C122" i="66" s="1"/>
  <c r="C43" i="66"/>
  <c r="C63" i="66" s="1"/>
  <c r="C83" i="66" s="1"/>
  <c r="C103" i="66" s="1"/>
  <c r="C123" i="66" s="1"/>
  <c r="C44" i="66"/>
  <c r="C64" i="66" s="1"/>
  <c r="C84" i="66" s="1"/>
  <c r="C104" i="66" s="1"/>
  <c r="C124" i="66" s="1"/>
  <c r="C45" i="66"/>
  <c r="C65" i="66" s="1"/>
  <c r="C85" i="66" s="1"/>
  <c r="H11" i="81"/>
  <c r="J11" i="81" s="1"/>
  <c r="L11" i="81" s="1"/>
  <c r="N11" i="81" s="1"/>
  <c r="H12" i="81"/>
  <c r="J12" i="81" s="1"/>
  <c r="H13" i="81"/>
  <c r="J13" i="81" s="1"/>
  <c r="L13" i="81" s="1"/>
  <c r="N13" i="81" s="1"/>
  <c r="H14" i="81"/>
  <c r="J14" i="81" s="1"/>
  <c r="L14" i="81" s="1"/>
  <c r="N14" i="81" s="1"/>
  <c r="H15" i="81"/>
  <c r="H58" i="66" s="1"/>
  <c r="H16" i="81"/>
  <c r="H59" i="66" s="1"/>
  <c r="H17" i="81"/>
  <c r="J17" i="81" s="1"/>
  <c r="L17" i="81" s="1"/>
  <c r="N17" i="81" s="1"/>
  <c r="J32" i="86"/>
  <c r="I32" i="86"/>
  <c r="J26" i="86"/>
  <c r="J33" i="86" s="1"/>
  <c r="I26" i="86"/>
  <c r="I33" i="86" s="1"/>
  <c r="G40" i="86"/>
  <c r="H32" i="86"/>
  <c r="G32" i="86"/>
  <c r="H26" i="86"/>
  <c r="G26" i="86"/>
  <c r="J26" i="85"/>
  <c r="J22" i="85"/>
  <c r="J27" i="85" s="1"/>
  <c r="I22" i="85"/>
  <c r="I27" i="85" s="1"/>
  <c r="G26" i="85"/>
  <c r="G27" i="85" s="1"/>
  <c r="H22" i="85"/>
  <c r="H27" i="85" s="1"/>
  <c r="G22" i="85"/>
  <c r="J33" i="84"/>
  <c r="I33" i="84"/>
  <c r="I26" i="84"/>
  <c r="J22" i="84"/>
  <c r="J27" i="84" s="1"/>
  <c r="J35" i="84" s="1"/>
  <c r="I22" i="84"/>
  <c r="I27" i="84" s="1"/>
  <c r="I35" i="84" s="1"/>
  <c r="H33" i="84"/>
  <c r="G33" i="84"/>
  <c r="G26" i="84"/>
  <c r="H22" i="84"/>
  <c r="H27" i="84" s="1"/>
  <c r="H35" i="84" s="1"/>
  <c r="G22" i="84"/>
  <c r="A6" i="86"/>
  <c r="A5" i="86"/>
  <c r="A4" i="86"/>
  <c r="A3" i="86"/>
  <c r="A2" i="86"/>
  <c r="A6" i="85"/>
  <c r="A5" i="85"/>
  <c r="A4" i="85"/>
  <c r="A3" i="85"/>
  <c r="A2" i="85"/>
  <c r="F32" i="86"/>
  <c r="E32" i="86"/>
  <c r="D32" i="86"/>
  <c r="C32" i="86"/>
  <c r="B32" i="86"/>
  <c r="F26" i="86"/>
  <c r="F33" i="86" s="1"/>
  <c r="E26" i="86"/>
  <c r="E33" i="86" s="1"/>
  <c r="D26" i="86"/>
  <c r="C26" i="86"/>
  <c r="B26" i="86"/>
  <c r="B33" i="86" s="1"/>
  <c r="E33" i="85"/>
  <c r="E26" i="85"/>
  <c r="D26" i="85"/>
  <c r="C26" i="85"/>
  <c r="C27" i="85" s="1"/>
  <c r="B26" i="85"/>
  <c r="F22" i="85"/>
  <c r="F27" i="85" s="1"/>
  <c r="E22" i="85"/>
  <c r="E27" i="85" s="1"/>
  <c r="D22" i="85"/>
  <c r="D27" i="85" s="1"/>
  <c r="C22" i="85"/>
  <c r="B22" i="85"/>
  <c r="B27" i="85" s="1"/>
  <c r="A6" i="84"/>
  <c r="A5" i="84"/>
  <c r="A4" i="84"/>
  <c r="A3" i="84"/>
  <c r="A2" i="84"/>
  <c r="F33" i="84"/>
  <c r="E33" i="84"/>
  <c r="D33" i="84"/>
  <c r="C33" i="84"/>
  <c r="B33" i="84"/>
  <c r="E26" i="84"/>
  <c r="D26" i="84"/>
  <c r="C26" i="84"/>
  <c r="B26" i="84"/>
  <c r="F22" i="84"/>
  <c r="F27" i="84" s="1"/>
  <c r="F35" i="84" s="1"/>
  <c r="E22" i="84"/>
  <c r="D22" i="84"/>
  <c r="C22" i="84"/>
  <c r="B22" i="84"/>
  <c r="B27" i="84" s="1"/>
  <c r="B35" i="84" s="1"/>
  <c r="A6" i="58"/>
  <c r="A6" i="5"/>
  <c r="A6" i="59"/>
  <c r="A6" i="81"/>
  <c r="A6" i="66"/>
  <c r="A6" i="63"/>
  <c r="A6" i="62"/>
  <c r="K67" i="89" l="1"/>
  <c r="K90" i="89"/>
  <c r="K91" i="89" s="1"/>
  <c r="O74" i="89"/>
  <c r="N86" i="89"/>
  <c r="O76" i="89"/>
  <c r="P76" i="89" s="1"/>
  <c r="Q76" i="89" s="1"/>
  <c r="R76" i="89" s="1"/>
  <c r="L66" i="89"/>
  <c r="M54" i="89"/>
  <c r="M66" i="89" s="1"/>
  <c r="M14" i="89"/>
  <c r="M26" i="89" s="1"/>
  <c r="M27" i="89" s="1"/>
  <c r="L26" i="89"/>
  <c r="L27" i="89" s="1"/>
  <c r="M86" i="89"/>
  <c r="M87" i="89" s="1"/>
  <c r="O37" i="89"/>
  <c r="P37" i="89" s="1"/>
  <c r="Q37" i="89" s="1"/>
  <c r="R37" i="89" s="1"/>
  <c r="L46" i="89"/>
  <c r="L47" i="89" s="1"/>
  <c r="M34" i="89"/>
  <c r="M46" i="89" s="1"/>
  <c r="M47" i="89" s="1"/>
  <c r="O122" i="88"/>
  <c r="P122" i="88" s="1"/>
  <c r="Q122" i="88" s="1"/>
  <c r="R122" i="88" s="1"/>
  <c r="O22" i="88"/>
  <c r="P22" i="88" s="1"/>
  <c r="Q22" i="88" s="1"/>
  <c r="R22" i="88" s="1"/>
  <c r="L106" i="88"/>
  <c r="L107" i="88" s="1"/>
  <c r="M94" i="88"/>
  <c r="M106" i="88" s="1"/>
  <c r="M107" i="88" s="1"/>
  <c r="L46" i="88"/>
  <c r="L47" i="88" s="1"/>
  <c r="M34" i="88"/>
  <c r="M46" i="88" s="1"/>
  <c r="M47" i="88" s="1"/>
  <c r="K127" i="88"/>
  <c r="K129" i="88"/>
  <c r="K130" i="88" s="1"/>
  <c r="L86" i="88"/>
  <c r="L87" i="88" s="1"/>
  <c r="M74" i="88"/>
  <c r="M86" i="88" s="1"/>
  <c r="M87" i="88" s="1"/>
  <c r="O97" i="88"/>
  <c r="P97" i="88" s="1"/>
  <c r="Q97" i="88" s="1"/>
  <c r="R97" i="88" s="1"/>
  <c r="M126" i="88"/>
  <c r="L127" i="88"/>
  <c r="M14" i="88"/>
  <c r="M26" i="88" s="1"/>
  <c r="M27" i="88" s="1"/>
  <c r="L26" i="88"/>
  <c r="L27" i="88" s="1"/>
  <c r="N114" i="88"/>
  <c r="O55" i="88"/>
  <c r="P55" i="88" s="1"/>
  <c r="Q55" i="88" s="1"/>
  <c r="R55" i="88" s="1"/>
  <c r="O75" i="88"/>
  <c r="P75" i="88" s="1"/>
  <c r="Q75" i="88" s="1"/>
  <c r="R75" i="88" s="1"/>
  <c r="M54" i="88"/>
  <c r="M66" i="88" s="1"/>
  <c r="M67" i="88" s="1"/>
  <c r="L66" i="88"/>
  <c r="L67" i="88" s="1"/>
  <c r="I26" i="66"/>
  <c r="I27" i="66" s="1"/>
  <c r="K17" i="66"/>
  <c r="L17" i="66" s="1"/>
  <c r="M17" i="66" s="1"/>
  <c r="N17" i="66" s="1"/>
  <c r="O17" i="66" s="1"/>
  <c r="P17" i="66" s="1"/>
  <c r="Q17" i="66" s="1"/>
  <c r="R17" i="66" s="1"/>
  <c r="K16" i="66"/>
  <c r="L16" i="66" s="1"/>
  <c r="L26" i="66" s="1"/>
  <c r="J26" i="66"/>
  <c r="J27" i="66" s="1"/>
  <c r="M18" i="66"/>
  <c r="N18" i="66" s="1"/>
  <c r="M20" i="66"/>
  <c r="N20" i="66" s="1"/>
  <c r="O19" i="66"/>
  <c r="P19" i="66" s="1"/>
  <c r="Q19" i="66" s="1"/>
  <c r="R19" i="66" s="1"/>
  <c r="O21" i="66"/>
  <c r="P21" i="66" s="1"/>
  <c r="Q21" i="66" s="1"/>
  <c r="R21" i="66" s="1"/>
  <c r="M24" i="66"/>
  <c r="N24" i="66" s="1"/>
  <c r="O25" i="66"/>
  <c r="P25" i="66"/>
  <c r="Q25" i="66" s="1"/>
  <c r="R25" i="66" s="1"/>
  <c r="O15" i="66"/>
  <c r="P15" i="66" s="1"/>
  <c r="Q15" i="66" s="1"/>
  <c r="R15" i="66" s="1"/>
  <c r="O22" i="66"/>
  <c r="P22" i="66" s="1"/>
  <c r="Q22" i="66" s="1"/>
  <c r="R22" i="66" s="1"/>
  <c r="O23" i="66"/>
  <c r="P23" i="66" s="1"/>
  <c r="Q23" i="66" s="1"/>
  <c r="R23" i="66" s="1"/>
  <c r="M14" i="66"/>
  <c r="N14" i="66" s="1"/>
  <c r="H60" i="66"/>
  <c r="H117" i="66"/>
  <c r="H57" i="66"/>
  <c r="H116" i="66"/>
  <c r="H56" i="66"/>
  <c r="J16" i="81"/>
  <c r="L16" i="81" s="1"/>
  <c r="N16" i="81" s="1"/>
  <c r="H119" i="66" s="1"/>
  <c r="H120" i="66"/>
  <c r="L12" i="81"/>
  <c r="H75" i="66"/>
  <c r="H55" i="66"/>
  <c r="H80" i="66"/>
  <c r="H76" i="66"/>
  <c r="H97" i="66"/>
  <c r="H77" i="66"/>
  <c r="J15" i="81"/>
  <c r="H100" i="66"/>
  <c r="H96" i="66"/>
  <c r="H54" i="66"/>
  <c r="H74" i="66"/>
  <c r="H114" i="66"/>
  <c r="H94" i="66"/>
  <c r="D33" i="85"/>
  <c r="D40" i="86"/>
  <c r="G33" i="85"/>
  <c r="J33" i="85"/>
  <c r="J35" i="85" s="1"/>
  <c r="J40" i="86"/>
  <c r="H40" i="86"/>
  <c r="C33" i="85"/>
  <c r="C35" i="85" s="1"/>
  <c r="C40" i="86"/>
  <c r="C42" i="86" s="1"/>
  <c r="I33" i="85"/>
  <c r="I40" i="86"/>
  <c r="I42" i="86" s="1"/>
  <c r="J42" i="86"/>
  <c r="C33" i="86"/>
  <c r="G33" i="86"/>
  <c r="G42" i="86" s="1"/>
  <c r="D33" i="86"/>
  <c r="B40" i="86"/>
  <c r="B42" i="86" s="1"/>
  <c r="F40" i="86"/>
  <c r="H33" i="86"/>
  <c r="D42" i="86"/>
  <c r="E40" i="86"/>
  <c r="E42" i="86" s="1"/>
  <c r="I35" i="85"/>
  <c r="H33" i="85"/>
  <c r="H35" i="85" s="1"/>
  <c r="G35" i="85"/>
  <c r="D35" i="85"/>
  <c r="B33" i="85"/>
  <c r="B35" i="85" s="1"/>
  <c r="F33" i="85"/>
  <c r="F35" i="85" s="1"/>
  <c r="G27" i="84"/>
  <c r="G35" i="84" s="1"/>
  <c r="E27" i="84"/>
  <c r="E35" i="84" s="1"/>
  <c r="D27" i="84"/>
  <c r="D35" i="84" s="1"/>
  <c r="C27" i="84"/>
  <c r="C35" i="84" s="1"/>
  <c r="F42" i="86"/>
  <c r="E35" i="85"/>
  <c r="M67" i="89" l="1"/>
  <c r="M90" i="89"/>
  <c r="M91" i="89" s="1"/>
  <c r="L67" i="89"/>
  <c r="L90" i="89"/>
  <c r="L91" i="89" s="1"/>
  <c r="N34" i="89"/>
  <c r="N87" i="89"/>
  <c r="F119" i="58"/>
  <c r="N14" i="89"/>
  <c r="N26" i="89" s="1"/>
  <c r="N94" i="88"/>
  <c r="N106" i="88" s="1"/>
  <c r="N107" i="88" s="1"/>
  <c r="N54" i="89"/>
  <c r="O86" i="89"/>
  <c r="N46" i="89"/>
  <c r="N47" i="89" s="1"/>
  <c r="O34" i="89"/>
  <c r="O46" i="89" s="1"/>
  <c r="O47" i="89" s="1"/>
  <c r="P74" i="89"/>
  <c r="N126" i="88"/>
  <c r="O114" i="88"/>
  <c r="O126" i="88" s="1"/>
  <c r="N34" i="88"/>
  <c r="N54" i="88"/>
  <c r="L129" i="88"/>
  <c r="L130" i="88" s="1"/>
  <c r="M129" i="88"/>
  <c r="M130" i="88" s="1"/>
  <c r="M127" i="88"/>
  <c r="N74" i="88"/>
  <c r="N14" i="88"/>
  <c r="K26" i="66"/>
  <c r="K27" i="66" s="1"/>
  <c r="O18" i="66"/>
  <c r="P18" i="66" s="1"/>
  <c r="Q18" i="66" s="1"/>
  <c r="R18" i="66" s="1"/>
  <c r="L27" i="66"/>
  <c r="M16" i="66"/>
  <c r="N16" i="66" s="1"/>
  <c r="O14" i="66"/>
  <c r="O24" i="66"/>
  <c r="P24" i="66" s="1"/>
  <c r="Q24" i="66" s="1"/>
  <c r="R24" i="66" s="1"/>
  <c r="O20" i="66"/>
  <c r="P20" i="66" s="1"/>
  <c r="Q20" i="66" s="1"/>
  <c r="R20" i="66" s="1"/>
  <c r="H99" i="66"/>
  <c r="H79" i="66"/>
  <c r="N12" i="81"/>
  <c r="H95" i="66"/>
  <c r="H78" i="66"/>
  <c r="L15" i="81"/>
  <c r="H42" i="86"/>
  <c r="N27" i="89" l="1"/>
  <c r="F12" i="58"/>
  <c r="O87" i="89"/>
  <c r="F120" i="58"/>
  <c r="F121" i="58" s="1"/>
  <c r="O14" i="89"/>
  <c r="O26" i="89" s="1"/>
  <c r="O94" i="88"/>
  <c r="O106" i="88" s="1"/>
  <c r="O107" i="88" s="1"/>
  <c r="Q74" i="89"/>
  <c r="P86" i="89"/>
  <c r="P87" i="89" s="1"/>
  <c r="P34" i="89"/>
  <c r="O54" i="89"/>
  <c r="O66" i="89" s="1"/>
  <c r="N66" i="89"/>
  <c r="N90" i="89" s="1"/>
  <c r="N46" i="88"/>
  <c r="N47" i="88" s="1"/>
  <c r="O34" i="88"/>
  <c r="O46" i="88" s="1"/>
  <c r="O47" i="88" s="1"/>
  <c r="P34" i="88"/>
  <c r="O74" i="88"/>
  <c r="O86" i="88" s="1"/>
  <c r="O87" i="88" s="1"/>
  <c r="N86" i="88"/>
  <c r="N87" i="88" s="1"/>
  <c r="O54" i="88"/>
  <c r="O66" i="88" s="1"/>
  <c r="O67" i="88" s="1"/>
  <c r="N66" i="88"/>
  <c r="N67" i="88" s="1"/>
  <c r="P54" i="88"/>
  <c r="P114" i="88"/>
  <c r="O127" i="88"/>
  <c r="N26" i="88"/>
  <c r="N27" i="88" s="1"/>
  <c r="O14" i="88"/>
  <c r="O26" i="88" s="1"/>
  <c r="O27" i="88" s="1"/>
  <c r="N127" i="88"/>
  <c r="O16" i="66"/>
  <c r="O26" i="66" s="1"/>
  <c r="P16" i="66"/>
  <c r="Q16" i="66" s="1"/>
  <c r="R16" i="66" s="1"/>
  <c r="N26" i="66"/>
  <c r="M26" i="66"/>
  <c r="P14" i="66"/>
  <c r="N15" i="81"/>
  <c r="H98" i="66"/>
  <c r="H115" i="66"/>
  <c r="O90" i="89" l="1"/>
  <c r="O27" i="89"/>
  <c r="F13" i="58"/>
  <c r="F132" i="58" s="1"/>
  <c r="N67" i="89"/>
  <c r="F113" i="58"/>
  <c r="O67" i="89"/>
  <c r="F114" i="58"/>
  <c r="F137" i="58" s="1"/>
  <c r="P14" i="89"/>
  <c r="P26" i="89" s="1"/>
  <c r="P27" i="89" s="1"/>
  <c r="P94" i="88"/>
  <c r="P106" i="88" s="1"/>
  <c r="P107" i="88" s="1"/>
  <c r="O129" i="88"/>
  <c r="O130" i="88" s="1"/>
  <c r="P46" i="89"/>
  <c r="P47" i="89" s="1"/>
  <c r="Q34" i="89"/>
  <c r="N91" i="89"/>
  <c r="P54" i="89"/>
  <c r="R74" i="89"/>
  <c r="Q86" i="89"/>
  <c r="Q87" i="89" s="1"/>
  <c r="R87" i="89" s="1"/>
  <c r="O91" i="89"/>
  <c r="P66" i="88"/>
  <c r="P67" i="88" s="1"/>
  <c r="Q54" i="88"/>
  <c r="P74" i="88"/>
  <c r="Q114" i="88"/>
  <c r="P126" i="88"/>
  <c r="P14" i="88"/>
  <c r="N129" i="88"/>
  <c r="N130" i="88" s="1"/>
  <c r="P46" i="88"/>
  <c r="P47" i="88" s="1"/>
  <c r="Q34" i="88"/>
  <c r="N27" i="66"/>
  <c r="M27" i="66"/>
  <c r="O27" i="66"/>
  <c r="P26" i="66"/>
  <c r="P27" i="66" s="1"/>
  <c r="Q14" i="66"/>
  <c r="H118" i="66"/>
  <c r="Q14" i="89" l="1"/>
  <c r="R14" i="89" s="1"/>
  <c r="F142" i="58"/>
  <c r="Q94" i="88"/>
  <c r="Q26" i="89"/>
  <c r="Q27" i="89" s="1"/>
  <c r="R27" i="89" s="1"/>
  <c r="P66" i="89"/>
  <c r="Q54" i="89"/>
  <c r="Q46" i="89"/>
  <c r="Q47" i="89" s="1"/>
  <c r="R47" i="89" s="1"/>
  <c r="R34" i="89"/>
  <c r="R94" i="88"/>
  <c r="Q106" i="88"/>
  <c r="Q107" i="88" s="1"/>
  <c r="R107" i="88" s="1"/>
  <c r="R34" i="88"/>
  <c r="Q46" i="88"/>
  <c r="Q47" i="88" s="1"/>
  <c r="R47" i="88" s="1"/>
  <c r="P26" i="88"/>
  <c r="P27" i="88" s="1"/>
  <c r="Q14" i="88"/>
  <c r="P127" i="88"/>
  <c r="Q126" i="88"/>
  <c r="R114" i="88"/>
  <c r="P86" i="88"/>
  <c r="P87" i="88" s="1"/>
  <c r="Q74" i="88"/>
  <c r="Q66" i="88"/>
  <c r="Q67" i="88" s="1"/>
  <c r="R67" i="88" s="1"/>
  <c r="R54" i="88"/>
  <c r="F14" i="58"/>
  <c r="Q26" i="66"/>
  <c r="Q27" i="66" s="1"/>
  <c r="R27" i="66" s="1"/>
  <c r="R14" i="66"/>
  <c r="A113" i="66"/>
  <c r="A93" i="66"/>
  <c r="A73" i="66"/>
  <c r="A53" i="66"/>
  <c r="A33" i="66"/>
  <c r="H20" i="81"/>
  <c r="H21" i="81"/>
  <c r="H22" i="81"/>
  <c r="H23" i="81"/>
  <c r="J23" i="81" s="1"/>
  <c r="L23" i="81" s="1"/>
  <c r="N23" i="81" s="1"/>
  <c r="H24" i="81"/>
  <c r="J24" i="81" s="1"/>
  <c r="L24" i="81" s="1"/>
  <c r="N24" i="81" s="1"/>
  <c r="P67" i="89" l="1"/>
  <c r="P90" i="89"/>
  <c r="P91" i="89" s="1"/>
  <c r="Q66" i="89"/>
  <c r="R54" i="89"/>
  <c r="Q86" i="88"/>
  <c r="Q87" i="88" s="1"/>
  <c r="R87" i="88" s="1"/>
  <c r="R74" i="88"/>
  <c r="Q127" i="88"/>
  <c r="R127" i="88" s="1"/>
  <c r="P129" i="88"/>
  <c r="P130" i="88" s="1"/>
  <c r="R14" i="88"/>
  <c r="Q26" i="88"/>
  <c r="Q27" i="88" s="1"/>
  <c r="R27" i="88" s="1"/>
  <c r="J20" i="81"/>
  <c r="H63" i="66"/>
  <c r="J22" i="81"/>
  <c r="H65" i="66"/>
  <c r="J21" i="81"/>
  <c r="H64" i="66"/>
  <c r="A35" i="66"/>
  <c r="A55" i="66" s="1"/>
  <c r="A75" i="66" s="1"/>
  <c r="A95" i="66" s="1"/>
  <c r="A115" i="66" s="1"/>
  <c r="A36" i="66"/>
  <c r="A56" i="66" s="1"/>
  <c r="A76" i="66" s="1"/>
  <c r="A96" i="66" s="1"/>
  <c r="A116" i="66" s="1"/>
  <c r="A37" i="66"/>
  <c r="A57" i="66" s="1"/>
  <c r="A77" i="66" s="1"/>
  <c r="A97" i="66" s="1"/>
  <c r="A117" i="66" s="1"/>
  <c r="A38" i="66"/>
  <c r="A58" i="66" s="1"/>
  <c r="A78" i="66" s="1"/>
  <c r="A98" i="66" s="1"/>
  <c r="A118" i="66" s="1"/>
  <c r="A39" i="66"/>
  <c r="A59" i="66" s="1"/>
  <c r="A79" i="66" s="1"/>
  <c r="A99" i="66" s="1"/>
  <c r="A119" i="66" s="1"/>
  <c r="A34" i="66"/>
  <c r="A54" i="66" s="1"/>
  <c r="A74" i="66" s="1"/>
  <c r="A94" i="66" s="1"/>
  <c r="A114" i="66" s="1"/>
  <c r="Q67" i="89" l="1"/>
  <c r="R67" i="89" s="1"/>
  <c r="Q90" i="89"/>
  <c r="Q91" i="89" s="1"/>
  <c r="R91" i="89" s="1"/>
  <c r="Q129" i="88"/>
  <c r="Q130" i="88" s="1"/>
  <c r="R130" i="88" s="1"/>
  <c r="L22" i="81"/>
  <c r="H85" i="66"/>
  <c r="L21" i="81"/>
  <c r="H84" i="66"/>
  <c r="L20" i="81"/>
  <c r="H83" i="66"/>
  <c r="H19" i="81"/>
  <c r="H62" i="66" s="1"/>
  <c r="H18" i="81"/>
  <c r="N21" i="81" l="1"/>
  <c r="H104" i="66"/>
  <c r="J18" i="81"/>
  <c r="H61" i="66"/>
  <c r="N20" i="81"/>
  <c r="H103" i="66"/>
  <c r="N22" i="81"/>
  <c r="H105" i="66"/>
  <c r="C79" i="66"/>
  <c r="C99" i="66" s="1"/>
  <c r="C119" i="66" s="1"/>
  <c r="B39" i="66"/>
  <c r="C77" i="66"/>
  <c r="C97" i="66" s="1"/>
  <c r="C117" i="66" s="1"/>
  <c r="B37" i="66"/>
  <c r="B45" i="66"/>
  <c r="C105" i="66"/>
  <c r="C125" i="66" s="1"/>
  <c r="B36" i="66"/>
  <c r="C76" i="66"/>
  <c r="C96" i="66" s="1"/>
  <c r="C116" i="66" s="1"/>
  <c r="C75" i="66"/>
  <c r="C95" i="66" s="1"/>
  <c r="C115" i="66" s="1"/>
  <c r="B35" i="66"/>
  <c r="C78" i="66"/>
  <c r="C98" i="66" s="1"/>
  <c r="C118" i="66" s="1"/>
  <c r="B38" i="66"/>
  <c r="J19" i="81"/>
  <c r="B65" i="66" l="1"/>
  <c r="B85" i="66" s="1"/>
  <c r="B105" i="66" s="1"/>
  <c r="B125" i="66" s="1"/>
  <c r="B58" i="66"/>
  <c r="B78" i="66" s="1"/>
  <c r="B98" i="66" s="1"/>
  <c r="B118" i="66" s="1"/>
  <c r="B57" i="66"/>
  <c r="B77" i="66" s="1"/>
  <c r="B97" i="66" s="1"/>
  <c r="B117" i="66" s="1"/>
  <c r="B56" i="66"/>
  <c r="B76" i="66" s="1"/>
  <c r="B96" i="66" s="1"/>
  <c r="B116" i="66" s="1"/>
  <c r="B55" i="66"/>
  <c r="B75" i="66" s="1"/>
  <c r="B95" i="66" s="1"/>
  <c r="B115" i="66" s="1"/>
  <c r="B59" i="66"/>
  <c r="B79" i="66" s="1"/>
  <c r="B99" i="66" s="1"/>
  <c r="B119" i="66" s="1"/>
  <c r="L19" i="81"/>
  <c r="H82" i="66"/>
  <c r="H123" i="66"/>
  <c r="L18" i="81"/>
  <c r="H81" i="66"/>
  <c r="H125" i="66"/>
  <c r="H124" i="66"/>
  <c r="F66" i="66"/>
  <c r="F86" i="66"/>
  <c r="F106" i="66"/>
  <c r="F126" i="66"/>
  <c r="N18" i="81" l="1"/>
  <c r="H101" i="66"/>
  <c r="N19" i="81"/>
  <c r="H102" i="66"/>
  <c r="C34" i="66"/>
  <c r="C54" i="66" s="1"/>
  <c r="C74" i="66" s="1"/>
  <c r="C94" i="66" s="1"/>
  <c r="C114" i="66" s="1"/>
  <c r="B34" i="66"/>
  <c r="B54" i="66" s="1"/>
  <c r="B74" i="66" s="1"/>
  <c r="B94" i="66" s="1"/>
  <c r="B114" i="66" s="1"/>
  <c r="H122" i="66" l="1"/>
  <c r="H121" i="66"/>
  <c r="B32" i="66"/>
  <c r="B52" i="66" s="1"/>
  <c r="B72" i="66" s="1"/>
  <c r="B92" i="66" s="1"/>
  <c r="B112" i="66" s="1"/>
  <c r="B31" i="66"/>
  <c r="B51" i="66" s="1"/>
  <c r="B71" i="66" s="1"/>
  <c r="B91" i="66" s="1"/>
  <c r="B111" i="66" s="1"/>
  <c r="A5" i="81" l="1"/>
  <c r="A4" i="81"/>
  <c r="A3" i="81"/>
  <c r="A2" i="81"/>
  <c r="A5" i="66"/>
  <c r="A4" i="66"/>
  <c r="A3" i="66"/>
  <c r="A2" i="66"/>
  <c r="A5" i="63"/>
  <c r="A4" i="63"/>
  <c r="A3" i="63"/>
  <c r="A2" i="63"/>
  <c r="A5" i="59"/>
  <c r="A4" i="59"/>
  <c r="A3" i="59"/>
  <c r="A2" i="59"/>
  <c r="A5" i="5"/>
  <c r="A4" i="5"/>
  <c r="A3" i="5"/>
  <c r="A2" i="5"/>
  <c r="A5" i="58"/>
  <c r="A4" i="58"/>
  <c r="A3" i="58"/>
  <c r="A2" i="58"/>
  <c r="A5" i="62"/>
  <c r="A4" i="62"/>
  <c r="A3" i="62"/>
  <c r="A2" i="62"/>
  <c r="R31" i="66"/>
  <c r="R51" i="66" s="1"/>
  <c r="R71" i="66" s="1"/>
  <c r="R91" i="66" s="1"/>
  <c r="R111" i="66" s="1"/>
  <c r="R32" i="66"/>
  <c r="R52" i="66" s="1"/>
  <c r="R72" i="66" s="1"/>
  <c r="R92" i="66" s="1"/>
  <c r="R112" i="66" s="1"/>
  <c r="A8" i="5" l="1"/>
  <c r="H12" i="62" l="1"/>
  <c r="A7" i="66" l="1"/>
  <c r="A31" i="66" l="1"/>
  <c r="A51" i="66" s="1"/>
  <c r="A71" i="66" s="1"/>
  <c r="A91" i="66" s="1"/>
  <c r="A111" i="66" s="1"/>
  <c r="A32" i="66"/>
  <c r="A52" i="66" s="1"/>
  <c r="A72" i="66" s="1"/>
  <c r="A92" i="66" s="1"/>
  <c r="A112" i="66" s="1"/>
  <c r="O110" i="66"/>
  <c r="M110" i="66"/>
  <c r="J110" i="66"/>
  <c r="I110" i="66"/>
  <c r="O90" i="66"/>
  <c r="M90" i="66"/>
  <c r="J90" i="66"/>
  <c r="I90" i="66"/>
  <c r="O70" i="66"/>
  <c r="M70" i="66"/>
  <c r="J70" i="66"/>
  <c r="I70" i="66"/>
  <c r="O50" i="66"/>
  <c r="M50" i="66"/>
  <c r="J50" i="66"/>
  <c r="I50" i="66"/>
  <c r="O30" i="66"/>
  <c r="M30" i="66"/>
  <c r="J30" i="66"/>
  <c r="I30" i="66"/>
  <c r="G43" i="59"/>
  <c r="G36" i="59"/>
  <c r="E126" i="58"/>
  <c r="J120" i="66" l="1"/>
  <c r="J123" i="66"/>
  <c r="J124" i="66"/>
  <c r="J125" i="66"/>
  <c r="J121" i="66"/>
  <c r="J122" i="66"/>
  <c r="J100" i="66"/>
  <c r="J104" i="66"/>
  <c r="J103" i="66"/>
  <c r="J101" i="66"/>
  <c r="J102" i="66"/>
  <c r="J80" i="66"/>
  <c r="J83" i="66"/>
  <c r="J85" i="66"/>
  <c r="J84" i="66"/>
  <c r="J82" i="66"/>
  <c r="J81" i="66"/>
  <c r="J60" i="66"/>
  <c r="J64" i="66"/>
  <c r="J63" i="66"/>
  <c r="J62" i="66"/>
  <c r="J61" i="66"/>
  <c r="J42" i="66"/>
  <c r="J43" i="66"/>
  <c r="J44" i="66"/>
  <c r="J40" i="66"/>
  <c r="J41" i="66"/>
  <c r="I120" i="66"/>
  <c r="I124" i="66"/>
  <c r="I123" i="66"/>
  <c r="K123" i="66" s="1"/>
  <c r="L123" i="66" s="1"/>
  <c r="M123" i="66" s="1"/>
  <c r="N123" i="66" s="1"/>
  <c r="O123" i="66" s="1"/>
  <c r="P123" i="66" s="1"/>
  <c r="Q123" i="66" s="1"/>
  <c r="R123" i="66" s="1"/>
  <c r="I125" i="66"/>
  <c r="K125" i="66" s="1"/>
  <c r="L125" i="66" s="1"/>
  <c r="M125" i="66" s="1"/>
  <c r="N125" i="66" s="1"/>
  <c r="O125" i="66" s="1"/>
  <c r="P125" i="66" s="1"/>
  <c r="Q125" i="66" s="1"/>
  <c r="R125" i="66" s="1"/>
  <c r="I122" i="66"/>
  <c r="I121" i="66"/>
  <c r="I100" i="66"/>
  <c r="I103" i="66"/>
  <c r="I104" i="66"/>
  <c r="I102" i="66"/>
  <c r="I101" i="66"/>
  <c r="I80" i="66"/>
  <c r="I85" i="66"/>
  <c r="I84" i="66"/>
  <c r="I83" i="66"/>
  <c r="I81" i="66"/>
  <c r="I82" i="66"/>
  <c r="I60" i="66"/>
  <c r="I64" i="66"/>
  <c r="I63" i="66"/>
  <c r="I62" i="66"/>
  <c r="I61" i="66"/>
  <c r="I44" i="66"/>
  <c r="K44" i="66" s="1"/>
  <c r="L44" i="66" s="1"/>
  <c r="M44" i="66" s="1"/>
  <c r="N44" i="66" s="1"/>
  <c r="O44" i="66" s="1"/>
  <c r="P44" i="66" s="1"/>
  <c r="Q44" i="66" s="1"/>
  <c r="R44" i="66" s="1"/>
  <c r="I42" i="66"/>
  <c r="I40" i="66"/>
  <c r="I43" i="66"/>
  <c r="I41" i="66"/>
  <c r="I119" i="66"/>
  <c r="I118" i="66"/>
  <c r="I115" i="66"/>
  <c r="I116" i="66"/>
  <c r="I117" i="66"/>
  <c r="J118" i="66"/>
  <c r="J115" i="66"/>
  <c r="J117" i="66"/>
  <c r="J116" i="66"/>
  <c r="J119" i="66"/>
  <c r="I97" i="66"/>
  <c r="I98" i="66"/>
  <c r="I95" i="66"/>
  <c r="I99" i="66"/>
  <c r="I105" i="66"/>
  <c r="I96" i="66"/>
  <c r="J98" i="66"/>
  <c r="J95" i="66"/>
  <c r="J99" i="66"/>
  <c r="J97" i="66"/>
  <c r="J105" i="66"/>
  <c r="J96" i="66"/>
  <c r="I79" i="66"/>
  <c r="I76" i="66"/>
  <c r="I75" i="66"/>
  <c r="I78" i="66"/>
  <c r="I77" i="66"/>
  <c r="J78" i="66"/>
  <c r="J79" i="66"/>
  <c r="J77" i="66"/>
  <c r="J76" i="66"/>
  <c r="J75" i="66"/>
  <c r="J57" i="66"/>
  <c r="J65" i="66"/>
  <c r="J58" i="66"/>
  <c r="J59" i="66"/>
  <c r="J55" i="66"/>
  <c r="J56" i="66"/>
  <c r="I58" i="66"/>
  <c r="I59" i="66"/>
  <c r="I57" i="66"/>
  <c r="I65" i="66"/>
  <c r="I56" i="66"/>
  <c r="I55" i="66"/>
  <c r="J38" i="66"/>
  <c r="J35" i="66"/>
  <c r="J39" i="66"/>
  <c r="J36" i="66"/>
  <c r="J45" i="66"/>
  <c r="J37" i="66"/>
  <c r="I35" i="66"/>
  <c r="I37" i="66"/>
  <c r="I36" i="66"/>
  <c r="I45" i="66"/>
  <c r="I38" i="66"/>
  <c r="I39" i="66"/>
  <c r="I94" i="66"/>
  <c r="I114" i="66"/>
  <c r="I34" i="66"/>
  <c r="I54" i="66"/>
  <c r="I74" i="66"/>
  <c r="J94" i="66"/>
  <c r="J114" i="66"/>
  <c r="J54" i="66"/>
  <c r="J34" i="66"/>
  <c r="J74" i="66"/>
  <c r="K42" i="66" l="1"/>
  <c r="L42" i="66" s="1"/>
  <c r="M42" i="66" s="1"/>
  <c r="N42" i="66" s="1"/>
  <c r="O42" i="66" s="1"/>
  <c r="P42" i="66" s="1"/>
  <c r="Q42" i="66" s="1"/>
  <c r="R42" i="66" s="1"/>
  <c r="K62" i="66"/>
  <c r="L62" i="66" s="1"/>
  <c r="M62" i="66" s="1"/>
  <c r="N62" i="66" s="1"/>
  <c r="O62" i="66" s="1"/>
  <c r="P62" i="66" s="1"/>
  <c r="Q62" i="66" s="1"/>
  <c r="R62" i="66" s="1"/>
  <c r="K120" i="66"/>
  <c r="L120" i="66" s="1"/>
  <c r="M120" i="66" s="1"/>
  <c r="N120" i="66" s="1"/>
  <c r="O120" i="66" s="1"/>
  <c r="P120" i="66" s="1"/>
  <c r="Q120" i="66" s="1"/>
  <c r="R120" i="66" s="1"/>
  <c r="K80" i="66"/>
  <c r="L80" i="66" s="1"/>
  <c r="M80" i="66" s="1"/>
  <c r="N80" i="66" s="1"/>
  <c r="O80" i="66" s="1"/>
  <c r="P80" i="66" s="1"/>
  <c r="Q80" i="66" s="1"/>
  <c r="R80" i="66" s="1"/>
  <c r="K61" i="66"/>
  <c r="L61" i="66" s="1"/>
  <c r="M61" i="66" s="1"/>
  <c r="N61" i="66" s="1"/>
  <c r="O61" i="66" s="1"/>
  <c r="P61" i="66" s="1"/>
  <c r="Q61" i="66" s="1"/>
  <c r="R61" i="66" s="1"/>
  <c r="K63" i="66"/>
  <c r="L63" i="66" s="1"/>
  <c r="M63" i="66" s="1"/>
  <c r="N63" i="66" s="1"/>
  <c r="O63" i="66" s="1"/>
  <c r="P63" i="66" s="1"/>
  <c r="Q63" i="66" s="1"/>
  <c r="R63" i="66" s="1"/>
  <c r="K64" i="66"/>
  <c r="L64" i="66" s="1"/>
  <c r="M64" i="66" s="1"/>
  <c r="N64" i="66" s="1"/>
  <c r="O64" i="66" s="1"/>
  <c r="P64" i="66" s="1"/>
  <c r="Q64" i="66" s="1"/>
  <c r="R64" i="66" s="1"/>
  <c r="K100" i="66"/>
  <c r="L100" i="66" s="1"/>
  <c r="M100" i="66" s="1"/>
  <c r="N100" i="66" s="1"/>
  <c r="O100" i="66" s="1"/>
  <c r="P100" i="66" s="1"/>
  <c r="Q100" i="66" s="1"/>
  <c r="R100" i="66" s="1"/>
  <c r="K60" i="66"/>
  <c r="L60" i="66" s="1"/>
  <c r="M60" i="66" s="1"/>
  <c r="N60" i="66" s="1"/>
  <c r="O60" i="66" s="1"/>
  <c r="P60" i="66" s="1"/>
  <c r="Q60" i="66" s="1"/>
  <c r="R60" i="66" s="1"/>
  <c r="K121" i="66"/>
  <c r="L121" i="66" s="1"/>
  <c r="M121" i="66" s="1"/>
  <c r="N121" i="66" s="1"/>
  <c r="O121" i="66" s="1"/>
  <c r="P121" i="66" s="1"/>
  <c r="Q121" i="66" s="1"/>
  <c r="R121" i="66" s="1"/>
  <c r="K122" i="66"/>
  <c r="L122" i="66" s="1"/>
  <c r="M122" i="66" s="1"/>
  <c r="N122" i="66" s="1"/>
  <c r="O122" i="66" s="1"/>
  <c r="P122" i="66" s="1"/>
  <c r="Q122" i="66" s="1"/>
  <c r="R122" i="66" s="1"/>
  <c r="K84" i="66"/>
  <c r="L84" i="66" s="1"/>
  <c r="M84" i="66" s="1"/>
  <c r="N84" i="66" s="1"/>
  <c r="O84" i="66" s="1"/>
  <c r="P84" i="66" s="1"/>
  <c r="Q84" i="66" s="1"/>
  <c r="R84" i="66" s="1"/>
  <c r="K102" i="66"/>
  <c r="L102" i="66" s="1"/>
  <c r="M102" i="66" s="1"/>
  <c r="N102" i="66" s="1"/>
  <c r="O102" i="66" s="1"/>
  <c r="P102" i="66" s="1"/>
  <c r="Q102" i="66" s="1"/>
  <c r="R102" i="66" s="1"/>
  <c r="K40" i="66"/>
  <c r="L40" i="66" s="1"/>
  <c r="M40" i="66" s="1"/>
  <c r="N40" i="66" s="1"/>
  <c r="O40" i="66" s="1"/>
  <c r="P40" i="66" s="1"/>
  <c r="Q40" i="66" s="1"/>
  <c r="R40" i="66" s="1"/>
  <c r="K82" i="66"/>
  <c r="L82" i="66" s="1"/>
  <c r="M82" i="66" s="1"/>
  <c r="N82" i="66" s="1"/>
  <c r="O82" i="66" s="1"/>
  <c r="P82" i="66" s="1"/>
  <c r="K104" i="66"/>
  <c r="L104" i="66" s="1"/>
  <c r="M104" i="66" s="1"/>
  <c r="N104" i="66" s="1"/>
  <c r="O104" i="66" s="1"/>
  <c r="P104" i="66" s="1"/>
  <c r="Q104" i="66" s="1"/>
  <c r="R104" i="66" s="1"/>
  <c r="K124" i="66"/>
  <c r="L124" i="66" s="1"/>
  <c r="M124" i="66" s="1"/>
  <c r="N124" i="66" s="1"/>
  <c r="O124" i="66" s="1"/>
  <c r="P124" i="66" s="1"/>
  <c r="Q124" i="66" s="1"/>
  <c r="R124" i="66" s="1"/>
  <c r="K103" i="66"/>
  <c r="L103" i="66" s="1"/>
  <c r="M103" i="66" s="1"/>
  <c r="N103" i="66" s="1"/>
  <c r="O103" i="66" s="1"/>
  <c r="P103" i="66" s="1"/>
  <c r="Q103" i="66" s="1"/>
  <c r="R103" i="66" s="1"/>
  <c r="K101" i="66"/>
  <c r="L101" i="66" s="1"/>
  <c r="M101" i="66" s="1"/>
  <c r="N101" i="66" s="1"/>
  <c r="O101" i="66" s="1"/>
  <c r="P101" i="66" s="1"/>
  <c r="Q101" i="66" s="1"/>
  <c r="R101" i="66" s="1"/>
  <c r="K85" i="66"/>
  <c r="L85" i="66" s="1"/>
  <c r="M85" i="66" s="1"/>
  <c r="N85" i="66" s="1"/>
  <c r="O85" i="66" s="1"/>
  <c r="P85" i="66" s="1"/>
  <c r="Q85" i="66" s="1"/>
  <c r="R85" i="66" s="1"/>
  <c r="K81" i="66"/>
  <c r="L81" i="66" s="1"/>
  <c r="M81" i="66" s="1"/>
  <c r="N81" i="66" s="1"/>
  <c r="O81" i="66" s="1"/>
  <c r="P81" i="66" s="1"/>
  <c r="Q81" i="66" s="1"/>
  <c r="R81" i="66" s="1"/>
  <c r="K83" i="66"/>
  <c r="L83" i="66" s="1"/>
  <c r="M83" i="66" s="1"/>
  <c r="N83" i="66" s="1"/>
  <c r="O83" i="66" s="1"/>
  <c r="P83" i="66" s="1"/>
  <c r="Q83" i="66" s="1"/>
  <c r="R83" i="66" s="1"/>
  <c r="K41" i="66"/>
  <c r="L41" i="66" s="1"/>
  <c r="M41" i="66" s="1"/>
  <c r="N41" i="66" s="1"/>
  <c r="O41" i="66" s="1"/>
  <c r="P41" i="66" s="1"/>
  <c r="Q41" i="66" s="1"/>
  <c r="R41" i="66" s="1"/>
  <c r="K43" i="66"/>
  <c r="L43" i="66" s="1"/>
  <c r="M43" i="66" s="1"/>
  <c r="N43" i="66" s="1"/>
  <c r="O43" i="66" s="1"/>
  <c r="P43" i="66" s="1"/>
  <c r="Q43" i="66" s="1"/>
  <c r="R43" i="66" s="1"/>
  <c r="K65" i="66"/>
  <c r="L65" i="66" s="1"/>
  <c r="M65" i="66" s="1"/>
  <c r="N65" i="66" s="1"/>
  <c r="K55" i="66"/>
  <c r="L55" i="66" s="1"/>
  <c r="M55" i="66" s="1"/>
  <c r="N55" i="66" s="1"/>
  <c r="O55" i="66" s="1"/>
  <c r="P55" i="66" s="1"/>
  <c r="Q55" i="66" s="1"/>
  <c r="R55" i="66" s="1"/>
  <c r="K58" i="66"/>
  <c r="L58" i="66" s="1"/>
  <c r="M58" i="66" s="1"/>
  <c r="N58" i="66" s="1"/>
  <c r="O58" i="66" s="1"/>
  <c r="P58" i="66" s="1"/>
  <c r="K98" i="66"/>
  <c r="L98" i="66" s="1"/>
  <c r="M98" i="66" s="1"/>
  <c r="N98" i="66" s="1"/>
  <c r="O98" i="66" s="1"/>
  <c r="P98" i="66" s="1"/>
  <c r="Q98" i="66" s="1"/>
  <c r="R98" i="66" s="1"/>
  <c r="K115" i="66"/>
  <c r="L115" i="66" s="1"/>
  <c r="M115" i="66" s="1"/>
  <c r="N115" i="66" s="1"/>
  <c r="O115" i="66" s="1"/>
  <c r="P115" i="66" s="1"/>
  <c r="Q115" i="66" s="1"/>
  <c r="R115" i="66" s="1"/>
  <c r="K45" i="66"/>
  <c r="L45" i="66" s="1"/>
  <c r="M45" i="66" s="1"/>
  <c r="N45" i="66" s="1"/>
  <c r="K105" i="66"/>
  <c r="L105" i="66" s="1"/>
  <c r="M105" i="66" s="1"/>
  <c r="N105" i="66" s="1"/>
  <c r="K119" i="66"/>
  <c r="L119" i="66" s="1"/>
  <c r="K118" i="66"/>
  <c r="L118" i="66" s="1"/>
  <c r="K116" i="66"/>
  <c r="L116" i="66" s="1"/>
  <c r="K117" i="66"/>
  <c r="L117" i="66" s="1"/>
  <c r="M117" i="66" s="1"/>
  <c r="N117" i="66" s="1"/>
  <c r="K95" i="66"/>
  <c r="L95" i="66" s="1"/>
  <c r="K99" i="66"/>
  <c r="L99" i="66" s="1"/>
  <c r="K96" i="66"/>
  <c r="L96" i="66" s="1"/>
  <c r="K97" i="66"/>
  <c r="L97" i="66" s="1"/>
  <c r="M97" i="66" s="1"/>
  <c r="N97" i="66" s="1"/>
  <c r="K78" i="66"/>
  <c r="L78" i="66" s="1"/>
  <c r="M78" i="66" s="1"/>
  <c r="N78" i="66" s="1"/>
  <c r="K77" i="66"/>
  <c r="L77" i="66" s="1"/>
  <c r="K75" i="66"/>
  <c r="L75" i="66" s="1"/>
  <c r="K79" i="66"/>
  <c r="L79" i="66" s="1"/>
  <c r="M79" i="66" s="1"/>
  <c r="N79" i="66" s="1"/>
  <c r="O79" i="66" s="1"/>
  <c r="P79" i="66" s="1"/>
  <c r="Q79" i="66" s="1"/>
  <c r="R79" i="66" s="1"/>
  <c r="K56" i="66"/>
  <c r="L56" i="66" s="1"/>
  <c r="M56" i="66" s="1"/>
  <c r="N56" i="66" s="1"/>
  <c r="K76" i="66"/>
  <c r="L76" i="66" s="1"/>
  <c r="K59" i="66"/>
  <c r="L59" i="66" s="1"/>
  <c r="M59" i="66" s="1"/>
  <c r="N59" i="66" s="1"/>
  <c r="K37" i="66"/>
  <c r="K57" i="66"/>
  <c r="L57" i="66" s="1"/>
  <c r="M57" i="66" s="1"/>
  <c r="N57" i="66" s="1"/>
  <c r="K38" i="66"/>
  <c r="L38" i="66" s="1"/>
  <c r="M38" i="66" s="1"/>
  <c r="N38" i="66" s="1"/>
  <c r="K39" i="66"/>
  <c r="L39" i="66" s="1"/>
  <c r="K36" i="66"/>
  <c r="L36" i="66" s="1"/>
  <c r="K35" i="66"/>
  <c r="L35" i="66" s="1"/>
  <c r="K74" i="66"/>
  <c r="K54" i="66"/>
  <c r="K114" i="66"/>
  <c r="K94" i="66"/>
  <c r="K34" i="66"/>
  <c r="L37" i="66" l="1"/>
  <c r="M37" i="66" s="1"/>
  <c r="N37" i="66" s="1"/>
  <c r="O37" i="66" s="1"/>
  <c r="P37" i="66" s="1"/>
  <c r="Q37" i="66" s="1"/>
  <c r="R37" i="66" s="1"/>
  <c r="Q58" i="66"/>
  <c r="R58" i="66" s="1"/>
  <c r="Q82" i="66"/>
  <c r="R82" i="66" s="1"/>
  <c r="M119" i="66"/>
  <c r="N119" i="66" s="1"/>
  <c r="O119" i="66" s="1"/>
  <c r="P119" i="66" s="1"/>
  <c r="Q119" i="66" s="1"/>
  <c r="R119" i="66" s="1"/>
  <c r="O117" i="66"/>
  <c r="P117" i="66" s="1"/>
  <c r="Q117" i="66" s="1"/>
  <c r="R117" i="66" s="1"/>
  <c r="M116" i="66"/>
  <c r="N116" i="66" s="1"/>
  <c r="M118" i="66"/>
  <c r="N118" i="66" s="1"/>
  <c r="O105" i="66"/>
  <c r="P105" i="66" s="1"/>
  <c r="Q105" i="66" s="1"/>
  <c r="R105" i="66" s="1"/>
  <c r="M96" i="66"/>
  <c r="N96" i="66" s="1"/>
  <c r="M99" i="66"/>
  <c r="N99" i="66" s="1"/>
  <c r="M95" i="66"/>
  <c r="N95" i="66" s="1"/>
  <c r="O97" i="66"/>
  <c r="P97" i="66" s="1"/>
  <c r="Q97" i="66" s="1"/>
  <c r="R97" i="66" s="1"/>
  <c r="M76" i="66"/>
  <c r="N76" i="66" s="1"/>
  <c r="M75" i="66"/>
  <c r="N75" i="66" s="1"/>
  <c r="O75" i="66" s="1"/>
  <c r="P75" i="66" s="1"/>
  <c r="Q75" i="66" s="1"/>
  <c r="R75" i="66" s="1"/>
  <c r="M77" i="66"/>
  <c r="N77" i="66" s="1"/>
  <c r="O78" i="66"/>
  <c r="P78" i="66" s="1"/>
  <c r="Q78" i="66" s="1"/>
  <c r="R78" i="66" s="1"/>
  <c r="O59" i="66"/>
  <c r="P59" i="66" s="1"/>
  <c r="Q59" i="66" s="1"/>
  <c r="R59" i="66" s="1"/>
  <c r="O65" i="66"/>
  <c r="P65" i="66" s="1"/>
  <c r="Q65" i="66" s="1"/>
  <c r="R65" i="66" s="1"/>
  <c r="O57" i="66"/>
  <c r="P57" i="66" s="1"/>
  <c r="Q57" i="66" s="1"/>
  <c r="R57" i="66" s="1"/>
  <c r="O56" i="66"/>
  <c r="P56" i="66" s="1"/>
  <c r="Q56" i="66" s="1"/>
  <c r="R56" i="66" s="1"/>
  <c r="M36" i="66"/>
  <c r="N36" i="66" s="1"/>
  <c r="O38" i="66"/>
  <c r="P38" i="66" s="1"/>
  <c r="Q38" i="66" s="1"/>
  <c r="R38" i="66" s="1"/>
  <c r="O45" i="66"/>
  <c r="P45" i="66" s="1"/>
  <c r="Q45" i="66" s="1"/>
  <c r="R45" i="66" s="1"/>
  <c r="M35" i="66"/>
  <c r="N35" i="66" s="1"/>
  <c r="O35" i="66" s="1"/>
  <c r="P35" i="66" s="1"/>
  <c r="Q35" i="66" s="1"/>
  <c r="R35" i="66" s="1"/>
  <c r="M39" i="66"/>
  <c r="N39" i="66" s="1"/>
  <c r="O39" i="66" s="1"/>
  <c r="P39" i="66" s="1"/>
  <c r="Q39" i="66" s="1"/>
  <c r="R39" i="66" s="1"/>
  <c r="O116" i="66" l="1"/>
  <c r="P116" i="66" s="1"/>
  <c r="Q116" i="66" s="1"/>
  <c r="R116" i="66" s="1"/>
  <c r="O118" i="66"/>
  <c r="P118" i="66" s="1"/>
  <c r="Q118" i="66" s="1"/>
  <c r="R118" i="66" s="1"/>
  <c r="O95" i="66"/>
  <c r="P95" i="66" s="1"/>
  <c r="Q95" i="66" s="1"/>
  <c r="R95" i="66" s="1"/>
  <c r="O99" i="66"/>
  <c r="P99" i="66" s="1"/>
  <c r="Q99" i="66" s="1"/>
  <c r="R99" i="66" s="1"/>
  <c r="O96" i="66"/>
  <c r="P96" i="66" s="1"/>
  <c r="Q96" i="66" s="1"/>
  <c r="R96" i="66" s="1"/>
  <c r="O76" i="66"/>
  <c r="P76" i="66" s="1"/>
  <c r="Q76" i="66" s="1"/>
  <c r="R76" i="66" s="1"/>
  <c r="O77" i="66"/>
  <c r="P77" i="66" s="1"/>
  <c r="Q77" i="66" s="1"/>
  <c r="R77" i="66" s="1"/>
  <c r="O36" i="66"/>
  <c r="P36" i="66" s="1"/>
  <c r="Q36" i="66" s="1"/>
  <c r="R36" i="66" s="1"/>
  <c r="G106" i="66" l="1"/>
  <c r="G126" i="66"/>
  <c r="H106" i="66"/>
  <c r="J106" i="66"/>
  <c r="I106" i="66"/>
  <c r="I126" i="66"/>
  <c r="H126" i="66"/>
  <c r="J126" i="66"/>
  <c r="L114" i="66"/>
  <c r="M114" i="66" s="1"/>
  <c r="N114" i="66" s="1"/>
  <c r="O114" i="66" s="1"/>
  <c r="L94" i="66"/>
  <c r="M94" i="66" s="1"/>
  <c r="N94" i="66" s="1"/>
  <c r="O94" i="66" s="1"/>
  <c r="L74" i="66"/>
  <c r="M74" i="66" s="1"/>
  <c r="N74" i="66" s="1"/>
  <c r="O74" i="66" s="1"/>
  <c r="G107" i="66" l="1"/>
  <c r="G127" i="66"/>
  <c r="J107" i="66"/>
  <c r="H107" i="66"/>
  <c r="I107" i="66"/>
  <c r="L106" i="66"/>
  <c r="K106" i="66"/>
  <c r="K107" i="66" s="1"/>
  <c r="K126" i="66"/>
  <c r="H127" i="66"/>
  <c r="J127" i="66"/>
  <c r="I127" i="66"/>
  <c r="L126" i="66"/>
  <c r="L107" i="66" l="1"/>
  <c r="L127" i="66"/>
  <c r="K127" i="66"/>
  <c r="N106" i="66"/>
  <c r="M126" i="66"/>
  <c r="P114" i="66"/>
  <c r="P94" i="66"/>
  <c r="P74" i="66"/>
  <c r="Q74" i="66" s="1"/>
  <c r="R74" i="66" s="1"/>
  <c r="N107" i="66" l="1"/>
  <c r="Q94" i="66"/>
  <c r="R94" i="66" s="1"/>
  <c r="M127" i="66"/>
  <c r="Q114" i="66"/>
  <c r="R114" i="66" s="1"/>
  <c r="P126" i="66"/>
  <c r="O106" i="66"/>
  <c r="M106" i="66"/>
  <c r="O126" i="66"/>
  <c r="N126" i="66"/>
  <c r="O107" i="66" l="1"/>
  <c r="M107" i="66"/>
  <c r="N127" i="66"/>
  <c r="O127" i="66"/>
  <c r="G86" i="66"/>
  <c r="J86" i="66"/>
  <c r="H86" i="66"/>
  <c r="I86" i="66"/>
  <c r="F115" i="58" l="1"/>
  <c r="G87" i="66"/>
  <c r="I87" i="66"/>
  <c r="J87" i="66"/>
  <c r="P106" i="66"/>
  <c r="H87" i="66"/>
  <c r="L86" i="66"/>
  <c r="K86" i="66"/>
  <c r="Q126" i="66"/>
  <c r="P107" i="66" l="1"/>
  <c r="Q106" i="66"/>
  <c r="Q107" i="66" s="1"/>
  <c r="R107" i="66" s="1"/>
  <c r="M86" i="66"/>
  <c r="P127" i="66"/>
  <c r="Q127" i="66"/>
  <c r="R127" i="66" s="1"/>
  <c r="K87" i="66"/>
  <c r="L87" i="66"/>
  <c r="M87" i="66" l="1"/>
  <c r="N86" i="66"/>
  <c r="N87" i="66" l="1"/>
  <c r="O86" i="66"/>
  <c r="O87" i="66" l="1"/>
  <c r="Q86" i="66"/>
  <c r="J31" i="66"/>
  <c r="J51" i="66" s="1"/>
  <c r="J71" i="66" s="1"/>
  <c r="J91" i="66" s="1"/>
  <c r="J111" i="66" s="1"/>
  <c r="J32" i="66"/>
  <c r="J52" i="66" s="1"/>
  <c r="J72" i="66" s="1"/>
  <c r="J92" i="66" s="1"/>
  <c r="J112" i="66" s="1"/>
  <c r="P86" i="66" l="1"/>
  <c r="Q87" i="66"/>
  <c r="R87" i="66" s="1"/>
  <c r="P87" i="66" l="1"/>
  <c r="E14" i="63" l="1"/>
  <c r="F14" i="63" s="1"/>
  <c r="E13" i="63"/>
  <c r="F13" i="63" s="1"/>
  <c r="E12" i="63"/>
  <c r="F12" i="63" s="1"/>
  <c r="E11" i="63"/>
  <c r="I66" i="66"/>
  <c r="Q32" i="66"/>
  <c r="Q52" i="66" s="1"/>
  <c r="Q72" i="66" s="1"/>
  <c r="Q92" i="66" s="1"/>
  <c r="Q112" i="66" s="1"/>
  <c r="P32" i="66"/>
  <c r="P52" i="66" s="1"/>
  <c r="P72" i="66" s="1"/>
  <c r="P92" i="66" s="1"/>
  <c r="P112" i="66" s="1"/>
  <c r="O32" i="66"/>
  <c r="O52" i="66" s="1"/>
  <c r="O72" i="66" s="1"/>
  <c r="O92" i="66" s="1"/>
  <c r="O112" i="66" s="1"/>
  <c r="N32" i="66"/>
  <c r="N52" i="66" s="1"/>
  <c r="N72" i="66" s="1"/>
  <c r="N92" i="66" s="1"/>
  <c r="N112" i="66" s="1"/>
  <c r="M32" i="66"/>
  <c r="M52" i="66" s="1"/>
  <c r="M72" i="66" s="1"/>
  <c r="M92" i="66" s="1"/>
  <c r="M112" i="66" s="1"/>
  <c r="L32" i="66"/>
  <c r="L52" i="66" s="1"/>
  <c r="L72" i="66" s="1"/>
  <c r="L92" i="66" s="1"/>
  <c r="L112" i="66" s="1"/>
  <c r="K32" i="66"/>
  <c r="K52" i="66" s="1"/>
  <c r="K72" i="66" s="1"/>
  <c r="K92" i="66" s="1"/>
  <c r="K112" i="66" s="1"/>
  <c r="I32" i="66"/>
  <c r="I52" i="66" s="1"/>
  <c r="I72" i="66" s="1"/>
  <c r="I92" i="66" s="1"/>
  <c r="I112" i="66" s="1"/>
  <c r="H32" i="66"/>
  <c r="H52" i="66" s="1"/>
  <c r="H72" i="66" s="1"/>
  <c r="H92" i="66" s="1"/>
  <c r="H112" i="66" s="1"/>
  <c r="G32" i="66"/>
  <c r="G52" i="66" s="1"/>
  <c r="G72" i="66" s="1"/>
  <c r="G92" i="66" s="1"/>
  <c r="G112" i="66" s="1"/>
  <c r="F32" i="66"/>
  <c r="F52" i="66" s="1"/>
  <c r="F72" i="66" s="1"/>
  <c r="F92" i="66" s="1"/>
  <c r="F112" i="66" s="1"/>
  <c r="E32" i="66"/>
  <c r="E52" i="66" s="1"/>
  <c r="E72" i="66" s="1"/>
  <c r="E92" i="66" s="1"/>
  <c r="E112" i="66" s="1"/>
  <c r="D32" i="66"/>
  <c r="D52" i="66" s="1"/>
  <c r="D72" i="66" s="1"/>
  <c r="D92" i="66" s="1"/>
  <c r="D112" i="66" s="1"/>
  <c r="C32" i="66"/>
  <c r="C52" i="66" s="1"/>
  <c r="C72" i="66" s="1"/>
  <c r="C92" i="66" s="1"/>
  <c r="C112" i="66" s="1"/>
  <c r="Q31" i="66"/>
  <c r="Q51" i="66" s="1"/>
  <c r="Q71" i="66" s="1"/>
  <c r="Q91" i="66" s="1"/>
  <c r="Q111" i="66" s="1"/>
  <c r="P31" i="66"/>
  <c r="P51" i="66" s="1"/>
  <c r="P71" i="66" s="1"/>
  <c r="P91" i="66" s="1"/>
  <c r="P111" i="66" s="1"/>
  <c r="O31" i="66"/>
  <c r="O51" i="66" s="1"/>
  <c r="O71" i="66" s="1"/>
  <c r="O91" i="66" s="1"/>
  <c r="O111" i="66" s="1"/>
  <c r="N31" i="66"/>
  <c r="N51" i="66" s="1"/>
  <c r="N71" i="66" s="1"/>
  <c r="N91" i="66" s="1"/>
  <c r="N111" i="66" s="1"/>
  <c r="M31" i="66"/>
  <c r="M51" i="66" s="1"/>
  <c r="M71" i="66" s="1"/>
  <c r="M91" i="66" s="1"/>
  <c r="M111" i="66" s="1"/>
  <c r="L31" i="66"/>
  <c r="L51" i="66" s="1"/>
  <c r="L71" i="66" s="1"/>
  <c r="L91" i="66" s="1"/>
  <c r="L111" i="66" s="1"/>
  <c r="K31" i="66"/>
  <c r="K51" i="66" s="1"/>
  <c r="K71" i="66" s="1"/>
  <c r="K91" i="66" s="1"/>
  <c r="K111" i="66" s="1"/>
  <c r="I31" i="66"/>
  <c r="I51" i="66" s="1"/>
  <c r="I71" i="66" s="1"/>
  <c r="I91" i="66" s="1"/>
  <c r="I111" i="66" s="1"/>
  <c r="H31" i="66"/>
  <c r="H51" i="66" s="1"/>
  <c r="H71" i="66" s="1"/>
  <c r="H91" i="66" s="1"/>
  <c r="H111" i="66" s="1"/>
  <c r="G31" i="66"/>
  <c r="G51" i="66" s="1"/>
  <c r="G71" i="66" s="1"/>
  <c r="G91" i="66" s="1"/>
  <c r="G111" i="66" s="1"/>
  <c r="F31" i="66"/>
  <c r="F51" i="66" s="1"/>
  <c r="F71" i="66" s="1"/>
  <c r="F91" i="66" s="1"/>
  <c r="F111" i="66" s="1"/>
  <c r="E31" i="66"/>
  <c r="E51" i="66" s="1"/>
  <c r="E71" i="66" s="1"/>
  <c r="E91" i="66" s="1"/>
  <c r="E111" i="66" s="1"/>
  <c r="D31" i="66"/>
  <c r="D51" i="66" s="1"/>
  <c r="D71" i="66" s="1"/>
  <c r="D91" i="66" s="1"/>
  <c r="D111" i="66" s="1"/>
  <c r="C31" i="66"/>
  <c r="C51" i="66" s="1"/>
  <c r="C71" i="66" s="1"/>
  <c r="C91" i="66" s="1"/>
  <c r="C111" i="66" s="1"/>
  <c r="E10" i="63"/>
  <c r="F10" i="63" s="1"/>
  <c r="G29" i="59"/>
  <c r="G22" i="59"/>
  <c r="G15" i="59"/>
  <c r="F11" i="63" l="1"/>
  <c r="C16" i="5"/>
  <c r="E16" i="5"/>
  <c r="F16" i="5"/>
  <c r="G16" i="5"/>
  <c r="G66" i="66"/>
  <c r="H66" i="66"/>
  <c r="J66" i="66"/>
  <c r="K66" i="66"/>
  <c r="D16" i="5"/>
  <c r="L54" i="66"/>
  <c r="M54" i="66" s="1"/>
  <c r="N54" i="66" s="1"/>
  <c r="F127" i="58" l="1"/>
  <c r="F136" i="58" s="1"/>
  <c r="O54" i="66"/>
  <c r="P54" i="66" s="1"/>
  <c r="Q54" i="66" s="1"/>
  <c r="R54" i="66" s="1"/>
  <c r="G17" i="5"/>
  <c r="E17" i="5"/>
  <c r="F17" i="5"/>
  <c r="C17" i="5"/>
  <c r="F32" i="58"/>
  <c r="G67" i="66"/>
  <c r="J67" i="66"/>
  <c r="I67" i="66"/>
  <c r="H67" i="66"/>
  <c r="K67" i="66"/>
  <c r="L66" i="66"/>
  <c r="D17" i="5"/>
  <c r="F131" i="58" l="1"/>
  <c r="F141" i="58" s="1"/>
  <c r="F143" i="58" s="1"/>
  <c r="F145" i="58"/>
  <c r="F138" i="58"/>
  <c r="I17" i="5"/>
  <c r="M66" i="66"/>
  <c r="L67" i="66"/>
  <c r="G12" i="5"/>
  <c r="E12" i="5"/>
  <c r="D12" i="5" l="1"/>
  <c r="M67" i="66"/>
  <c r="N66" i="66"/>
  <c r="N67" i="66" l="1"/>
  <c r="O66" i="66"/>
  <c r="E14" i="5"/>
  <c r="E18" i="5" l="1"/>
  <c r="O67" i="66"/>
  <c r="P66" i="66"/>
  <c r="G14" i="5"/>
  <c r="G18" i="5" l="1"/>
  <c r="Q66" i="66"/>
  <c r="D14" i="5"/>
  <c r="P67" i="66"/>
  <c r="D18" i="5" l="1"/>
  <c r="Q67" i="66"/>
  <c r="R67" i="66" s="1"/>
  <c r="F12" i="5" l="1"/>
  <c r="F14" i="5" l="1"/>
  <c r="F18" i="5" l="1"/>
  <c r="K46" i="66" l="1"/>
  <c r="K129" i="66" s="1"/>
  <c r="L34" i="66"/>
  <c r="H46" i="66"/>
  <c r="H129" i="66" s="1"/>
  <c r="I46" i="66"/>
  <c r="I129" i="66" s="1"/>
  <c r="J46" i="66"/>
  <c r="G46" i="66"/>
  <c r="G129" i="66" s="1"/>
  <c r="F46" i="66"/>
  <c r="J129" i="66" l="1"/>
  <c r="J130" i="66" s="1"/>
  <c r="H47" i="66"/>
  <c r="K47" i="66"/>
  <c r="L46" i="66"/>
  <c r="L129" i="66" s="1"/>
  <c r="M34" i="66"/>
  <c r="M46" i="66" s="1"/>
  <c r="M129" i="66" s="1"/>
  <c r="J47" i="66"/>
  <c r="I47" i="66"/>
  <c r="G47" i="66"/>
  <c r="K130" i="66" l="1"/>
  <c r="H130" i="66"/>
  <c r="I130" i="66"/>
  <c r="M47" i="66"/>
  <c r="M130" i="66"/>
  <c r="L130" i="66"/>
  <c r="L47" i="66"/>
  <c r="N34" i="66"/>
  <c r="O34" i="66" l="1"/>
  <c r="O46" i="66" s="1"/>
  <c r="O129" i="66" s="1"/>
  <c r="N46" i="66"/>
  <c r="N129" i="66" s="1"/>
  <c r="C12" i="5"/>
  <c r="I12" i="5"/>
  <c r="P34" i="66" l="1"/>
  <c r="N47" i="66"/>
  <c r="N130" i="66"/>
  <c r="I14" i="5"/>
  <c r="I18" i="5" s="1"/>
  <c r="F146" i="58" s="1"/>
  <c r="O130" i="66"/>
  <c r="O47" i="66"/>
  <c r="C14" i="5" l="1"/>
  <c r="C18" i="5" s="1"/>
  <c r="Q34" i="66"/>
  <c r="P46" i="66"/>
  <c r="P129" i="66" s="1"/>
  <c r="F147" i="58" s="1"/>
  <c r="P47" i="66" l="1"/>
  <c r="Q46" i="66"/>
  <c r="Q129" i="66" s="1"/>
  <c r="R34" i="66"/>
  <c r="F133" i="58" l="1"/>
  <c r="Q130" i="66"/>
  <c r="R130" i="66" s="1"/>
  <c r="Q47" i="66"/>
  <c r="R47" i="66" s="1"/>
  <c r="P130" i="66"/>
</calcChain>
</file>

<file path=xl/sharedStrings.xml><?xml version="1.0" encoding="utf-8"?>
<sst xmlns="http://schemas.openxmlformats.org/spreadsheetml/2006/main" count="974" uniqueCount="323">
  <si>
    <t>Sick Leave</t>
  </si>
  <si>
    <t>Direct Labor</t>
  </si>
  <si>
    <t>UNIT</t>
  </si>
  <si>
    <t>UNIT PRICE</t>
  </si>
  <si>
    <t>AMOUNT</t>
  </si>
  <si>
    <t>CLIN</t>
  </si>
  <si>
    <t>SUPPLIES/SERVICES</t>
  </si>
  <si>
    <t>Each</t>
  </si>
  <si>
    <t>a</t>
  </si>
  <si>
    <t>b</t>
  </si>
  <si>
    <t>c</t>
  </si>
  <si>
    <t>Enter P or S</t>
  </si>
  <si>
    <t>PRIME CONTRACTOR</t>
  </si>
  <si>
    <t>SUBCONTRACTOR 1</t>
  </si>
  <si>
    <t>SUBCONTRACTOR 2</t>
  </si>
  <si>
    <t>SUBCONTRACTOR 3</t>
  </si>
  <si>
    <t>ETC</t>
  </si>
  <si>
    <t>(i.e. 100%)</t>
  </si>
  <si>
    <t>Please enter corresponding indirect rates for the prime and each subcontractor for each of the periods.</t>
  </si>
  <si>
    <t>Subcontractors may provide data separately in the above format for proprietary reasons.</t>
  </si>
  <si>
    <t>Total</t>
  </si>
  <si>
    <t>Indirect Rate Summary Spreadsheet</t>
  </si>
  <si>
    <t>Labor Cost  Detail Spreadsheet</t>
  </si>
  <si>
    <t>Burden/G&amp;A =</t>
  </si>
  <si>
    <t>Total Cost</t>
  </si>
  <si>
    <t>(To Section B)</t>
  </si>
  <si>
    <t>Profit/Fee</t>
  </si>
  <si>
    <t>Total Price</t>
  </si>
  <si>
    <t>Direct Cost</t>
  </si>
  <si>
    <t xml:space="preserve">Indirect Cost </t>
  </si>
  <si>
    <t>Fee</t>
  </si>
  <si>
    <t>(The format below is a sample.  Propose in the actual format of the Section B contained in the solicitation)</t>
  </si>
  <si>
    <t>d</t>
  </si>
  <si>
    <t>e</t>
  </si>
  <si>
    <t>f</t>
  </si>
  <si>
    <t>h</t>
  </si>
  <si>
    <t>Total Prime &amp; Sub Labor Before Prime G&amp;A &amp; Fee</t>
  </si>
  <si>
    <t xml:space="preserve">Proposal Fully Burdened Hourly Billing Rate </t>
  </si>
  <si>
    <t>i</t>
  </si>
  <si>
    <t>g</t>
  </si>
  <si>
    <t>Cost Summary Total</t>
  </si>
  <si>
    <t>Total of clin totals</t>
  </si>
  <si>
    <t>QTY</t>
  </si>
  <si>
    <t>Double check figure</t>
  </si>
  <si>
    <t>0002</t>
  </si>
  <si>
    <t>Description</t>
  </si>
  <si>
    <t>Labor &amp; Subcontract Labor Hours</t>
  </si>
  <si>
    <t>Direct &amp; Indirect Labor &amp; Subcontract Labor Costs (less G&amp;A)</t>
  </si>
  <si>
    <t>G&amp;A Costs</t>
  </si>
  <si>
    <t>G&amp;A Burden on ODCs</t>
  </si>
  <si>
    <t>Direct &amp; Indirect Labor &amp; Subcontract Labor Costs (Less Fee)</t>
  </si>
  <si>
    <t>Annual Productive Hours:</t>
  </si>
  <si>
    <t>Fringe Rate</t>
  </si>
  <si>
    <t>Overhead Rate</t>
  </si>
  <si>
    <t>G&amp;A Rate</t>
  </si>
  <si>
    <t>Proposed Fee Rate</t>
  </si>
  <si>
    <t>Contract Type</t>
  </si>
  <si>
    <t>Direct Labor Rate Schedule</t>
  </si>
  <si>
    <t>Labor Categories</t>
  </si>
  <si>
    <t>% of Effort Performed by Prime and Subs Based on Labor Hours</t>
  </si>
  <si>
    <t>Section B - Supplies or Services Costs and/or Prices</t>
  </si>
  <si>
    <t>From Cost Summary Worksheet</t>
  </si>
  <si>
    <t>From Cost Summary WorkWorksheet and ODC Cost Detail WorkWorksheet</t>
  </si>
  <si>
    <t>Total from individual Worksheets</t>
  </si>
  <si>
    <t>Provide the necessary narrative describing how the rates were derived and applied, the composition of the allocation pools &amp; bases, and provide any supporting forward rate agreements and DCAA/DCMA agreements/reports.</t>
  </si>
  <si>
    <t>If rates proposed are based on other than actual rates, please state the reason(s).</t>
  </si>
  <si>
    <t>Sample Fringe, Overhead, and G&amp;A worksheet schedules follow this tab.</t>
  </si>
  <si>
    <t>j</t>
  </si>
  <si>
    <t>Proposed Labor Rate</t>
  </si>
  <si>
    <t>Escalation</t>
  </si>
  <si>
    <t>e = c x d</t>
  </si>
  <si>
    <t>From Labor Cost Detail Worksheet</t>
  </si>
  <si>
    <t>From ODC Cost Detail Sheet</t>
  </si>
  <si>
    <t>Cost Summary Spreadsheet</t>
  </si>
  <si>
    <t>Solicitation Number:</t>
  </si>
  <si>
    <t>Period of Performance:</t>
  </si>
  <si>
    <t>Government Inputs</t>
  </si>
  <si>
    <t>Name of Action:</t>
  </si>
  <si>
    <t xml:space="preserve">Prime Contractor/Subcontractor Name/Division: </t>
  </si>
  <si>
    <t>Offeror Inputs</t>
  </si>
  <si>
    <t>Wrap Rate</t>
  </si>
  <si>
    <t>r = q/h</t>
  </si>
  <si>
    <t>Instructions</t>
  </si>
  <si>
    <t>Labor Type</t>
  </si>
  <si>
    <t>SCA Identifier</t>
  </si>
  <si>
    <t>Total:</t>
  </si>
  <si>
    <t>Weighted Average:</t>
  </si>
  <si>
    <t>Entity</t>
  </si>
  <si>
    <t>Location</t>
  </si>
  <si>
    <t>Location (Note 1)</t>
  </si>
  <si>
    <t>Labor Type (Note 2)</t>
  </si>
  <si>
    <t>Labor Categories (Note 3)</t>
  </si>
  <si>
    <t>Effort To Be Performed By The Prime (P) or Subcontractor (S) (Note 4)</t>
  </si>
  <si>
    <t>If Column D=S, Enter Name of Subcontractor(s) (Note 5)</t>
  </si>
  <si>
    <t>FTEs (Note 6)</t>
  </si>
  <si>
    <t>Total Productive Hours (Note 7)</t>
  </si>
  <si>
    <t>Hourly Base Pay Rate (Note 8)</t>
  </si>
  <si>
    <t>Fringe (Note 9)</t>
  </si>
  <si>
    <t>Overhead (Note 10)</t>
  </si>
  <si>
    <t xml:space="preserve"> Prime/Sub Hourly Rate Before Application Of  Prime G&amp;A &amp; Fee (IF Col C=S Enter Sub Rate) (Note 11)</t>
  </si>
  <si>
    <t>G&amp;A (Note 12)</t>
  </si>
  <si>
    <t>ODC Cost Detail Spreadsheet (Note 13)</t>
  </si>
  <si>
    <t>k = h + i + j</t>
  </si>
  <si>
    <t>l = g x k</t>
  </si>
  <si>
    <t>m</t>
  </si>
  <si>
    <t>n = l + o</t>
  </si>
  <si>
    <t>o</t>
  </si>
  <si>
    <t>p = n + o</t>
  </si>
  <si>
    <t>q = p/g</t>
  </si>
  <si>
    <t xml:space="preserve">Street Address: </t>
  </si>
  <si>
    <t>City, State and Zip Code:</t>
  </si>
  <si>
    <t>From Labor Worksheet</t>
  </si>
  <si>
    <t>Date of Proposal</t>
  </si>
  <si>
    <t>Fringe Rate Worksheet</t>
  </si>
  <si>
    <t>Fringe Expenses:</t>
  </si>
  <si>
    <t>FY2021 Actual</t>
  </si>
  <si>
    <t>FY2022 Actual</t>
  </si>
  <si>
    <t>Estimated Year 1</t>
  </si>
  <si>
    <t>Explanation</t>
  </si>
  <si>
    <t>Indirect payroll</t>
  </si>
  <si>
    <t>Payroll taxes (FICA, FUTA, SUTA, Workmans Comp)</t>
  </si>
  <si>
    <t>Vacation (PTO)</t>
  </si>
  <si>
    <t>Holiday</t>
  </si>
  <si>
    <t>Health/Disability Ins</t>
  </si>
  <si>
    <t>Workmans Compensation/Defense Base Act</t>
  </si>
  <si>
    <t>Bonuses</t>
  </si>
  <si>
    <t>Retention Pay</t>
  </si>
  <si>
    <t>401k Match</t>
  </si>
  <si>
    <t>Mil Leave</t>
  </si>
  <si>
    <t>Administrative Leave</t>
  </si>
  <si>
    <t>Insurance</t>
  </si>
  <si>
    <t>Total Pool</t>
  </si>
  <si>
    <t>Less: FAR 31 Unallowable Cost</t>
  </si>
  <si>
    <t>Entertainment, etc.</t>
  </si>
  <si>
    <t>Total Unallowable Costs</t>
  </si>
  <si>
    <t>Net Allowable cost</t>
  </si>
  <si>
    <t>Labor Base</t>
  </si>
  <si>
    <t>OH Labor</t>
  </si>
  <si>
    <t>G&amp;A Labor</t>
  </si>
  <si>
    <t>Total Labor Base</t>
  </si>
  <si>
    <t>Rate</t>
  </si>
  <si>
    <t>Overhead Rate Worksheet</t>
  </si>
  <si>
    <t>Overhead Expenses:</t>
  </si>
  <si>
    <t xml:space="preserve">  Labor</t>
  </si>
  <si>
    <t xml:space="preserve">  Travel</t>
  </si>
  <si>
    <t xml:space="preserve">  Transportation Costs</t>
  </si>
  <si>
    <t xml:space="preserve">  Supplies</t>
  </si>
  <si>
    <t xml:space="preserve">  Employment Advertising &amp; Screening</t>
  </si>
  <si>
    <t xml:space="preserve">  Telephone</t>
  </si>
  <si>
    <t xml:space="preserve">  Uniforms</t>
  </si>
  <si>
    <t xml:space="preserve">  Postage</t>
  </si>
  <si>
    <t xml:space="preserve"> Auto Repair &amp; Maintenance</t>
  </si>
  <si>
    <t>B&amp;P Labor</t>
  </si>
  <si>
    <t>G&amp;A Rate Worksheet</t>
  </si>
  <si>
    <t>G&amp;A Expenses:</t>
  </si>
  <si>
    <t>Labor</t>
  </si>
  <si>
    <t>Fringe</t>
  </si>
  <si>
    <t>Subscriptions</t>
  </si>
  <si>
    <t>Postage</t>
  </si>
  <si>
    <t>Printing</t>
  </si>
  <si>
    <t>Supplies</t>
  </si>
  <si>
    <t>Telephone &amp; Internet</t>
  </si>
  <si>
    <t>Travel</t>
  </si>
  <si>
    <t>Misc</t>
  </si>
  <si>
    <t>Training</t>
  </si>
  <si>
    <t>Payroll Processing Fees</t>
  </si>
  <si>
    <t>Equipment Maintenance</t>
  </si>
  <si>
    <t>Rent &amp; Equipment Rental</t>
  </si>
  <si>
    <t>Consultants</t>
  </si>
  <si>
    <t>Prof fees</t>
  </si>
  <si>
    <t>Bank Service Charges</t>
  </si>
  <si>
    <t>Accounting &amp; Legal Fees</t>
  </si>
  <si>
    <t>Total G&amp;A</t>
  </si>
  <si>
    <t>Less: FAR 31 Unallowable Costs</t>
  </si>
  <si>
    <t>Interest</t>
  </si>
  <si>
    <t>Contributions</t>
  </si>
  <si>
    <t>Advertising, etc.</t>
  </si>
  <si>
    <t>G&amp;A Pool After Deducting Unallowable Cost</t>
  </si>
  <si>
    <t xml:space="preserve">Allocation Base </t>
  </si>
  <si>
    <t xml:space="preserve">Direct Labor </t>
  </si>
  <si>
    <t>Overhead  (including any unallowable cost)</t>
  </si>
  <si>
    <t>Other Direct Costs (including any unallowable cost)</t>
  </si>
  <si>
    <t>Total G&amp;A Allocation Base</t>
  </si>
  <si>
    <t>G&amp;A, Burdens</t>
  </si>
  <si>
    <t>Burdens, G&amp;A Rate</t>
  </si>
  <si>
    <t>Subtotal ODC Ceiling</t>
  </si>
  <si>
    <t>ODCs Ceiling (Normalized)</t>
  </si>
  <si>
    <t>Average Burden</t>
  </si>
  <si>
    <t>Estimated Year 3</t>
  </si>
  <si>
    <t>Estimated Option Year 4</t>
  </si>
  <si>
    <t>Estimated Year 2</t>
  </si>
  <si>
    <t>Estimated Year 4</t>
  </si>
  <si>
    <t>Estimated Year 5</t>
  </si>
  <si>
    <t>Estimated Months 61-66</t>
  </si>
  <si>
    <t>Estimated Option Year 5</t>
  </si>
  <si>
    <t>COST</t>
  </si>
  <si>
    <t>Program Manager</t>
  </si>
  <si>
    <t>Base Year (Including Transition In)</t>
  </si>
  <si>
    <t>Total ODCs</t>
  </si>
  <si>
    <t>f = c + e</t>
  </si>
  <si>
    <t>ODCs=</t>
  </si>
  <si>
    <t>Cost Plus Fixed Fee</t>
  </si>
  <si>
    <t>Labor - CPFF</t>
  </si>
  <si>
    <t>Cost</t>
  </si>
  <si>
    <t>Fixed Fee</t>
  </si>
  <si>
    <t>Travel &amp; Other Direct Costs (ODCs)</t>
  </si>
  <si>
    <t>Total Cost Plus Fixed Fee</t>
  </si>
  <si>
    <t>Total Cost Plus Fixed Fee (Labor)</t>
  </si>
  <si>
    <t>Total Cost (Travel &amp; ODCs)</t>
  </si>
  <si>
    <t>Statutory Fringe Benefits:*</t>
  </si>
  <si>
    <t>Enter %**</t>
  </si>
  <si>
    <t>FICA</t>
  </si>
  <si>
    <t>FUTA</t>
  </si>
  <si>
    <t>SUTA</t>
  </si>
  <si>
    <t>Workman's Compensation</t>
  </si>
  <si>
    <t>Etc - Enter Additional Categories As Needed</t>
  </si>
  <si>
    <t>Fringe Benefits:*</t>
  </si>
  <si>
    <t>Fringe benefit offered to all professional employees? (Yes/No) (Explain, if no)</t>
  </si>
  <si>
    <t>Employer Share</t>
  </si>
  <si>
    <t>Employee Share, if applicable</t>
  </si>
  <si>
    <t>Describe fringe benefit and enter any additional comments</t>
  </si>
  <si>
    <t>Paid Leave/Vacation</t>
  </si>
  <si>
    <t>Holidays</t>
  </si>
  <si>
    <t>Jury Duty</t>
  </si>
  <si>
    <t>Military Leave</t>
  </si>
  <si>
    <t>Bereavement Leave</t>
  </si>
  <si>
    <t>Health Insurance</t>
  </si>
  <si>
    <t>Health/Flexible Spending Account</t>
  </si>
  <si>
    <t>Dental Insurance</t>
  </si>
  <si>
    <t>Vision Insurance</t>
  </si>
  <si>
    <t>Health Reimbursement</t>
  </si>
  <si>
    <t>Disability Insurance Short &amp; Term</t>
  </si>
  <si>
    <t>Disability Insurance Long Term</t>
  </si>
  <si>
    <t>Life insurance</t>
  </si>
  <si>
    <t>401K or retirement plan</t>
  </si>
  <si>
    <t>Profit sharing</t>
  </si>
  <si>
    <t>Tuition Reimbursement</t>
  </si>
  <si>
    <t>Paid Leave/Vacation (PTO, Sick, Military, etc.)</t>
  </si>
  <si>
    <t>Years of Experience</t>
  </si>
  <si>
    <t>Hours Alloted Per Year</t>
  </si>
  <si>
    <t>*Please enter all the fringe benefit categories to be offered to professional FLSA exempt employees under this contract. Please complete this sheet for each fringe benefit pool if multiple pools exist.</t>
  </si>
  <si>
    <t>**What % of the fringe benefit category contributes to the overall fringe benefit rate?</t>
  </si>
  <si>
    <t>Fringe Benefits Worksheet</t>
  </si>
  <si>
    <t>FY2023 Actual</t>
  </si>
  <si>
    <t>Force Development</t>
  </si>
  <si>
    <t>Senior Analyst</t>
  </si>
  <si>
    <t>Analyst</t>
  </si>
  <si>
    <t>Junior Analyst</t>
  </si>
  <si>
    <t>Senior Operations Research Analyst</t>
  </si>
  <si>
    <t>Operations Research Analyst</t>
  </si>
  <si>
    <t>Graphics Design Senior Analyst</t>
  </si>
  <si>
    <t>Force Documentation Senior Analyst</t>
  </si>
  <si>
    <t>CLIN 0001-2 Base Period (11 Months)</t>
  </si>
  <si>
    <t>CLIN 1001 - OY1 Labor</t>
  </si>
  <si>
    <t>CLIN 2001 - OY2 Labor</t>
  </si>
  <si>
    <t>CLIN 3001 - OY3 Labor</t>
  </si>
  <si>
    <t>CLIN 4001 - OY4 Labor</t>
  </si>
  <si>
    <t>CLIN 0002 - Base Period Surge Option (FD, PAE, CAA)</t>
  </si>
  <si>
    <t>CLIN 1002 - OY1 Surge Option (FD, PAE, CAA)</t>
  </si>
  <si>
    <t>CLIN 2002 - OY2 Surge Option (FD, PAE, CAA)</t>
  </si>
  <si>
    <t>CLIN 3002 - OY3 Surge Option (FD, PAE, CAA)</t>
  </si>
  <si>
    <t>CLIN 4002 - OY4 Surge Option (FD, PAE, CAA)</t>
  </si>
  <si>
    <t>CLIN 0001-1 Transition-In/Phase-In (1 Month)</t>
  </si>
  <si>
    <t>CLIN 5001 - FAR 52.217-8 Optional Extension of Services (OES) Regular Labor</t>
  </si>
  <si>
    <t>CLIN 5002 - FAR 52.217-8 Optional Extension of Services (OES) Optional Surge Labor</t>
  </si>
  <si>
    <t>Travel &amp; ODCs Optional Ext. of Services</t>
  </si>
  <si>
    <t>Base Period</t>
  </si>
  <si>
    <t>Regular Labor - Base Period (11 Months)</t>
  </si>
  <si>
    <t>Transition-In Labor - Base Period (1 Month)</t>
  </si>
  <si>
    <t>Optional Surge Labor - Base Period (FD, PAE, CAA)</t>
  </si>
  <si>
    <t>0003</t>
  </si>
  <si>
    <t>1003</t>
  </si>
  <si>
    <t>2003</t>
  </si>
  <si>
    <t>3003</t>
  </si>
  <si>
    <t>4003</t>
  </si>
  <si>
    <t>5003</t>
  </si>
  <si>
    <t>Travel &amp; ODCs Base Period</t>
  </si>
  <si>
    <t>Travel &amp; ODCs Option Year (OY) 1</t>
  </si>
  <si>
    <t>Travel &amp; ODCs OY2</t>
  </si>
  <si>
    <t>Travel &amp; ODCs OY3</t>
  </si>
  <si>
    <t>Travel &amp; ODCs OY4</t>
  </si>
  <si>
    <t>Option Year (OY) 1</t>
  </si>
  <si>
    <t>1001</t>
  </si>
  <si>
    <t>Regular Labor - OY1</t>
  </si>
  <si>
    <t>Optional Surge Labor - OY1 (FD, PAE, CAA)</t>
  </si>
  <si>
    <t>OY2</t>
  </si>
  <si>
    <t>2001</t>
  </si>
  <si>
    <t>Regular Labor - OY2</t>
  </si>
  <si>
    <t>Travel &amp; ODCs OY1</t>
  </si>
  <si>
    <t>OY3</t>
  </si>
  <si>
    <t>3001</t>
  </si>
  <si>
    <t>Regular Labor - OY3</t>
  </si>
  <si>
    <t>Optional Surge Labor - OY3 (FD, PAE, CAA)</t>
  </si>
  <si>
    <t>OY4</t>
  </si>
  <si>
    <t>4001</t>
  </si>
  <si>
    <t>Regular Labor - OY4</t>
  </si>
  <si>
    <t>Optional Surge Labor - OY4 (FD, PAE, CAA)</t>
  </si>
  <si>
    <t>Option to Extend Services (OES) - 6 months</t>
  </si>
  <si>
    <t>5001</t>
  </si>
  <si>
    <t>Regular Labor - 6 Month OES</t>
  </si>
  <si>
    <t>Optional Surge Labor - OES (FD, PAE, CAA)</t>
  </si>
  <si>
    <t>Travel &amp; ODCs - 6 Month OES</t>
  </si>
  <si>
    <t>Optional Surge Labor - OY2 (FD, PAE, CAA)</t>
  </si>
  <si>
    <t>Proposed OES Cost Plus Fixed Fee</t>
  </si>
  <si>
    <t>Proposed Base+4 Oys</t>
  </si>
  <si>
    <t>TOTAL PROPOSED Cost Plus Fixed Fee</t>
  </si>
  <si>
    <t>CPFF</t>
  </si>
  <si>
    <t>Base Year and Transition-In</t>
  </si>
  <si>
    <t>OY4 and Optional Extension of Services IAW FAR 52.217-8</t>
  </si>
  <si>
    <t>Cost Realism Basis for Rate Proposed</t>
  </si>
  <si>
    <t>Option Year 1</t>
  </si>
  <si>
    <t>OES IAW FAR 52.217-8</t>
  </si>
  <si>
    <t>Transition-In</t>
  </si>
  <si>
    <t>Base period</t>
  </si>
  <si>
    <t>W91CRB-25-R-0002</t>
  </si>
  <si>
    <t>0001</t>
  </si>
  <si>
    <t>0004</t>
  </si>
  <si>
    <t>0005</t>
  </si>
  <si>
    <t>1004</t>
  </si>
  <si>
    <t>2004</t>
  </si>
  <si>
    <t>3004</t>
  </si>
  <si>
    <t>4004</t>
  </si>
  <si>
    <t>5004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</si>
</sst>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2">
    <numFmt numFmtId="6" formatCode="&quot;$&quot;#,##0_);[Red]\(&quot;$&quot;#,##0\)"/>
    <numFmt numFmtId="7" formatCode="&quot;$&quot;#,##0.00_);\(&quot;$&quot;#,##0.0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quot;$&quot;#,##0.00"/>
    <numFmt numFmtId="165" formatCode="_-* #,##0.00_-;\-* #,##0.00_-;_-* &quot;-&quot;??_-;_-@_-"/>
    <numFmt numFmtId="166" formatCode="\ \ &quot;$&quot;* #,##0_);[Red]\ \ &quot;$&quot;* \(#,##0\);\ \ &quot;$&quot;* 0_)"/>
    <numFmt numFmtId="167" formatCode="\ \ &quot;$&quot;* #,##0.0_);[Red]\ \ &quot;$&quot;* \(#,##0.0\);\ \ &quot;$&quot;* 0_)_\"/>
    <numFmt numFmtId="168" formatCode="\ \ &quot;$&quot;* #,##0.00_);[Red]\ \ &quot;$&quot;* \(#,##0.00\);\ \ &quot;$&quot;* 0_)_\_\_."/>
    <numFmt numFmtId="169" formatCode="#,##0_)%;[Red]\(#,##0\)%;0_)%"/>
    <numFmt numFmtId="170" formatCode="#,##0.0_)%;[Red]\(#,##0.0\)%;0_)_.%"/>
    <numFmt numFmtId="171" formatCode="#,##0.00_)%;[Red]\(#,##0.00\)%;0_)_0_.%"/>
    <numFmt numFmtId="172" formatCode="#,##0_)_%;[Red]\(#,##0\)_%;0_)_%"/>
    <numFmt numFmtId="173" formatCode="#,##0.0_);[Red]\(#,##0.0\);0_)_."/>
    <numFmt numFmtId="174" formatCode="#,##0.0_)_%;[Red]\(#,##0.0\)_%;0_)_._%"/>
    <numFmt numFmtId="175" formatCode="#,##0.00_);[Red]\(#,##0.00\);0_)_0_."/>
    <numFmt numFmtId="176" formatCode="#,##0.00_)_%;[Red]\(#,##0.00\)_%;0_)_0_._%"/>
    <numFmt numFmtId="177" formatCode="mmmm\ dd\,\ yyyy"/>
    <numFmt numFmtId="178" formatCode="#,##0.0_);\(#,##0.0\)"/>
    <numFmt numFmtId="179" formatCode="_(* #,##0.0000_);_(* \(#,##0.0000\);_(* &quot;-&quot;??_);_(@_)"/>
    <numFmt numFmtId="180" formatCode="0.0%;[Red]\(0.0%\)"/>
    <numFmt numFmtId="181" formatCode="0%;[Red]\(0%\)"/>
    <numFmt numFmtId="182" formatCode="0.0%;\(0.0%\)"/>
    <numFmt numFmtId="183" formatCode="mmmm\ d\,\ yyyy"/>
    <numFmt numFmtId="184" formatCode="#,##0.0"/>
    <numFmt numFmtId="185" formatCode="0.000"/>
    <numFmt numFmtId="186" formatCode="_-* #,##0\ _F_-;\-* #,##0\ _F_-;_-* &quot;-&quot;\ _F_-;_-@_-"/>
    <numFmt numFmtId="187" formatCode="_-* #,##0.00\ _F_-;\-* #,##0.00\ _F_-;_-* &quot;-&quot;??\ _F_-;_-@_-"/>
    <numFmt numFmtId="188" formatCode="_-* #,##0\ &quot;F&quot;_-;\-* #,##0\ &quot;F&quot;_-;_-* &quot;-&quot;\ &quot;F&quot;_-;_-@_-"/>
    <numFmt numFmtId="189" formatCode="_-* #,##0.00\ &quot;F&quot;_-;\-* #,##0.00\ &quot;F&quot;_-;_-* &quot;-&quot;??\ &quot;F&quot;_-;_-@_-"/>
    <numFmt numFmtId="190" formatCode="###0.0_);[Red]\(###0.0\)"/>
    <numFmt numFmtId="191" formatCode="0%;\(0%\)"/>
    <numFmt numFmtId="192" formatCode="General_)"/>
    <numFmt numFmtId="193" formatCode="&quot;$&quot;\ #,##0.00;\(&quot;$&quot;\ #,##0.00\)"/>
    <numFmt numFmtId="194" formatCode="&quot;   &quot;@"/>
    <numFmt numFmtId="195" formatCode="_(* #,##0_);_(* \(#,##0\);_(* &quot;-&quot;_)"/>
    <numFmt numFmtId="196" formatCode="_(* #,##0,_);_(* \(#,##0,\);_(@_)"/>
    <numFmt numFmtId="197" formatCode="0000"/>
    <numFmt numFmtId="198" formatCode="_(&quot;$&quot;* #,##0_);_(&quot;$&quot;* \(#,##0\);_(&quot;$&quot;* &quot;-&quot;??_);_(@_)"/>
  </numFmts>
  <fonts count="80">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sz val="10"/>
      <name val="Arial"/>
      <family val="2"/>
    </font>
    <font>
      <sz val="12"/>
      <name val="Arial"/>
      <family val="2"/>
    </font>
    <font>
      <sz val="12"/>
      <name val="Times New Roman"/>
      <family val="1"/>
    </font>
    <font>
      <b/>
      <sz val="14"/>
      <name val="Times New Roman"/>
      <family val="1"/>
    </font>
    <font>
      <b/>
      <sz val="12"/>
      <name val="Times New Roman"/>
      <family val="1"/>
    </font>
    <font>
      <b/>
      <sz val="12"/>
      <name val="Arial"/>
      <family val="2"/>
    </font>
    <font>
      <sz val="11"/>
      <color theme="1"/>
      <name val="Calibri"/>
      <family val="2"/>
      <scheme val="minor"/>
    </font>
    <font>
      <sz val="10"/>
      <name val="Arial"/>
      <family val="2"/>
    </font>
    <font>
      <sz val="10"/>
      <name val="MS Sans Serif"/>
      <family val="2"/>
    </font>
    <font>
      <sz val="10"/>
      <name val="MS Sans Serif"/>
      <family val="2"/>
    </font>
    <font>
      <sz val="10"/>
      <color theme="1"/>
      <name val="Times New Roman"/>
      <family val="2"/>
    </font>
    <font>
      <sz val="8"/>
      <color theme="1"/>
      <name val="Calibri"/>
      <family val="2"/>
      <scheme val="minor"/>
    </font>
    <font>
      <sz val="10"/>
      <name val="Times New Roman"/>
      <family val="1"/>
    </font>
    <font>
      <b/>
      <sz val="10"/>
      <name val="Times New Roman"/>
      <family val="1"/>
    </font>
    <font>
      <sz val="11"/>
      <name val="Times New Roman"/>
      <family val="1"/>
    </font>
    <font>
      <sz val="11"/>
      <name val="Arial"/>
      <family val="2"/>
    </font>
    <font>
      <sz val="10"/>
      <name val="Helv"/>
      <family val="2"/>
    </font>
    <font>
      <sz val="8"/>
      <name val="SWISS"/>
    </font>
    <font>
      <sz val="10"/>
      <name val="Helv"/>
    </font>
    <font>
      <sz val="12"/>
      <name val="Tms Rmn"/>
    </font>
    <font>
      <sz val="8"/>
      <name val="Arial"/>
      <family val="2"/>
    </font>
    <font>
      <b/>
      <sz val="10"/>
      <name val="Helv"/>
    </font>
    <font>
      <sz val="12"/>
      <name val="Helv"/>
    </font>
    <font>
      <sz val="10"/>
      <color indexed="8"/>
      <name val="Arial"/>
      <family val="2"/>
    </font>
    <font>
      <sz val="12"/>
      <name val="Arial MT"/>
    </font>
    <font>
      <sz val="10"/>
      <color indexed="10"/>
      <name val="Helv"/>
    </font>
    <font>
      <sz val="18"/>
      <name val="Helv"/>
    </font>
    <font>
      <b/>
      <i/>
      <sz val="10"/>
      <name val="Comic Sans MS"/>
      <family val="4"/>
    </font>
    <font>
      <b/>
      <sz val="12"/>
      <name val="Helv"/>
    </font>
    <font>
      <b/>
      <sz val="11"/>
      <name val="Helv"/>
    </font>
    <font>
      <sz val="7"/>
      <name val="Small Fonts"/>
      <family val="2"/>
    </font>
    <font>
      <b/>
      <sz val="10"/>
      <color indexed="8"/>
      <name val="Arial Narrow"/>
      <family val="2"/>
    </font>
    <font>
      <b/>
      <sz val="10"/>
      <name val="MS Sans Serif"/>
      <family val="2"/>
    </font>
    <font>
      <sz val="11"/>
      <color indexed="58"/>
      <name val="Arial"/>
      <family val="2"/>
    </font>
    <font>
      <sz val="10"/>
      <name val="Arial MT"/>
    </font>
    <font>
      <sz val="10"/>
      <name val="Helv"/>
      <charset val="204"/>
    </font>
    <font>
      <sz val="8"/>
      <name val="Times New Roman"/>
      <family val="1"/>
    </font>
    <font>
      <b/>
      <sz val="8"/>
      <name val="Times New Roman"/>
      <family val="1"/>
    </font>
    <font>
      <b/>
      <sz val="8"/>
      <color indexed="9"/>
      <name val="Times New Roman"/>
      <family val="1"/>
    </font>
    <font>
      <b/>
      <sz val="24"/>
      <name val="Arial"/>
      <family val="2"/>
    </font>
    <font>
      <sz val="14"/>
      <name val="VAG Rounded Lt"/>
      <family val="2"/>
    </font>
    <font>
      <b/>
      <sz val="8"/>
      <name val="VAG Rounded Lt"/>
      <family val="2"/>
    </font>
    <font>
      <sz val="10"/>
      <name val="Arial"/>
      <family val="2"/>
    </font>
    <font>
      <sz val="11"/>
      <color theme="1"/>
      <name val="Arial"/>
      <family val="2"/>
    </font>
    <font>
      <sz val="10"/>
      <name val="Arial"/>
      <family val="2"/>
    </font>
    <font>
      <sz val="11"/>
      <color indexed="8"/>
      <name val="Calibri"/>
      <family val="2"/>
    </font>
    <font>
      <b/>
      <sz val="10"/>
      <color rgb="FFFF0000"/>
      <name val="Times New Roman"/>
      <family val="1"/>
    </font>
    <font>
      <b/>
      <i/>
      <sz val="10"/>
      <name val="Times New Roman"/>
      <family val="1"/>
    </font>
    <font>
      <b/>
      <sz val="10"/>
      <color theme="1"/>
      <name val="Times New Roman"/>
      <family val="1"/>
    </font>
    <font>
      <sz val="10"/>
      <color theme="1"/>
      <name val="Times New Roman"/>
      <family val="1"/>
    </font>
    <font>
      <b/>
      <sz val="10"/>
      <color theme="2" tint="-9.9978637043366805E-2"/>
      <name val="Times New Roman"/>
      <family val="1"/>
    </font>
    <font>
      <sz val="8"/>
      <name val="Arial"/>
      <family val="2"/>
    </font>
    <font>
      <sz val="10"/>
      <color indexed="10"/>
      <name val="Times New Roman"/>
      <family val="1"/>
    </font>
    <font>
      <sz val="8"/>
      <name val="Arial"/>
    </font>
    <font>
      <i/>
      <sz val="10"/>
      <name val="Times New Roman"/>
      <family val="1"/>
    </font>
  </fonts>
  <fills count="20">
    <fill>
      <patternFill patternType="none"/>
    </fill>
    <fill>
      <patternFill patternType="gray125"/>
    </fill>
    <fill>
      <patternFill patternType="lightGray"/>
    </fill>
    <fill>
      <patternFill patternType="solid">
        <fgColor indexed="42"/>
        <bgColor indexed="64"/>
      </patternFill>
    </fill>
    <fill>
      <patternFill patternType="solid">
        <fgColor indexed="9"/>
      </patternFill>
    </fill>
    <fill>
      <patternFill patternType="gray0625"/>
    </fill>
    <fill>
      <patternFill patternType="solid">
        <fgColor indexed="22"/>
        <bgColor indexed="64"/>
      </patternFill>
    </fill>
    <fill>
      <patternFill patternType="solid">
        <fgColor indexed="9"/>
        <bgColor indexed="64"/>
      </patternFill>
    </fill>
    <fill>
      <patternFill patternType="lightGray">
        <bgColor indexed="9"/>
      </patternFill>
    </fill>
    <fill>
      <patternFill patternType="mediumGray">
        <fgColor indexed="22"/>
      </patternFill>
    </fill>
    <fill>
      <patternFill patternType="solid">
        <fgColor indexed="63"/>
        <bgColor indexed="64"/>
      </patternFill>
    </fill>
    <fill>
      <patternFill patternType="solid">
        <fgColor indexed="8"/>
        <bgColor indexed="64"/>
      </patternFill>
    </fill>
    <fill>
      <patternFill patternType="solid">
        <fgColor rgb="FF996600"/>
        <bgColor indexed="64"/>
      </patternFill>
    </fill>
    <fill>
      <patternFill patternType="solid">
        <fgColor theme="6" tint="0.39997558519241921"/>
        <bgColor indexed="64"/>
      </patternFill>
    </fill>
    <fill>
      <patternFill patternType="mediumGray"/>
    </fill>
    <fill>
      <patternFill patternType="solid">
        <fgColor rgb="FFE4C9AE"/>
        <bgColor indexed="64"/>
      </patternFill>
    </fill>
    <fill>
      <patternFill patternType="solid">
        <fgColor indexed="65"/>
        <bgColor indexed="64"/>
      </patternFill>
    </fill>
    <fill>
      <patternFill patternType="solid">
        <fgColor theme="5" tint="0.59999389629810485"/>
        <bgColor indexed="64"/>
      </patternFill>
    </fill>
    <fill>
      <patternFill patternType="solid">
        <fgColor rgb="FF0070C0"/>
        <bgColor indexed="64"/>
      </patternFill>
    </fill>
    <fill>
      <patternFill patternType="solid">
        <fgColor theme="6" tint="0.39994506668294322"/>
        <bgColor indexed="64"/>
      </patternFill>
    </fill>
  </fills>
  <borders count="60">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thin">
        <color indexed="64"/>
      </top>
      <bottom/>
      <diagonal/>
    </border>
    <border>
      <left/>
      <right/>
      <top style="thin">
        <color indexed="64"/>
      </top>
      <bottom style="double">
        <color indexed="64"/>
      </bottom>
      <diagonal/>
    </border>
    <border>
      <left/>
      <right/>
      <top/>
      <bottom style="double">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hair">
        <color indexed="64"/>
      </left>
      <right style="hair">
        <color indexed="64"/>
      </right>
      <top style="hair">
        <color indexed="64"/>
      </top>
      <bottom style="hair">
        <color indexed="64"/>
      </bottom>
      <diagonal/>
    </border>
    <border>
      <left/>
      <right/>
      <top style="thin">
        <color indexed="64"/>
      </top>
      <bottom style="thin">
        <color indexed="64"/>
      </bottom>
      <diagonal/>
    </border>
    <border>
      <left/>
      <right/>
      <top/>
      <bottom style="thick">
        <color indexed="64"/>
      </bottom>
      <diagonal/>
    </border>
    <border>
      <left/>
      <right/>
      <top style="double">
        <color indexed="64"/>
      </top>
      <bottom style="medium">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auto="1"/>
      </left>
      <right/>
      <top style="double">
        <color auto="1"/>
      </top>
      <bottom style="double">
        <color auto="1"/>
      </bottom>
      <diagonal/>
    </border>
    <border>
      <left/>
      <right/>
      <top style="double">
        <color auto="1"/>
      </top>
      <bottom style="double">
        <color auto="1"/>
      </bottom>
      <diagonal/>
    </border>
    <border>
      <left/>
      <right style="thin">
        <color auto="1"/>
      </right>
      <top style="double">
        <color auto="1"/>
      </top>
      <bottom style="double">
        <color indexed="64"/>
      </bottom>
      <diagonal/>
    </border>
    <border>
      <left style="thin">
        <color auto="1"/>
      </left>
      <right style="thin">
        <color indexed="64"/>
      </right>
      <top style="double">
        <color auto="1"/>
      </top>
      <bottom style="double">
        <color auto="1"/>
      </bottom>
      <diagonal/>
    </border>
    <border>
      <left style="thin">
        <color indexed="64"/>
      </left>
      <right style="thin">
        <color indexed="64"/>
      </right>
      <top/>
      <bottom style="double">
        <color indexed="64"/>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thin">
        <color auto="1"/>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thin">
        <color indexed="64"/>
      </bottom>
      <diagonal/>
    </border>
    <border>
      <left/>
      <right style="medium">
        <color indexed="64"/>
      </right>
      <top style="thin">
        <color indexed="64"/>
      </top>
      <bottom style="double">
        <color indexed="64"/>
      </bottom>
      <diagonal/>
    </border>
    <border>
      <left/>
      <right style="medium">
        <color indexed="64"/>
      </right>
      <top/>
      <bottom style="double">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auto="1"/>
      </right>
      <top/>
      <bottom/>
      <diagonal/>
    </border>
    <border>
      <left style="thin">
        <color auto="1"/>
      </left>
      <right/>
      <top/>
      <bottom style="double">
        <color indexed="64"/>
      </bottom>
      <diagonal/>
    </border>
    <border>
      <left/>
      <right style="thin">
        <color auto="1"/>
      </right>
      <top/>
      <bottom style="double">
        <color indexed="64"/>
      </bottom>
      <diagonal/>
    </border>
    <border>
      <left style="thin">
        <color auto="1"/>
      </left>
      <right/>
      <top style="thin">
        <color indexed="64"/>
      </top>
      <bottom style="double">
        <color indexed="64"/>
      </bottom>
      <diagonal/>
    </border>
    <border>
      <left/>
      <right style="thin">
        <color auto="1"/>
      </right>
      <top style="thin">
        <color indexed="64"/>
      </top>
      <bottom style="double">
        <color indexed="64"/>
      </bottom>
      <diagonal/>
    </border>
    <border>
      <left/>
      <right style="slantDashDot">
        <color auto="1"/>
      </right>
      <top/>
      <bottom/>
      <diagonal/>
    </border>
  </borders>
  <cellStyleXfs count="18033">
    <xf numFmtId="0" fontId="0" fillId="0" borderId="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0" fontId="25" fillId="0" borderId="0"/>
    <xf numFmtId="0" fontId="23" fillId="0" borderId="0"/>
    <xf numFmtId="0" fontId="23" fillId="0" borderId="0"/>
    <xf numFmtId="0" fontId="23" fillId="0" borderId="0"/>
    <xf numFmtId="0" fontId="23" fillId="0" borderId="0"/>
    <xf numFmtId="0" fontId="31" fillId="0" borderId="0"/>
    <xf numFmtId="0" fontId="31" fillId="0" borderId="0"/>
    <xf numFmtId="0" fontId="23" fillId="0" borderId="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0" fontId="33" fillId="0" borderId="0" applyNumberFormat="0" applyFont="0" applyFill="0" applyBorder="0" applyAlignment="0" applyProtection="0">
      <alignment horizontal="left"/>
    </xf>
    <xf numFmtId="0" fontId="22" fillId="0" borderId="0"/>
    <xf numFmtId="0" fontId="22" fillId="0" borderId="0"/>
    <xf numFmtId="43" fontId="32" fillId="0" borderId="0" applyFont="0" applyFill="0" applyBorder="0" applyAlignment="0" applyProtection="0"/>
    <xf numFmtId="44" fontId="32" fillId="0" borderId="0" applyFont="0" applyFill="0" applyBorder="0" applyAlignment="0" applyProtection="0"/>
    <xf numFmtId="9" fontId="32" fillId="0" borderId="0" applyFont="0" applyFill="0" applyBorder="0" applyAlignment="0" applyProtection="0"/>
    <xf numFmtId="0" fontId="34" fillId="0" borderId="0" applyNumberFormat="0" applyFont="0" applyFill="0" applyBorder="0" applyAlignment="0" applyProtection="0">
      <alignment horizontal="left"/>
    </xf>
    <xf numFmtId="0" fontId="22" fillId="0" borderId="0"/>
    <xf numFmtId="0" fontId="32" fillId="0" borderId="0"/>
    <xf numFmtId="0" fontId="22" fillId="0" borderId="0"/>
    <xf numFmtId="0" fontId="22" fillId="0" borderId="0"/>
    <xf numFmtId="43" fontId="32" fillId="0" borderId="0" applyFont="0" applyFill="0" applyBorder="0" applyAlignment="0" applyProtection="0"/>
    <xf numFmtId="44" fontId="32" fillId="0" borderId="0" applyFont="0" applyFill="0" applyBorder="0" applyAlignment="0" applyProtection="0"/>
    <xf numFmtId="9" fontId="32" fillId="0" borderId="0" applyFont="0" applyFill="0" applyBorder="0" applyAlignment="0" applyProtection="0"/>
    <xf numFmtId="43" fontId="32" fillId="0" borderId="0" applyFont="0" applyFill="0" applyBorder="0" applyAlignment="0" applyProtection="0"/>
    <xf numFmtId="44" fontId="3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9" fontId="32" fillId="0" borderId="0" applyFont="0" applyFill="0" applyBorder="0" applyAlignment="0" applyProtection="0"/>
    <xf numFmtId="0" fontId="35" fillId="0" borderId="0"/>
    <xf numFmtId="43" fontId="35" fillId="0" borderId="0" applyFont="0" applyFill="0" applyBorder="0" applyAlignment="0" applyProtection="0"/>
    <xf numFmtId="44" fontId="35" fillId="0" borderId="0" applyFont="0" applyFill="0" applyBorder="0" applyAlignment="0" applyProtection="0"/>
    <xf numFmtId="43" fontId="23" fillId="0" borderId="0" applyFont="0" applyFill="0" applyBorder="0" applyAlignment="0" applyProtection="0"/>
    <xf numFmtId="9" fontId="35" fillId="0" borderId="0" applyFont="0" applyFill="0" applyBorder="0" applyAlignment="0" applyProtection="0"/>
    <xf numFmtId="0" fontId="22" fillId="0" borderId="0"/>
    <xf numFmtId="44" fontId="23" fillId="0" borderId="0" applyBorder="0"/>
    <xf numFmtId="43" fontId="23" fillId="0" borderId="0" applyBorder="0"/>
    <xf numFmtId="41" fontId="23" fillId="0" borderId="0" applyFont="0" applyBorder="0"/>
    <xf numFmtId="0" fontId="23" fillId="0" borderId="3" applyNumberFormat="0" applyFont="0" applyFill="0" applyAlignment="0" applyProtection="0"/>
    <xf numFmtId="41" fontId="23" fillId="0" borderId="0" applyFont="0" applyBorder="0"/>
    <xf numFmtId="42" fontId="23" fillId="0" borderId="0" applyFont="0" applyBorder="0"/>
    <xf numFmtId="0" fontId="23" fillId="0" borderId="1" applyNumberFormat="0" applyFont="0" applyFill="0" applyAlignment="0" applyProtection="0"/>
    <xf numFmtId="0" fontId="23" fillId="0" borderId="1" applyNumberFormat="0" applyFont="0" applyFill="0" applyAlignment="0" applyProtection="0"/>
    <xf numFmtId="0" fontId="22" fillId="0" borderId="0"/>
    <xf numFmtId="0" fontId="32" fillId="0" borderId="0"/>
    <xf numFmtId="0" fontId="22" fillId="0" borderId="0"/>
    <xf numFmtId="0" fontId="22" fillId="0" borderId="0"/>
    <xf numFmtId="43" fontId="32" fillId="0" borderId="0" applyFont="0" applyFill="0" applyBorder="0" applyAlignment="0" applyProtection="0"/>
    <xf numFmtId="44" fontId="32" fillId="0" borderId="0" applyFont="0" applyFill="0" applyBorder="0" applyAlignment="0" applyProtection="0"/>
    <xf numFmtId="9" fontId="32" fillId="0" borderId="0" applyFont="0" applyFill="0" applyBorder="0" applyAlignment="0" applyProtection="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44" fontId="23" fillId="0" borderId="0" applyFont="0" applyFill="0" applyBorder="0" applyAlignment="0" applyProtection="0"/>
    <xf numFmtId="9" fontId="23" fillId="0" borderId="0" applyFont="0" applyFill="0" applyBorder="0" applyAlignment="0" applyProtection="0"/>
    <xf numFmtId="0" fontId="23" fillId="0" borderId="0"/>
    <xf numFmtId="43" fontId="23" fillId="0" borderId="0" applyFon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3" fillId="0" borderId="0"/>
    <xf numFmtId="0" fontId="21" fillId="0" borderId="0"/>
    <xf numFmtId="0" fontId="21" fillId="0" borderId="0"/>
    <xf numFmtId="0" fontId="21" fillId="0" borderId="0"/>
    <xf numFmtId="0" fontId="33" fillId="0" borderId="0" applyNumberFormat="0" applyFont="0" applyFill="0" applyBorder="0" applyAlignment="0" applyProtection="0">
      <alignment horizontal="left"/>
    </xf>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9" fontId="23" fillId="0" borderId="0" applyFont="0" applyFill="0" applyBorder="0" applyAlignment="0" applyProtection="0"/>
    <xf numFmtId="43" fontId="23"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9" fillId="0" borderId="0"/>
    <xf numFmtId="0" fontId="19"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36" fillId="0" borderId="0"/>
    <xf numFmtId="44" fontId="36" fillId="0" borderId="0" applyFont="0" applyFill="0" applyBorder="0" applyAlignment="0" applyProtection="0"/>
    <xf numFmtId="43" fontId="36" fillId="0" borderId="0" applyFont="0" applyFill="0" applyBorder="0" applyAlignment="0" applyProtection="0"/>
    <xf numFmtId="9" fontId="36" fillId="0" borderId="0" applyFont="0" applyFill="0" applyBorder="0" applyAlignment="0" applyProtection="0"/>
    <xf numFmtId="43" fontId="23" fillId="0" borderId="0" applyFont="0" applyFill="0" applyBorder="0" applyAlignment="0" applyProtection="0"/>
    <xf numFmtId="0" fontId="36" fillId="0" borderId="0"/>
    <xf numFmtId="0" fontId="23" fillId="0" borderId="0"/>
    <xf numFmtId="0" fontId="36" fillId="0" borderId="0"/>
    <xf numFmtId="0" fontId="15" fillId="0" borderId="0"/>
    <xf numFmtId="0" fontId="15" fillId="0" borderId="0"/>
    <xf numFmtId="44" fontId="36" fillId="0" borderId="0" applyFont="0" applyFill="0" applyBorder="0" applyAlignment="0" applyProtection="0"/>
    <xf numFmtId="43" fontId="36" fillId="0" borderId="0" applyFont="0" applyFill="0" applyBorder="0" applyAlignment="0" applyProtection="0"/>
    <xf numFmtId="9" fontId="36"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23"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9" fontId="23" fillId="0" borderId="0" applyFont="0" applyFill="0" applyBorder="0" applyAlignment="0" applyProtection="0"/>
    <xf numFmtId="9" fontId="23" fillId="0" borderId="0" applyFont="0" applyFill="0" applyBorder="0" applyAlignment="0" applyProtection="0"/>
    <xf numFmtId="9" fontId="23"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3" fillId="0" borderId="0"/>
    <xf numFmtId="166" fontId="23" fillId="0" borderId="0"/>
    <xf numFmtId="167" fontId="23" fillId="0" borderId="0"/>
    <xf numFmtId="168" fontId="23" fillId="0" borderId="0"/>
    <xf numFmtId="169" fontId="23" fillId="0" borderId="0"/>
    <xf numFmtId="170" fontId="23" fillId="0" borderId="0"/>
    <xf numFmtId="171" fontId="23" fillId="0" borderId="0"/>
    <xf numFmtId="0" fontId="23" fillId="0" borderId="0"/>
    <xf numFmtId="0" fontId="23" fillId="0" borderId="0"/>
    <xf numFmtId="0" fontId="41" fillId="0" borderId="0"/>
    <xf numFmtId="0" fontId="23" fillId="0" borderId="0"/>
    <xf numFmtId="0" fontId="41" fillId="0" borderId="0"/>
    <xf numFmtId="0" fontId="23" fillId="0" borderId="0" applyFont="0" applyFill="0" applyBorder="0" applyAlignment="0" applyProtection="0"/>
    <xf numFmtId="0" fontId="23" fillId="0" borderId="0" applyFont="0" applyFill="0" applyBorder="0" applyAlignment="0" applyProtection="0"/>
    <xf numFmtId="9" fontId="23" fillId="3" borderId="0"/>
    <xf numFmtId="0" fontId="23" fillId="0" borderId="0"/>
    <xf numFmtId="0" fontId="23" fillId="0" borderId="0"/>
    <xf numFmtId="38" fontId="23" fillId="0" borderId="0"/>
    <xf numFmtId="172" fontId="23" fillId="0" borderId="0"/>
    <xf numFmtId="173" fontId="23" fillId="0" borderId="0"/>
    <xf numFmtId="174" fontId="23" fillId="0" borderId="0"/>
    <xf numFmtId="175" fontId="23" fillId="0" borderId="0"/>
    <xf numFmtId="176" fontId="23" fillId="0" borderId="0"/>
    <xf numFmtId="0" fontId="42" fillId="4" borderId="0"/>
    <xf numFmtId="0" fontId="42" fillId="4" borderId="0"/>
    <xf numFmtId="0" fontId="42" fillId="4" borderId="0"/>
    <xf numFmtId="0" fontId="42" fillId="4" borderId="0"/>
    <xf numFmtId="0" fontId="42" fillId="4" borderId="0"/>
    <xf numFmtId="0" fontId="42" fillId="4" borderId="0"/>
    <xf numFmtId="0" fontId="42" fillId="4" borderId="0"/>
    <xf numFmtId="0" fontId="42" fillId="4" borderId="0"/>
    <xf numFmtId="0" fontId="42" fillId="4" borderId="0"/>
    <xf numFmtId="0" fontId="42" fillId="4" borderId="0"/>
    <xf numFmtId="0" fontId="42" fillId="4" borderId="0"/>
    <xf numFmtId="0" fontId="42" fillId="4" borderId="0"/>
    <xf numFmtId="0" fontId="42" fillId="4" borderId="0"/>
    <xf numFmtId="0" fontId="42" fillId="4" borderId="0"/>
    <xf numFmtId="0" fontId="42" fillId="4" borderId="0"/>
    <xf numFmtId="0" fontId="42" fillId="4" borderId="0"/>
    <xf numFmtId="0" fontId="42" fillId="4" borderId="0"/>
    <xf numFmtId="0" fontId="42" fillId="4" borderId="0"/>
    <xf numFmtId="0" fontId="42" fillId="4" borderId="0"/>
    <xf numFmtId="0" fontId="43" fillId="0" borderId="0" applyFill="0" applyBorder="0" applyProtection="0">
      <alignment horizontal="center"/>
    </xf>
    <xf numFmtId="6" fontId="23" fillId="0" borderId="0"/>
    <xf numFmtId="0" fontId="44" fillId="0" borderId="0" applyNumberFormat="0" applyFill="0" applyBorder="0" applyAlignment="0" applyProtection="0"/>
    <xf numFmtId="8" fontId="45" fillId="0" borderId="0">
      <alignment horizontal="right"/>
    </xf>
    <xf numFmtId="0" fontId="42" fillId="4" borderId="0"/>
    <xf numFmtId="0" fontId="42" fillId="4" borderId="0"/>
    <xf numFmtId="177" fontId="23" fillId="0" borderId="0" applyFill="0" applyBorder="0" applyAlignment="0"/>
    <xf numFmtId="178" fontId="43" fillId="0" borderId="0" applyFill="0" applyBorder="0" applyAlignment="0"/>
    <xf numFmtId="179" fontId="43" fillId="0" borderId="0" applyFill="0" applyBorder="0" applyAlignment="0"/>
    <xf numFmtId="180" fontId="43" fillId="0" borderId="0" applyFill="0" applyBorder="0" applyAlignment="0"/>
    <xf numFmtId="181" fontId="43" fillId="0" borderId="0" applyFill="0" applyBorder="0" applyAlignment="0"/>
    <xf numFmtId="44" fontId="43" fillId="0" borderId="0" applyFill="0" applyBorder="0" applyAlignment="0"/>
    <xf numFmtId="182" fontId="43" fillId="0" borderId="0" applyFill="0" applyBorder="0" applyAlignment="0"/>
    <xf numFmtId="178" fontId="43" fillId="0" borderId="0" applyFill="0" applyBorder="0" applyAlignment="0"/>
    <xf numFmtId="0" fontId="40" fillId="0" borderId="22" applyNumberFormat="0" applyAlignment="0"/>
    <xf numFmtId="0" fontId="46" fillId="0" borderId="0"/>
    <xf numFmtId="44" fontId="43" fillId="0" borderId="0" applyFont="0" applyFill="0" applyBorder="0" applyAlignment="0" applyProtection="0"/>
    <xf numFmtId="2" fontId="26" fillId="0" borderId="0" applyFill="0" applyBorder="0" applyAlignment="0" applyProtection="0"/>
    <xf numFmtId="0" fontId="47" fillId="0" borderId="0"/>
    <xf numFmtId="0" fontId="43" fillId="0" borderId="0"/>
    <xf numFmtId="0" fontId="43" fillId="0" borderId="0"/>
    <xf numFmtId="3" fontId="23" fillId="0" borderId="0" applyFill="0" applyBorder="0" applyAlignment="0" applyProtection="0"/>
    <xf numFmtId="0" fontId="43" fillId="0" borderId="0"/>
    <xf numFmtId="0" fontId="45" fillId="0" borderId="0"/>
    <xf numFmtId="0" fontId="23" fillId="0" borderId="1" applyNumberFormat="0" applyProtection="0">
      <alignment horizontal="left" vertical="center"/>
    </xf>
    <xf numFmtId="0" fontId="43" fillId="0" borderId="0"/>
    <xf numFmtId="0" fontId="43" fillId="0" borderId="0"/>
    <xf numFmtId="0" fontId="43" fillId="0" borderId="0"/>
    <xf numFmtId="178" fontId="43" fillId="0" borderId="0" applyFont="0" applyFill="0" applyBorder="0" applyAlignment="0" applyProtection="0"/>
    <xf numFmtId="0" fontId="30" fillId="0" borderId="0" applyNumberFormat="0" applyFill="0" applyBorder="0" applyAlignment="0" applyProtection="0"/>
    <xf numFmtId="7" fontId="26" fillId="0" borderId="0" applyFill="0" applyBorder="0" applyAlignment="0" applyProtection="0"/>
    <xf numFmtId="0" fontId="43" fillId="0" borderId="0"/>
    <xf numFmtId="14" fontId="48" fillId="0" borderId="0" applyFill="0" applyBorder="0" applyAlignment="0"/>
    <xf numFmtId="183" fontId="23" fillId="0" borderId="0" applyFill="0" applyBorder="0" applyAlignment="0" applyProtection="0"/>
    <xf numFmtId="0" fontId="33" fillId="0" borderId="0" applyFont="0" applyFill="0" applyBorder="0" applyProtection="0">
      <alignment vertical="center"/>
    </xf>
    <xf numFmtId="0" fontId="37" fillId="5" borderId="0">
      <protection locked="0"/>
    </xf>
    <xf numFmtId="0" fontId="49" fillId="4" borderId="0"/>
    <xf numFmtId="14" fontId="37" fillId="0" borderId="0" applyNumberFormat="0"/>
    <xf numFmtId="0" fontId="27" fillId="0" borderId="1">
      <alignment horizontal="left" vertical="top" wrapText="1"/>
    </xf>
    <xf numFmtId="0" fontId="27" fillId="0" borderId="1">
      <alignment horizontal="left" vertical="top" wrapText="1"/>
    </xf>
    <xf numFmtId="0" fontId="27" fillId="0" borderId="1">
      <alignment horizontal="left" vertical="top" wrapText="1"/>
    </xf>
    <xf numFmtId="0" fontId="39" fillId="0" borderId="1">
      <alignment horizontal="left" vertical="top" wrapText="1" indent="2"/>
    </xf>
    <xf numFmtId="0" fontId="39" fillId="0" borderId="1">
      <alignment horizontal="left" vertical="top" wrapText="1" indent="4"/>
    </xf>
    <xf numFmtId="0" fontId="39" fillId="0" borderId="1">
      <alignment horizontal="left" vertical="top" wrapText="1" indent="7"/>
    </xf>
    <xf numFmtId="0" fontId="39" fillId="0" borderId="1">
      <alignment horizontal="left" vertical="top" wrapText="1" indent="9"/>
    </xf>
    <xf numFmtId="0" fontId="39" fillId="0" borderId="1">
      <alignment horizontal="left" vertical="top" wrapText="1" indent="11"/>
    </xf>
    <xf numFmtId="44" fontId="43" fillId="0" borderId="0" applyFill="0" applyBorder="0" applyAlignment="0"/>
    <xf numFmtId="178" fontId="43" fillId="0" borderId="0" applyFill="0" applyBorder="0" applyAlignment="0"/>
    <xf numFmtId="44" fontId="43" fillId="0" borderId="0" applyFill="0" applyBorder="0" applyAlignment="0"/>
    <xf numFmtId="182" fontId="43" fillId="0" borderId="0" applyFill="0" applyBorder="0" applyAlignment="0"/>
    <xf numFmtId="178" fontId="43" fillId="0" borderId="0" applyFill="0" applyBorder="0" applyAlignment="0"/>
    <xf numFmtId="4" fontId="50" fillId="0" borderId="1"/>
    <xf numFmtId="0" fontId="51" fillId="0" borderId="0"/>
    <xf numFmtId="184" fontId="45" fillId="0" borderId="0" applyProtection="0"/>
    <xf numFmtId="184" fontId="27" fillId="0" borderId="0" applyProtection="0"/>
    <xf numFmtId="185" fontId="26" fillId="0" borderId="0" applyFill="0" applyBorder="0" applyAlignment="0" applyProtection="0"/>
    <xf numFmtId="0" fontId="23" fillId="0" borderId="6">
      <alignment horizontal="center"/>
    </xf>
    <xf numFmtId="38" fontId="45" fillId="6" borderId="0" applyNumberFormat="0" applyBorder="0" applyAlignment="0" applyProtection="0"/>
    <xf numFmtId="0" fontId="52" fillId="0" borderId="2" applyFill="0" applyProtection="0">
      <alignment horizontal="center"/>
    </xf>
    <xf numFmtId="0" fontId="53" fillId="0" borderId="0">
      <alignment horizontal="left"/>
    </xf>
    <xf numFmtId="0" fontId="30" fillId="0" borderId="19" applyNumberFormat="0" applyAlignment="0" applyProtection="0">
      <alignment horizontal="left" vertical="center"/>
    </xf>
    <xf numFmtId="0" fontId="30" fillId="0" borderId="23">
      <alignment horizontal="left" vertical="center"/>
    </xf>
    <xf numFmtId="165" fontId="23" fillId="0" borderId="0">
      <protection locked="0"/>
    </xf>
    <xf numFmtId="165" fontId="23" fillId="0" borderId="0">
      <protection locked="0"/>
    </xf>
    <xf numFmtId="4" fontId="43" fillId="0" borderId="0" applyFill="0" applyBorder="0" applyProtection="0">
      <alignment horizontal="right"/>
    </xf>
    <xf numFmtId="38" fontId="43" fillId="0" borderId="0" applyFill="0" applyBorder="0" applyProtection="0">
      <alignment horizontal="center"/>
    </xf>
    <xf numFmtId="10" fontId="45" fillId="7" borderId="1" applyNumberFormat="0" applyBorder="0" applyAlignment="0" applyProtection="0"/>
    <xf numFmtId="0" fontId="43" fillId="0" borderId="21"/>
    <xf numFmtId="44" fontId="43" fillId="0" borderId="0" applyFill="0" applyBorder="0" applyAlignment="0"/>
    <xf numFmtId="178" fontId="43" fillId="0" borderId="0" applyFill="0" applyBorder="0" applyAlignment="0"/>
    <xf numFmtId="44" fontId="43" fillId="0" borderId="0" applyFill="0" applyBorder="0" applyAlignment="0"/>
    <xf numFmtId="182" fontId="43" fillId="0" borderId="0" applyFill="0" applyBorder="0" applyAlignment="0"/>
    <xf numFmtId="178" fontId="43" fillId="0" borderId="0" applyFill="0" applyBorder="0" applyAlignment="0"/>
    <xf numFmtId="0" fontId="28" fillId="8" borderId="24"/>
    <xf numFmtId="186" fontId="23" fillId="0" borderId="0" applyFont="0" applyFill="0" applyBorder="0" applyAlignment="0" applyProtection="0"/>
    <xf numFmtId="187" fontId="23" fillId="0" borderId="0" applyFont="0" applyFill="0" applyBorder="0" applyAlignment="0" applyProtection="0"/>
    <xf numFmtId="0" fontId="54" fillId="0" borderId="2"/>
    <xf numFmtId="188" fontId="23" fillId="0" borderId="0" applyFont="0" applyFill="0" applyBorder="0" applyAlignment="0" applyProtection="0"/>
    <xf numFmtId="189" fontId="23" fillId="0" borderId="0" applyFont="0" applyFill="0" applyBorder="0" applyAlignment="0" applyProtection="0"/>
    <xf numFmtId="37" fontId="55" fillId="0" borderId="0"/>
    <xf numFmtId="190" fontId="23" fillId="0" borderId="0"/>
    <xf numFmtId="0" fontId="23" fillId="0" borderId="0" applyFont="0" applyFill="0" applyBorder="0" applyAlignment="0" applyProtection="0"/>
    <xf numFmtId="0" fontId="23" fillId="0" borderId="0" applyFont="0" applyFill="0" applyBorder="0" applyAlignment="0" applyProtection="0"/>
    <xf numFmtId="0" fontId="43" fillId="0" borderId="0"/>
    <xf numFmtId="0" fontId="43" fillId="0" borderId="0"/>
    <xf numFmtId="181" fontId="43" fillId="0" borderId="0" applyFont="0" applyFill="0" applyBorder="0" applyAlignment="0" applyProtection="0"/>
    <xf numFmtId="191" fontId="23" fillId="0" borderId="0" applyFont="0" applyFill="0" applyBorder="0" applyAlignment="0" applyProtection="0"/>
    <xf numFmtId="10" fontId="23" fillId="0" borderId="0" applyFont="0" applyFill="0" applyBorder="0" applyAlignment="0" applyProtection="0"/>
    <xf numFmtId="187" fontId="33" fillId="0" borderId="0" applyFont="0" applyFill="0" applyBorder="0" applyProtection="0">
      <alignment vertical="center"/>
    </xf>
    <xf numFmtId="44" fontId="43" fillId="0" borderId="0" applyFill="0" applyBorder="0" applyAlignment="0"/>
    <xf numFmtId="178" fontId="43" fillId="0" borderId="0" applyFill="0" applyBorder="0" applyAlignment="0"/>
    <xf numFmtId="44" fontId="43" fillId="0" borderId="0" applyFill="0" applyBorder="0" applyAlignment="0"/>
    <xf numFmtId="182" fontId="43" fillId="0" borderId="0" applyFill="0" applyBorder="0" applyAlignment="0"/>
    <xf numFmtId="178" fontId="43" fillId="0" borderId="0" applyFill="0" applyBorder="0" applyAlignment="0"/>
    <xf numFmtId="164" fontId="23" fillId="0" borderId="1">
      <alignment vertical="top"/>
    </xf>
    <xf numFmtId="0" fontId="56" fillId="6" borderId="0"/>
    <xf numFmtId="37" fontId="23" fillId="0" borderId="0" applyFont="0" applyFill="0" applyBorder="0" applyAlignment="0" applyProtection="0"/>
    <xf numFmtId="15" fontId="33" fillId="0" borderId="0" applyFont="0" applyFill="0" applyBorder="0" applyAlignment="0" applyProtection="0"/>
    <xf numFmtId="4" fontId="33" fillId="0" borderId="0" applyFont="0" applyFill="0" applyBorder="0" applyAlignment="0" applyProtection="0"/>
    <xf numFmtId="0" fontId="57" fillId="0" borderId="2">
      <alignment horizontal="center"/>
    </xf>
    <xf numFmtId="3" fontId="33" fillId="0" borderId="0" applyFont="0" applyFill="0" applyBorder="0" applyAlignment="0" applyProtection="0"/>
    <xf numFmtId="0" fontId="33" fillId="9" borderId="0" applyNumberFormat="0" applyFont="0" applyBorder="0" applyAlignment="0" applyProtection="0"/>
    <xf numFmtId="0" fontId="29" fillId="8" borderId="0"/>
    <xf numFmtId="0" fontId="37" fillId="8" borderId="9"/>
    <xf numFmtId="0" fontId="58" fillId="6" borderId="22" applyNumberFormat="0" applyAlignment="0">
      <protection locked="0"/>
    </xf>
    <xf numFmtId="0" fontId="29" fillId="8" borderId="5"/>
    <xf numFmtId="0" fontId="59" fillId="0" borderId="0"/>
    <xf numFmtId="192" fontId="47" fillId="0" borderId="0"/>
    <xf numFmtId="192" fontId="47" fillId="0" borderId="0"/>
    <xf numFmtId="0" fontId="60" fillId="0" borderId="0"/>
    <xf numFmtId="193" fontId="45" fillId="0" borderId="0" applyFill="0" applyBorder="0" applyProtection="0">
      <alignment vertical="top" wrapText="1"/>
    </xf>
    <xf numFmtId="193" fontId="45" fillId="10" borderId="0" applyBorder="0" applyProtection="0">
      <alignment vertical="top" wrapText="1"/>
    </xf>
    <xf numFmtId="193" fontId="45" fillId="0" borderId="3" applyFill="0" applyProtection="0">
      <alignment vertical="top" wrapText="1"/>
    </xf>
    <xf numFmtId="0" fontId="45" fillId="10" borderId="0" applyNumberFormat="0" applyBorder="0" applyProtection="0">
      <alignment vertical="top"/>
    </xf>
    <xf numFmtId="0" fontId="45" fillId="0" borderId="0" applyNumberFormat="0" applyFill="0" applyBorder="0" applyProtection="0">
      <alignment horizontal="left" vertical="top"/>
    </xf>
    <xf numFmtId="0" fontId="61" fillId="0" borderId="0" applyNumberFormat="0" applyFill="0" applyBorder="0" applyProtection="0">
      <alignment vertical="top" wrapText="1"/>
    </xf>
    <xf numFmtId="0" fontId="61" fillId="10" borderId="0" applyNumberFormat="0" applyBorder="0" applyProtection="0">
      <alignment vertical="top" wrapText="1"/>
    </xf>
    <xf numFmtId="0" fontId="62" fillId="0" borderId="0" applyNumberFormat="0" applyFill="0" applyBorder="0" applyProtection="0">
      <alignment vertical="top"/>
    </xf>
    <xf numFmtId="0" fontId="63" fillId="11" borderId="1" applyNumberFormat="0" applyProtection="0">
      <alignment vertical="top" wrapText="1"/>
    </xf>
    <xf numFmtId="0" fontId="62" fillId="0" borderId="3" applyNumberFormat="0" applyFill="0" applyProtection="0">
      <alignment vertical="top"/>
    </xf>
    <xf numFmtId="0" fontId="23" fillId="0" borderId="3" applyNumberFormat="0" applyFont="0" applyFill="0" applyAlignment="0" applyProtection="0"/>
    <xf numFmtId="0" fontId="30" fillId="7" borderId="0"/>
    <xf numFmtId="0" fontId="24" fillId="0" borderId="2"/>
    <xf numFmtId="0" fontId="54" fillId="0" borderId="0"/>
    <xf numFmtId="8" fontId="38" fillId="0" borderId="9" applyAlignment="0">
      <alignment horizontal="right"/>
      <protection locked="0"/>
    </xf>
    <xf numFmtId="0" fontId="42" fillId="4" borderId="0"/>
    <xf numFmtId="49" fontId="48" fillId="0" borderId="0" applyFill="0" applyBorder="0" applyAlignment="0"/>
    <xf numFmtId="194" fontId="43" fillId="0" borderId="0" applyFill="0" applyBorder="0" applyAlignment="0"/>
    <xf numFmtId="195" fontId="43" fillId="0" borderId="0" applyFill="0" applyBorder="0" applyAlignment="0"/>
    <xf numFmtId="196" fontId="23" fillId="0" borderId="0" applyFont="0" applyFill="0" applyBorder="0" applyAlignment="0" applyProtection="0"/>
    <xf numFmtId="0" fontId="64" fillId="7" borderId="0"/>
    <xf numFmtId="0" fontId="65" fillId="0" borderId="0">
      <alignment horizontal="left" vertical="center"/>
    </xf>
    <xf numFmtId="0" fontId="66" fillId="0" borderId="0">
      <alignment horizontal="left" vertical="center"/>
    </xf>
    <xf numFmtId="42" fontId="23" fillId="0" borderId="0" applyFont="0" applyFill="0" applyBorder="0" applyAlignment="0" applyProtection="0"/>
    <xf numFmtId="44" fontId="23" fillId="0" borderId="0" applyFont="0" applyFill="0" applyBorder="0" applyAlignment="0" applyProtection="0"/>
    <xf numFmtId="43" fontId="13" fillId="0" borderId="0" applyFont="0" applyFill="0" applyBorder="0" applyAlignment="0" applyProtection="0"/>
    <xf numFmtId="44" fontId="13" fillId="0" borderId="0" applyFont="0" applyFill="0" applyBorder="0" applyAlignment="0" applyProtection="0"/>
    <xf numFmtId="0" fontId="13" fillId="0" borderId="0"/>
    <xf numFmtId="43" fontId="13" fillId="0" borderId="0" applyFont="0" applyFill="0" applyBorder="0" applyAlignment="0" applyProtection="0"/>
    <xf numFmtId="44" fontId="13" fillId="0" borderId="0" applyFont="0" applyFill="0" applyBorder="0" applyAlignment="0" applyProtection="0"/>
    <xf numFmtId="0" fontId="12" fillId="0" borderId="0"/>
    <xf numFmtId="43" fontId="12" fillId="0" borderId="0" applyFont="0" applyFill="0" applyBorder="0" applyAlignment="0" applyProtection="0"/>
    <xf numFmtId="9" fontId="12" fillId="0" borderId="0" applyFont="0" applyFill="0" applyBorder="0" applyAlignment="0" applyProtection="0"/>
    <xf numFmtId="0" fontId="12"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12" fillId="0" borderId="0"/>
    <xf numFmtId="43" fontId="12" fillId="0" borderId="0" applyFont="0" applyFill="0" applyBorder="0" applyAlignment="0" applyProtection="0"/>
    <xf numFmtId="0" fontId="12" fillId="0" borderId="0"/>
    <xf numFmtId="0" fontId="23" fillId="0" borderId="0"/>
    <xf numFmtId="44" fontId="12" fillId="0" borderId="0" applyFont="0" applyFill="0" applyBorder="0" applyAlignment="0" applyProtection="0"/>
    <xf numFmtId="0" fontId="23" fillId="0" borderId="0"/>
    <xf numFmtId="43" fontId="67" fillId="0" borderId="0" applyFont="0" applyFill="0" applyBorder="0" applyAlignment="0" applyProtection="0"/>
    <xf numFmtId="0" fontId="23" fillId="0" borderId="0"/>
    <xf numFmtId="0" fontId="23" fillId="0" borderId="0"/>
    <xf numFmtId="0" fontId="23" fillId="0" borderId="0"/>
    <xf numFmtId="0" fontId="23" fillId="0" borderId="0"/>
    <xf numFmtId="0" fontId="11" fillId="0" borderId="0"/>
    <xf numFmtId="0" fontId="11" fillId="0" borderId="0"/>
    <xf numFmtId="43" fontId="11" fillId="0" borderId="0" applyFont="0" applyFill="0" applyBorder="0" applyAlignment="0" applyProtection="0"/>
    <xf numFmtId="9"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44"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0" fontId="11" fillId="0" borderId="0"/>
    <xf numFmtId="44" fontId="11" fillId="0" borderId="0" applyFont="0" applyFill="0" applyBorder="0" applyAlignment="0" applyProtection="0"/>
    <xf numFmtId="0" fontId="10" fillId="0" borderId="0"/>
    <xf numFmtId="0" fontId="23" fillId="0" borderId="0"/>
    <xf numFmtId="0" fontId="23" fillId="0" borderId="0"/>
    <xf numFmtId="0" fontId="23" fillId="0" borderId="0"/>
    <xf numFmtId="0" fontId="23" fillId="0" borderId="0"/>
    <xf numFmtId="0" fontId="9" fillId="0" borderId="0"/>
    <xf numFmtId="0" fontId="9" fillId="0" borderId="0"/>
    <xf numFmtId="0" fontId="9" fillId="0" borderId="0"/>
    <xf numFmtId="0" fontId="9" fillId="0" borderId="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9" fillId="0" borderId="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xf numFmtId="44" fontId="9" fillId="0" borderId="0" applyFont="0" applyFill="0" applyBorder="0" applyAlignment="0" applyProtection="0"/>
    <xf numFmtId="0" fontId="68" fillId="0" borderId="0"/>
    <xf numFmtId="0" fontId="23" fillId="0" borderId="0"/>
    <xf numFmtId="0" fontId="23" fillId="0" borderId="0"/>
    <xf numFmtId="0" fontId="23" fillId="0" borderId="0"/>
    <xf numFmtId="0" fontId="23" fillId="0" borderId="0"/>
    <xf numFmtId="0" fontId="23" fillId="0" borderId="0"/>
    <xf numFmtId="0" fontId="8" fillId="0" borderId="0"/>
    <xf numFmtId="43" fontId="8" fillId="0" borderId="0" applyFont="0" applyFill="0" applyBorder="0" applyAlignment="0" applyProtection="0"/>
    <xf numFmtId="0" fontId="8" fillId="0" borderId="0"/>
    <xf numFmtId="44"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44" fontId="8" fillId="0" borderId="0" applyFont="0" applyFill="0" applyBorder="0" applyAlignment="0" applyProtection="0"/>
    <xf numFmtId="44" fontId="23" fillId="0" borderId="0" applyFont="0" applyFill="0" applyBorder="0" applyAlignment="0" applyProtection="0"/>
    <xf numFmtId="0" fontId="8"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23" fillId="0" borderId="0"/>
    <xf numFmtId="43" fontId="8" fillId="0" borderId="0" applyFont="0" applyFill="0" applyBorder="0" applyAlignment="0" applyProtection="0"/>
    <xf numFmtId="43" fontId="8" fillId="0" borderId="0" applyFont="0" applyFill="0" applyBorder="0" applyAlignment="0" applyProtection="0"/>
    <xf numFmtId="43" fontId="23" fillId="0" borderId="0" applyFont="0" applyFill="0" applyBorder="0" applyAlignment="0" applyProtection="0"/>
    <xf numFmtId="0" fontId="23" fillId="0" borderId="0"/>
    <xf numFmtId="43"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44" fontId="8" fillId="0" borderId="0" applyFont="0" applyFill="0" applyBorder="0" applyAlignment="0" applyProtection="0"/>
    <xf numFmtId="0" fontId="8" fillId="0" borderId="0"/>
    <xf numFmtId="0" fontId="8" fillId="0" borderId="0"/>
    <xf numFmtId="0" fontId="8" fillId="0" borderId="0"/>
    <xf numFmtId="0" fontId="8" fillId="0" borderId="0"/>
    <xf numFmtId="0" fontId="23"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0" fontId="23" fillId="0" borderId="0"/>
    <xf numFmtId="9" fontId="8" fillId="0" borderId="0" applyFont="0" applyFill="0" applyBorder="0" applyAlignment="0" applyProtection="0"/>
    <xf numFmtId="0" fontId="8" fillId="0" borderId="0"/>
    <xf numFmtId="43" fontId="8" fillId="0" borderId="0" applyFont="0" applyFill="0" applyBorder="0" applyAlignment="0" applyProtection="0"/>
    <xf numFmtId="44" fontId="8" fillId="0" borderId="0" applyFont="0" applyFill="0" applyBorder="0" applyAlignment="0" applyProtection="0"/>
    <xf numFmtId="0" fontId="8" fillId="0" borderId="0"/>
    <xf numFmtId="44" fontId="8" fillId="0" borderId="0" applyFont="0" applyFill="0" applyBorder="0" applyAlignment="0" applyProtection="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 fillId="0" borderId="0"/>
    <xf numFmtId="43" fontId="7" fillId="0" borderId="0" applyFont="0" applyFill="0" applyBorder="0" applyAlignment="0" applyProtection="0"/>
    <xf numFmtId="0" fontId="7" fillId="0" borderId="0"/>
    <xf numFmtId="44" fontId="7" fillId="0" borderId="0" applyFont="0" applyFill="0" applyBorder="0" applyAlignment="0" applyProtection="0"/>
    <xf numFmtId="0" fontId="7" fillId="0" borderId="0"/>
    <xf numFmtId="9" fontId="7" fillId="0" borderId="0" applyFont="0" applyFill="0" applyBorder="0" applyAlignment="0" applyProtection="0"/>
    <xf numFmtId="0" fontId="7" fillId="0" borderId="0"/>
    <xf numFmtId="0" fontId="7" fillId="0" borderId="0"/>
    <xf numFmtId="44" fontId="7" fillId="0" borderId="0" applyFont="0" applyFill="0" applyBorder="0" applyAlignment="0" applyProtection="0"/>
    <xf numFmtId="0" fontId="7" fillId="0" borderId="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0" fontId="7" fillId="0" borderId="0"/>
    <xf numFmtId="0" fontId="7" fillId="0" borderId="0"/>
    <xf numFmtId="0" fontId="7" fillId="0" borderId="0"/>
    <xf numFmtId="0" fontId="7" fillId="0" borderId="0"/>
    <xf numFmtId="0" fontId="2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applyFont="0" applyFill="0" applyBorder="0" applyAlignment="0" applyProtection="0"/>
    <xf numFmtId="9" fontId="7" fillId="0" borderId="0" applyFont="0" applyFill="0" applyBorder="0" applyAlignment="0" applyProtection="0"/>
    <xf numFmtId="0" fontId="7" fillId="0" borderId="0"/>
    <xf numFmtId="43" fontId="7" fillId="0" borderId="0" applyFont="0" applyFill="0" applyBorder="0" applyAlignment="0" applyProtection="0"/>
    <xf numFmtId="44" fontId="7" fillId="0" borderId="0" applyFont="0" applyFill="0" applyBorder="0" applyAlignment="0" applyProtection="0"/>
    <xf numFmtId="0" fontId="7" fillId="0" borderId="0"/>
    <xf numFmtId="44" fontId="7" fillId="0" borderId="0" applyFont="0" applyFill="0" applyBorder="0" applyAlignment="0" applyProtection="0"/>
    <xf numFmtId="0" fontId="23" fillId="0" borderId="0"/>
    <xf numFmtId="0" fontId="23" fillId="0" borderId="0"/>
    <xf numFmtId="0" fontId="23" fillId="0" borderId="0"/>
    <xf numFmtId="0" fontId="23" fillId="0" borderId="0"/>
    <xf numFmtId="0" fontId="23" fillId="0" borderId="0"/>
    <xf numFmtId="0" fontId="23" fillId="0" borderId="0"/>
    <xf numFmtId="44" fontId="69" fillId="0" borderId="0" applyFont="0" applyFill="0" applyBorder="0" applyAlignment="0" applyProtection="0"/>
    <xf numFmtId="9" fontId="69" fillId="0" borderId="0" applyFont="0" applyFill="0" applyBorder="0" applyAlignment="0" applyProtection="0"/>
    <xf numFmtId="0" fontId="6" fillId="0" borderId="0"/>
    <xf numFmtId="43" fontId="6" fillId="0" borderId="0" applyFont="0" applyFill="0" applyBorder="0" applyAlignment="0" applyProtection="0"/>
    <xf numFmtId="0" fontId="6" fillId="0" borderId="0"/>
    <xf numFmtId="44" fontId="6" fillId="0" borderId="0" applyFont="0" applyFill="0" applyBorder="0" applyAlignment="0" applyProtection="0"/>
    <xf numFmtId="0" fontId="6" fillId="0" borderId="0"/>
    <xf numFmtId="9" fontId="6" fillId="0" borderId="0" applyFont="0" applyFill="0" applyBorder="0" applyAlignment="0" applyProtection="0"/>
    <xf numFmtId="0" fontId="6" fillId="0" borderId="0"/>
    <xf numFmtId="0" fontId="6" fillId="0" borderId="0"/>
    <xf numFmtId="44" fontId="6"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9" fillId="0" borderId="0" applyFont="0" applyFill="0" applyBorder="0" applyAlignment="0" applyProtection="0"/>
    <xf numFmtId="43"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0" fontId="6" fillId="0" borderId="0"/>
    <xf numFmtId="0" fontId="6" fillId="0" borderId="0"/>
    <xf numFmtId="0" fontId="6" fillId="0" borderId="0"/>
    <xf numFmtId="0" fontId="6" fillId="0" borderId="0"/>
    <xf numFmtId="0" fontId="23"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3"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23"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44" fontId="69" fillId="0" borderId="0" applyFont="0" applyFill="0" applyBorder="0" applyAlignment="0" applyProtection="0"/>
    <xf numFmtId="9" fontId="69"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0" fontId="6" fillId="0" borderId="0"/>
    <xf numFmtId="44" fontId="6" fillId="0" borderId="0" applyFont="0" applyFill="0" applyBorder="0" applyAlignment="0" applyProtection="0"/>
    <xf numFmtId="0" fontId="23" fillId="0" borderId="0"/>
    <xf numFmtId="0" fontId="23" fillId="0" borderId="0"/>
    <xf numFmtId="44" fontId="69" fillId="0" borderId="0" applyFont="0" applyFill="0" applyBorder="0" applyAlignment="0" applyProtection="0"/>
    <xf numFmtId="9" fontId="69" fillId="0" borderId="0" applyFont="0" applyFill="0" applyBorder="0" applyAlignment="0" applyProtection="0"/>
    <xf numFmtId="0" fontId="23" fillId="0" borderId="0"/>
    <xf numFmtId="0" fontId="23" fillId="0" borderId="0"/>
    <xf numFmtId="0" fontId="23" fillId="0" borderId="0"/>
    <xf numFmtId="0" fontId="5" fillId="0" borderId="0"/>
    <xf numFmtId="43" fontId="5" fillId="0" borderId="0" applyFont="0" applyFill="0" applyBorder="0" applyAlignment="0" applyProtection="0"/>
    <xf numFmtId="0" fontId="5" fillId="0" borderId="0"/>
    <xf numFmtId="44" fontId="5" fillId="0" borderId="0" applyFont="0" applyFill="0" applyBorder="0" applyAlignment="0" applyProtection="0"/>
    <xf numFmtId="0" fontId="5" fillId="0" borderId="0"/>
    <xf numFmtId="9" fontId="5" fillId="0" borderId="0" applyFont="0" applyFill="0" applyBorder="0" applyAlignment="0" applyProtection="0"/>
    <xf numFmtId="0" fontId="5" fillId="0" borderId="0"/>
    <xf numFmtId="0" fontId="5" fillId="0" borderId="0"/>
    <xf numFmtId="44" fontId="5" fillId="0" borderId="0" applyFont="0" applyFill="0" applyBorder="0" applyAlignment="0" applyProtection="0"/>
    <xf numFmtId="0" fontId="5"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5" fillId="0" borderId="0"/>
    <xf numFmtId="0" fontId="5" fillId="0" borderId="0"/>
    <xf numFmtId="0" fontId="5" fillId="0" borderId="0"/>
    <xf numFmtId="0" fontId="5" fillId="0" borderId="0"/>
    <xf numFmtId="0" fontId="23"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0" fontId="5" fillId="0" borderId="0"/>
    <xf numFmtId="43" fontId="5" fillId="0" borderId="0" applyFont="0" applyFill="0" applyBorder="0" applyAlignment="0" applyProtection="0"/>
    <xf numFmtId="44" fontId="5" fillId="0" borderId="0" applyFont="0" applyFill="0" applyBorder="0" applyAlignment="0" applyProtection="0"/>
    <xf numFmtId="0" fontId="5" fillId="0" borderId="0"/>
    <xf numFmtId="44" fontId="5" fillId="0" borderId="0" applyFont="0" applyFill="0" applyBorder="0" applyAlignment="0" applyProtection="0"/>
    <xf numFmtId="0" fontId="23" fillId="0" borderId="0"/>
    <xf numFmtId="0" fontId="23" fillId="0" borderId="0"/>
    <xf numFmtId="0" fontId="4" fillId="0" borderId="0"/>
    <xf numFmtId="43" fontId="4" fillId="0" borderId="0" applyFont="0" applyFill="0" applyBorder="0" applyAlignment="0" applyProtection="0"/>
    <xf numFmtId="0" fontId="4" fillId="0" borderId="0"/>
    <xf numFmtId="44" fontId="4" fillId="0" borderId="0" applyFont="0" applyFill="0" applyBorder="0" applyAlignment="0" applyProtection="0"/>
    <xf numFmtId="0" fontId="4" fillId="0" borderId="0"/>
    <xf numFmtId="9" fontId="4" fillId="0" borderId="0" applyFont="0" applyFill="0" applyBorder="0" applyAlignment="0" applyProtection="0"/>
    <xf numFmtId="0" fontId="4" fillId="0" borderId="0"/>
    <xf numFmtId="0" fontId="4" fillId="0" borderId="0"/>
    <xf numFmtId="44" fontId="4" fillId="0" borderId="0" applyFont="0" applyFill="0" applyBorder="0" applyAlignment="0" applyProtection="0"/>
    <xf numFmtId="0" fontId="4" fillId="0" borderId="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9" fontId="4" fillId="0" borderId="0" applyFont="0" applyFill="0" applyBorder="0" applyAlignment="0" applyProtection="0"/>
    <xf numFmtId="9" fontId="4"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0" fontId="4" fillId="0" borderId="0"/>
    <xf numFmtId="44" fontId="4" fillId="0" borderId="0" applyFont="0" applyFill="0" applyBorder="0" applyAlignment="0" applyProtection="0"/>
    <xf numFmtId="0" fontId="23" fillId="0" borderId="0"/>
    <xf numFmtId="0" fontId="3" fillId="0" borderId="0"/>
    <xf numFmtId="43" fontId="3" fillId="0" borderId="0" applyFont="0" applyFill="0" applyBorder="0" applyAlignment="0" applyProtection="0"/>
    <xf numFmtId="0" fontId="3" fillId="0" borderId="0"/>
    <xf numFmtId="44"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4" fontId="3" fillId="0" borderId="0" applyFont="0" applyFill="0" applyBorder="0" applyAlignment="0" applyProtection="0"/>
    <xf numFmtId="0" fontId="3"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44" fontId="3" fillId="0" borderId="0" applyFont="0" applyFill="0" applyBorder="0" applyAlignment="0" applyProtection="0"/>
    <xf numFmtId="0" fontId="3" fillId="0" borderId="0"/>
    <xf numFmtId="44" fontId="3" fillId="0" borderId="0" applyFont="0" applyFill="0" applyBorder="0" applyAlignment="0" applyProtection="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70" fillId="0" borderId="0"/>
    <xf numFmtId="0" fontId="23" fillId="0" borderId="0"/>
    <xf numFmtId="0" fontId="70" fillId="0" borderId="0"/>
    <xf numFmtId="0" fontId="70" fillId="0" borderId="0"/>
    <xf numFmtId="0" fontId="23" fillId="0" borderId="0"/>
    <xf numFmtId="0" fontId="70" fillId="0" borderId="0"/>
    <xf numFmtId="0" fontId="70" fillId="0" borderId="0"/>
    <xf numFmtId="0" fontId="23" fillId="0" borderId="0"/>
    <xf numFmtId="0" fontId="2" fillId="0" borderId="0"/>
    <xf numFmtId="43" fontId="2" fillId="0" borderId="0" applyFont="0" applyFill="0" applyBorder="0" applyAlignment="0" applyProtection="0"/>
    <xf numFmtId="0" fontId="23" fillId="0" borderId="0"/>
    <xf numFmtId="0" fontId="2" fillId="0" borderId="0"/>
    <xf numFmtId="0" fontId="23" fillId="0" borderId="0"/>
    <xf numFmtId="44"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0" fontId="23" fillId="0" borderId="0"/>
    <xf numFmtId="0" fontId="2"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3" fillId="0" borderId="0"/>
    <xf numFmtId="0" fontId="70" fillId="0" borderId="0"/>
    <xf numFmtId="43" fontId="2" fillId="0" borderId="0" applyFont="0" applyFill="0" applyBorder="0" applyAlignment="0" applyProtection="0"/>
    <xf numFmtId="43" fontId="2" fillId="0" borderId="0" applyFont="0" applyFill="0" applyBorder="0" applyAlignment="0" applyProtection="0"/>
    <xf numFmtId="0" fontId="23" fillId="0" borderId="0"/>
    <xf numFmtId="0" fontId="23" fillId="0" borderId="0"/>
    <xf numFmtId="0" fontId="70" fillId="0" borderId="0"/>
    <xf numFmtId="0" fontId="23" fillId="0" borderId="0"/>
    <xf numFmtId="0" fontId="23" fillId="0" borderId="0"/>
    <xf numFmtId="0" fontId="23" fillId="0" borderId="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3" fillId="0" borderId="0"/>
    <xf numFmtId="0" fontId="23" fillId="0" borderId="0"/>
    <xf numFmtId="0" fontId="23" fillId="0" borderId="0"/>
    <xf numFmtId="0" fontId="70" fillId="0" borderId="0"/>
    <xf numFmtId="44" fontId="2" fillId="0" borderId="0" applyFont="0" applyFill="0" applyBorder="0" applyAlignment="0" applyProtection="0"/>
    <xf numFmtId="44" fontId="2" fillId="0" borderId="0" applyFont="0" applyFill="0" applyBorder="0" applyAlignment="0" applyProtection="0"/>
    <xf numFmtId="0" fontId="23" fillId="0" borderId="0"/>
    <xf numFmtId="0" fontId="23" fillId="0" borderId="0"/>
    <xf numFmtId="0" fontId="23" fillId="0" borderId="0"/>
    <xf numFmtId="0" fontId="23" fillId="0" borderId="0"/>
    <xf numFmtId="0" fontId="70" fillId="0" borderId="0"/>
    <xf numFmtId="44" fontId="2" fillId="0" borderId="0" applyFont="0" applyFill="0" applyBorder="0" applyAlignment="0" applyProtection="0"/>
    <xf numFmtId="0" fontId="23" fillId="0" borderId="0"/>
    <xf numFmtId="0" fontId="23" fillId="0" borderId="0"/>
    <xf numFmtId="0" fontId="2" fillId="0" borderId="0"/>
    <xf numFmtId="0" fontId="2" fillId="0" borderId="0"/>
    <xf numFmtId="0" fontId="2" fillId="0" borderId="0"/>
    <xf numFmtId="0" fontId="2" fillId="0" borderId="0"/>
    <xf numFmtId="0" fontId="23" fillId="0" borderId="0"/>
    <xf numFmtId="0" fontId="70" fillId="0" borderId="0"/>
    <xf numFmtId="0" fontId="2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70" fillId="0" borderId="0"/>
    <xf numFmtId="0" fontId="2" fillId="0" borderId="0"/>
    <xf numFmtId="0" fontId="2" fillId="0" borderId="0"/>
    <xf numFmtId="0" fontId="2" fillId="0" borderId="0"/>
    <xf numFmtId="0" fontId="2" fillId="0" borderId="0"/>
    <xf numFmtId="0" fontId="2" fillId="0" borderId="0"/>
    <xf numFmtId="0" fontId="2" fillId="0" borderId="0"/>
    <xf numFmtId="0" fontId="2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7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3" fillId="0" borderId="0"/>
    <xf numFmtId="9" fontId="2" fillId="0" borderId="0" applyFont="0" applyFill="0" applyBorder="0" applyAlignment="0" applyProtection="0"/>
    <xf numFmtId="0" fontId="23" fillId="0" borderId="0"/>
    <xf numFmtId="0" fontId="70" fillId="0" borderId="0"/>
    <xf numFmtId="0" fontId="23" fillId="0" borderId="0"/>
    <xf numFmtId="0" fontId="23" fillId="0" borderId="0"/>
    <xf numFmtId="9" fontId="2" fillId="0" borderId="0" applyFont="0" applyFill="0" applyBorder="0" applyAlignment="0" applyProtection="0"/>
    <xf numFmtId="0" fontId="70" fillId="0" borderId="0"/>
    <xf numFmtId="0" fontId="70" fillId="0" borderId="0"/>
    <xf numFmtId="0" fontId="23" fillId="0" borderId="0"/>
    <xf numFmtId="0" fontId="2" fillId="0" borderId="0"/>
    <xf numFmtId="43" fontId="2" fillId="0" borderId="0" applyFont="0" applyFill="0" applyBorder="0" applyAlignment="0" applyProtection="0"/>
    <xf numFmtId="44" fontId="2" fillId="0" borderId="0" applyFont="0" applyFill="0" applyBorder="0" applyAlignment="0" applyProtection="0"/>
    <xf numFmtId="0" fontId="2" fillId="0" borderId="0"/>
    <xf numFmtId="44" fontId="2" fillId="0" borderId="0" applyFont="0" applyFill="0" applyBorder="0" applyAlignment="0" applyProtection="0"/>
    <xf numFmtId="44" fontId="23" fillId="0" borderId="0" applyFont="0" applyFill="0" applyBorder="0" applyAlignment="0" applyProtection="0"/>
    <xf numFmtId="0" fontId="2" fillId="0" borderId="0"/>
    <xf numFmtId="0" fontId="2" fillId="0" borderId="0"/>
    <xf numFmtId="9" fontId="23"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35" fillId="0" borderId="0" applyFont="0" applyFill="0" applyBorder="0" applyAlignment="0" applyProtection="0"/>
    <xf numFmtId="0" fontId="2" fillId="0" borderId="0"/>
    <xf numFmtId="9" fontId="23"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4" fontId="23"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44" fontId="2" fillId="0" borderId="0" applyFont="0" applyFill="0" applyBorder="0" applyAlignment="0" applyProtection="0"/>
    <xf numFmtId="43" fontId="23"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9"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43" fontId="2" fillId="0" borderId="0" applyFont="0" applyFill="0" applyBorder="0" applyAlignment="0" applyProtection="0"/>
    <xf numFmtId="0" fontId="2" fillId="0" borderId="0"/>
    <xf numFmtId="44" fontId="2" fillId="0" borderId="0" applyFont="0" applyFill="0" applyBorder="0" applyAlignment="0" applyProtection="0"/>
    <xf numFmtId="0" fontId="2" fillId="0" borderId="0"/>
    <xf numFmtId="0" fontId="23"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0" fontId="70" fillId="0" borderId="0"/>
    <xf numFmtId="0" fontId="23" fillId="0" borderId="0"/>
    <xf numFmtId="0" fontId="23" fillId="0" borderId="0"/>
    <xf numFmtId="0" fontId="2" fillId="0" borderId="0"/>
    <xf numFmtId="43" fontId="2" fillId="0" borderId="0" applyFont="0" applyFill="0" applyBorder="0" applyAlignment="0" applyProtection="0"/>
    <xf numFmtId="0" fontId="2" fillId="0" borderId="0"/>
    <xf numFmtId="44"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0" fontId="70" fillId="0" borderId="0"/>
    <xf numFmtId="0" fontId="2"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7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0" fontId="2" fillId="0" borderId="0"/>
    <xf numFmtId="44" fontId="2" fillId="0" borderId="0" applyFont="0" applyFill="0" applyBorder="0" applyAlignment="0" applyProtection="0"/>
    <xf numFmtId="0" fontId="23" fillId="0" borderId="0"/>
    <xf numFmtId="0" fontId="70" fillId="0" borderId="0"/>
    <xf numFmtId="0" fontId="23" fillId="0" borderId="0"/>
    <xf numFmtId="0" fontId="2" fillId="0" borderId="0"/>
    <xf numFmtId="43" fontId="2" fillId="0" borderId="0" applyFont="0" applyFill="0" applyBorder="0" applyAlignment="0" applyProtection="0"/>
    <xf numFmtId="0" fontId="2" fillId="0" borderId="0"/>
    <xf numFmtId="44"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7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0" fontId="2" fillId="0" borderId="0"/>
    <xf numFmtId="44" fontId="2" fillId="0" borderId="0" applyFont="0" applyFill="0" applyBorder="0" applyAlignment="0" applyProtection="0"/>
    <xf numFmtId="0" fontId="23" fillId="0" borderId="0"/>
    <xf numFmtId="0" fontId="70" fillId="0" borderId="0"/>
    <xf numFmtId="0" fontId="23" fillId="0" borderId="0"/>
    <xf numFmtId="44" fontId="23" fillId="0" borderId="0" applyFont="0" applyFill="0" applyBorder="0" applyAlignment="0" applyProtection="0"/>
    <xf numFmtId="9" fontId="23"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4"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3"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44" fontId="23" fillId="0" borderId="0" applyFont="0" applyFill="0" applyBorder="0" applyAlignment="0" applyProtection="0"/>
    <xf numFmtId="9" fontId="23"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0" fontId="2" fillId="0" borderId="0"/>
    <xf numFmtId="44" fontId="2" fillId="0" borderId="0" applyFont="0" applyFill="0" applyBorder="0" applyAlignment="0" applyProtection="0"/>
    <xf numFmtId="44" fontId="23" fillId="0" borderId="0" applyFont="0" applyFill="0" applyBorder="0" applyAlignment="0" applyProtection="0"/>
    <xf numFmtId="9" fontId="23" fillId="0" borderId="0" applyFont="0" applyFill="0" applyBorder="0" applyAlignment="0" applyProtection="0"/>
    <xf numFmtId="0" fontId="23" fillId="0" borderId="0"/>
    <xf numFmtId="0" fontId="70" fillId="0" borderId="0"/>
    <xf numFmtId="0" fontId="2" fillId="0" borderId="0"/>
    <xf numFmtId="43" fontId="2" fillId="0" borderId="0" applyFont="0" applyFill="0" applyBorder="0" applyAlignment="0" applyProtection="0"/>
    <xf numFmtId="0" fontId="2" fillId="0" borderId="0"/>
    <xf numFmtId="44"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0" fontId="2" fillId="0" borderId="0"/>
    <xf numFmtId="44" fontId="2" fillId="0" borderId="0" applyFont="0" applyFill="0" applyBorder="0" applyAlignment="0" applyProtection="0"/>
    <xf numFmtId="0" fontId="23" fillId="0" borderId="0"/>
    <xf numFmtId="0" fontId="2" fillId="0" borderId="0"/>
    <xf numFmtId="43" fontId="2" fillId="0" borderId="0" applyFont="0" applyFill="0" applyBorder="0" applyAlignment="0" applyProtection="0"/>
    <xf numFmtId="0" fontId="2" fillId="0" borderId="0"/>
    <xf numFmtId="44"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0" fontId="2" fillId="0" borderId="0"/>
    <xf numFmtId="44"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4" fontId="2"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2" fillId="0" borderId="0"/>
    <xf numFmtId="44" fontId="2" fillId="0" borderId="0" applyFont="0" applyFill="0" applyBorder="0" applyAlignment="0" applyProtection="0"/>
    <xf numFmtId="0" fontId="2" fillId="0" borderId="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44" fontId="2"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0" fontId="2" fillId="0" borderId="0"/>
    <xf numFmtId="43" fontId="2" fillId="0" borderId="0" applyFont="0" applyFill="0" applyBorder="0" applyAlignment="0" applyProtection="0"/>
    <xf numFmtId="44" fontId="2" fillId="0" borderId="0" applyFont="0" applyFill="0" applyBorder="0" applyAlignment="0" applyProtection="0"/>
    <xf numFmtId="0" fontId="2" fillId="0" borderId="0"/>
    <xf numFmtId="44" fontId="2" fillId="0" borderId="0" applyFont="0" applyFill="0" applyBorder="0" applyAlignment="0" applyProtection="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70"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70" fillId="0" borderId="0"/>
    <xf numFmtId="0" fontId="70" fillId="0" borderId="0"/>
    <xf numFmtId="0" fontId="70" fillId="0" borderId="0"/>
    <xf numFmtId="0" fontId="70"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70" fillId="0" borderId="0"/>
    <xf numFmtId="0" fontId="70" fillId="0" borderId="0"/>
    <xf numFmtId="0" fontId="23" fillId="0" borderId="0"/>
    <xf numFmtId="0" fontId="70" fillId="0" borderId="0"/>
    <xf numFmtId="0" fontId="70" fillId="0" borderId="0"/>
    <xf numFmtId="0" fontId="70"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70"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70" fillId="0" borderId="0"/>
    <xf numFmtId="0" fontId="23" fillId="0" borderId="0"/>
    <xf numFmtId="0" fontId="70" fillId="0" borderId="0"/>
    <xf numFmtId="0" fontId="70" fillId="0" borderId="0"/>
    <xf numFmtId="0" fontId="70"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44" fontId="23" fillId="0" borderId="0" applyFont="0" applyFill="0" applyBorder="0" applyAlignment="0" applyProtection="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70" fillId="0" borderId="0"/>
    <xf numFmtId="0" fontId="70"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70" fillId="0" borderId="0"/>
    <xf numFmtId="0" fontId="70" fillId="0" borderId="0"/>
    <xf numFmtId="0" fontId="23" fillId="0" borderId="0"/>
    <xf numFmtId="0" fontId="70"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70" fillId="0" borderId="0"/>
    <xf numFmtId="0" fontId="70"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70"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70"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70"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70" fillId="0" borderId="0"/>
    <xf numFmtId="0" fontId="23" fillId="0" borderId="0"/>
    <xf numFmtId="0" fontId="70" fillId="0" borderId="0"/>
    <xf numFmtId="0" fontId="70" fillId="0" borderId="0"/>
    <xf numFmtId="0" fontId="70" fillId="0" borderId="0"/>
    <xf numFmtId="0" fontId="23" fillId="0" borderId="0"/>
    <xf numFmtId="0" fontId="70"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70"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70" fillId="0" borderId="0"/>
    <xf numFmtId="0" fontId="70" fillId="0" borderId="0"/>
    <xf numFmtId="0" fontId="70"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70" fillId="0" borderId="0"/>
    <xf numFmtId="0" fontId="70" fillId="0" borderId="0"/>
    <xf numFmtId="0" fontId="70"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70"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70"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9" fontId="23" fillId="0" borderId="0" applyFont="0" applyFill="0" applyBorder="0" applyAlignment="0" applyProtection="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70" fillId="0" borderId="0"/>
    <xf numFmtId="0" fontId="70" fillId="0" borderId="0"/>
    <xf numFmtId="0" fontId="70"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70" fillId="0" borderId="0"/>
    <xf numFmtId="0" fontId="70" fillId="0" borderId="0"/>
    <xf numFmtId="0" fontId="23" fillId="0" borderId="0"/>
    <xf numFmtId="0" fontId="70" fillId="0" borderId="0"/>
    <xf numFmtId="0" fontId="23" fillId="0" borderId="0"/>
    <xf numFmtId="0" fontId="70" fillId="0" borderId="0"/>
    <xf numFmtId="0" fontId="70"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70" fillId="0" borderId="0"/>
    <xf numFmtId="0" fontId="23" fillId="0" borderId="0"/>
    <xf numFmtId="0" fontId="70" fillId="0" borderId="0"/>
    <xf numFmtId="0" fontId="70" fillId="0" borderId="0"/>
    <xf numFmtId="0" fontId="70" fillId="0" borderId="0"/>
    <xf numFmtId="0" fontId="70"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70"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9" fontId="2" fillId="0" borderId="0" applyFont="0" applyFill="0" applyBorder="0" applyAlignment="0" applyProtection="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70" fillId="0" borderId="0"/>
    <xf numFmtId="0" fontId="70" fillId="0" borderId="0"/>
    <xf numFmtId="0" fontId="70"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70"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70" fillId="0" borderId="0"/>
    <xf numFmtId="0" fontId="70" fillId="0" borderId="0"/>
    <xf numFmtId="0" fontId="23" fillId="0" borderId="0"/>
    <xf numFmtId="0" fontId="70" fillId="0" borderId="0"/>
    <xf numFmtId="0" fontId="70" fillId="0" borderId="0"/>
    <xf numFmtId="0" fontId="70" fillId="0" borderId="0"/>
    <xf numFmtId="0" fontId="23" fillId="0" borderId="0"/>
    <xf numFmtId="0" fontId="23" fillId="0" borderId="0"/>
    <xf numFmtId="0" fontId="70" fillId="0" borderId="0"/>
    <xf numFmtId="0" fontId="70" fillId="0" borderId="0"/>
    <xf numFmtId="0" fontId="23" fillId="0" borderId="0"/>
    <xf numFmtId="0" fontId="70" fillId="0" borderId="0"/>
    <xf numFmtId="0" fontId="70"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70" fillId="0" borderId="0"/>
    <xf numFmtId="0" fontId="70"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70" fillId="0" borderId="0"/>
    <xf numFmtId="0" fontId="70" fillId="0" borderId="0"/>
    <xf numFmtId="0" fontId="70" fillId="0" borderId="0"/>
    <xf numFmtId="0" fontId="70"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70" fillId="0" borderId="0"/>
    <xf numFmtId="0" fontId="70" fillId="0" borderId="0"/>
    <xf numFmtId="0" fontId="23" fillId="0" borderId="0"/>
    <xf numFmtId="0" fontId="70" fillId="0" borderId="0"/>
    <xf numFmtId="0" fontId="70"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70" fillId="0" borderId="0"/>
    <xf numFmtId="0" fontId="23" fillId="0" borderId="0"/>
    <xf numFmtId="0" fontId="70"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70" fillId="0" borderId="0"/>
    <xf numFmtId="0" fontId="70" fillId="0" borderId="0"/>
    <xf numFmtId="0" fontId="70" fillId="0" borderId="0"/>
    <xf numFmtId="0" fontId="70"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70"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70" fillId="0" borderId="0"/>
    <xf numFmtId="0" fontId="70" fillId="0" borderId="0"/>
    <xf numFmtId="0" fontId="70"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70"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70"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70"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70" fillId="0" borderId="0"/>
    <xf numFmtId="0" fontId="23" fillId="0" borderId="0"/>
    <xf numFmtId="0" fontId="23" fillId="0" borderId="0"/>
    <xf numFmtId="0" fontId="70"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23" fillId="0" borderId="0"/>
    <xf numFmtId="0" fontId="23" fillId="0" borderId="0"/>
    <xf numFmtId="0" fontId="23" fillId="0" borderId="0"/>
    <xf numFmtId="0" fontId="23" fillId="0" borderId="0"/>
    <xf numFmtId="0" fontId="70" fillId="0" borderId="0"/>
    <xf numFmtId="0" fontId="23" fillId="0" borderId="0"/>
    <xf numFmtId="0" fontId="70" fillId="0" borderId="0"/>
    <xf numFmtId="0" fontId="70" fillId="0" borderId="0"/>
    <xf numFmtId="0" fontId="70" fillId="0" borderId="0"/>
    <xf numFmtId="0" fontId="23" fillId="0" borderId="0"/>
    <xf numFmtId="0" fontId="1" fillId="0" borderId="0"/>
    <xf numFmtId="0" fontId="1" fillId="0" borderId="0"/>
    <xf numFmtId="0" fontId="1" fillId="0" borderId="0"/>
    <xf numFmtId="0" fontId="1" fillId="0" borderId="0"/>
    <xf numFmtId="0" fontId="1" fillId="0" borderId="0"/>
  </cellStyleXfs>
  <cellXfs count="376">
    <xf numFmtId="0" fontId="0" fillId="0" borderId="0" xfId="0"/>
    <xf numFmtId="0" fontId="38" fillId="0" borderId="0" xfId="0" applyFont="1"/>
    <xf numFmtId="0" fontId="37" fillId="0" borderId="0" xfId="0" applyFont="1"/>
    <xf numFmtId="0" fontId="38" fillId="0" borderId="2" xfId="0" applyFont="1" applyBorder="1" applyAlignment="1">
      <alignment horizontal="center" wrapText="1"/>
    </xf>
    <xf numFmtId="0" fontId="37" fillId="0" borderId="0" xfId="0" applyFont="1" applyAlignment="1">
      <alignment horizontal="center"/>
    </xf>
    <xf numFmtId="43" fontId="37" fillId="0" borderId="0" xfId="1" applyFont="1"/>
    <xf numFmtId="0" fontId="37" fillId="0" borderId="0" xfId="0" applyFont="1" applyFill="1"/>
    <xf numFmtId="44" fontId="37" fillId="0" borderId="0" xfId="0" applyNumberFormat="1" applyFont="1"/>
    <xf numFmtId="49" fontId="38" fillId="0" borderId="0" xfId="1" quotePrefix="1" applyNumberFormat="1" applyFont="1" applyFill="1" applyAlignment="1">
      <alignment horizontal="left"/>
    </xf>
    <xf numFmtId="44" fontId="37" fillId="0" borderId="0" xfId="5" applyFont="1" applyFill="1"/>
    <xf numFmtId="37" fontId="37" fillId="0" borderId="0" xfId="1" applyNumberFormat="1" applyFont="1" applyFill="1" applyAlignment="1">
      <alignment horizontal="center"/>
    </xf>
    <xf numFmtId="44" fontId="38" fillId="0" borderId="0" xfId="5" quotePrefix="1" applyFont="1" applyFill="1" applyAlignment="1">
      <alignment horizontal="left"/>
    </xf>
    <xf numFmtId="43" fontId="37" fillId="0" borderId="0" xfId="1" applyFont="1" applyFill="1"/>
    <xf numFmtId="49" fontId="37" fillId="0" borderId="0" xfId="1" applyNumberFormat="1" applyFont="1" applyFill="1"/>
    <xf numFmtId="44" fontId="38" fillId="0" borderId="0" xfId="5" applyFont="1" applyFill="1" applyAlignment="1" applyProtection="1">
      <alignment horizontal="left"/>
      <protection locked="0"/>
    </xf>
    <xf numFmtId="44" fontId="38" fillId="0" borderId="0" xfId="5" quotePrefix="1" applyFont="1" applyFill="1" applyAlignment="1" applyProtection="1">
      <alignment horizontal="left"/>
      <protection locked="0"/>
    </xf>
    <xf numFmtId="1" fontId="37" fillId="0" borderId="0" xfId="1" applyNumberFormat="1" applyFont="1" applyFill="1"/>
    <xf numFmtId="49" fontId="38" fillId="0" borderId="0" xfId="1" applyNumberFormat="1" applyFont="1" applyFill="1" applyAlignment="1" applyProtection="1">
      <alignment horizontal="left"/>
      <protection locked="0"/>
    </xf>
    <xf numFmtId="44" fontId="38" fillId="0" borderId="0" xfId="5" applyFont="1" applyFill="1" applyBorder="1" applyAlignment="1">
      <alignment horizontal="center"/>
    </xf>
    <xf numFmtId="37" fontId="38" fillId="0" borderId="0" xfId="1" applyNumberFormat="1" applyFont="1" applyFill="1" applyAlignment="1">
      <alignment horizontal="center"/>
    </xf>
    <xf numFmtId="10" fontId="38" fillId="0" borderId="0" xfId="18" applyNumberFormat="1" applyFont="1" applyFill="1" applyBorder="1" applyAlignment="1">
      <alignment horizontal="center"/>
    </xf>
    <xf numFmtId="43" fontId="38" fillId="0" borderId="0" xfId="1" applyFont="1" applyFill="1" applyBorder="1" applyAlignment="1">
      <alignment horizontal="center"/>
    </xf>
    <xf numFmtId="43" fontId="38" fillId="0" borderId="0" xfId="1" applyFont="1" applyFill="1" applyAlignment="1">
      <alignment horizontal="center"/>
    </xf>
    <xf numFmtId="1" fontId="38" fillId="0" borderId="0" xfId="1" applyNumberFormat="1" applyFont="1" applyFill="1" applyAlignment="1">
      <alignment horizontal="center"/>
    </xf>
    <xf numFmtId="49" fontId="38" fillId="0" borderId="0" xfId="1" applyNumberFormat="1" applyFont="1" applyFill="1" applyBorder="1" applyAlignment="1">
      <alignment horizontal="center"/>
    </xf>
    <xf numFmtId="49" fontId="38" fillId="0" borderId="6" xfId="1" applyNumberFormat="1" applyFont="1" applyFill="1" applyBorder="1" applyAlignment="1">
      <alignment horizontal="center"/>
    </xf>
    <xf numFmtId="44" fontId="38" fillId="0" borderId="6" xfId="5" applyFont="1" applyFill="1" applyBorder="1" applyAlignment="1">
      <alignment horizontal="center"/>
    </xf>
    <xf numFmtId="37" fontId="38" fillId="0" borderId="6" xfId="1" applyNumberFormat="1" applyFont="1" applyFill="1" applyBorder="1" applyAlignment="1">
      <alignment horizontal="center"/>
    </xf>
    <xf numFmtId="10" fontId="38" fillId="0" borderId="14" xfId="18" applyNumberFormat="1" applyFont="1" applyFill="1" applyBorder="1" applyAlignment="1">
      <alignment horizontal="center"/>
    </xf>
    <xf numFmtId="44" fontId="38" fillId="0" borderId="15" xfId="5" applyFont="1" applyFill="1" applyBorder="1" applyAlignment="1">
      <alignment horizontal="center"/>
    </xf>
    <xf numFmtId="43" fontId="38" fillId="0" borderId="7" xfId="1" applyFont="1" applyFill="1" applyBorder="1" applyAlignment="1">
      <alignment horizontal="center"/>
    </xf>
    <xf numFmtId="49" fontId="38" fillId="0" borderId="17" xfId="1" applyNumberFormat="1" applyFont="1" applyFill="1" applyBorder="1" applyAlignment="1">
      <alignment horizontal="center" vertical="center"/>
    </xf>
    <xf numFmtId="49" fontId="38" fillId="0" borderId="17" xfId="5" applyNumberFormat="1" applyFont="1" applyFill="1" applyBorder="1" applyAlignment="1">
      <alignment horizontal="center" vertical="center"/>
    </xf>
    <xf numFmtId="49" fontId="37" fillId="0" borderId="0" xfId="1" applyNumberFormat="1" applyFont="1" applyFill="1" applyBorder="1"/>
    <xf numFmtId="37" fontId="37" fillId="0" borderId="0" xfId="1" applyNumberFormat="1" applyFont="1" applyFill="1" applyBorder="1" applyAlignment="1">
      <alignment horizontal="center"/>
    </xf>
    <xf numFmtId="1" fontId="71" fillId="0" borderId="6" xfId="1" applyNumberFormat="1" applyFont="1" applyFill="1" applyBorder="1" applyAlignment="1">
      <alignment horizontal="center"/>
    </xf>
    <xf numFmtId="37" fontId="38" fillId="0" borderId="17" xfId="1" applyNumberFormat="1" applyFont="1" applyFill="1" applyBorder="1" applyAlignment="1">
      <alignment horizontal="center" vertical="center"/>
    </xf>
    <xf numFmtId="10" fontId="37" fillId="0" borderId="0" xfId="18" applyNumberFormat="1" applyFont="1" applyFill="1"/>
    <xf numFmtId="0" fontId="37" fillId="0" borderId="0" xfId="0" applyFont="1" applyAlignment="1"/>
    <xf numFmtId="0" fontId="37" fillId="0" borderId="0" xfId="0" applyFont="1" applyAlignment="1">
      <alignment wrapText="1"/>
    </xf>
    <xf numFmtId="0" fontId="37" fillId="0" borderId="0" xfId="0" applyFont="1" applyFill="1" applyBorder="1" applyAlignment="1"/>
    <xf numFmtId="0" fontId="37" fillId="0" borderId="0" xfId="0" applyFont="1" applyFill="1" applyBorder="1"/>
    <xf numFmtId="0" fontId="37" fillId="0" borderId="0" xfId="11" applyFont="1"/>
    <xf numFmtId="43" fontId="38" fillId="0" borderId="0" xfId="1" quotePrefix="1" applyFont="1" applyFill="1" applyAlignment="1">
      <alignment horizontal="left"/>
    </xf>
    <xf numFmtId="43" fontId="38" fillId="0" borderId="0" xfId="1" applyFont="1" applyFill="1" applyAlignment="1" applyProtection="1">
      <alignment horizontal="left"/>
      <protection locked="0"/>
    </xf>
    <xf numFmtId="43" fontId="38" fillId="0" borderId="0" xfId="1" quotePrefix="1" applyFont="1" applyFill="1" applyAlignment="1" applyProtection="1">
      <alignment horizontal="left"/>
      <protection locked="0"/>
    </xf>
    <xf numFmtId="0" fontId="38" fillId="0" borderId="0" xfId="0" applyFont="1" applyAlignment="1"/>
    <xf numFmtId="0" fontId="37" fillId="0" borderId="0" xfId="0" applyFont="1" applyBorder="1" applyAlignment="1">
      <alignment wrapText="1"/>
    </xf>
    <xf numFmtId="0" fontId="37" fillId="0" borderId="0" xfId="0" applyFont="1" applyFill="1" applyBorder="1" applyAlignment="1">
      <alignment horizontal="left" indent="1"/>
    </xf>
    <xf numFmtId="0" fontId="37" fillId="0" borderId="0" xfId="0" applyFont="1" applyBorder="1"/>
    <xf numFmtId="0" fontId="37" fillId="0" borderId="4" xfId="0" applyFont="1" applyFill="1" applyBorder="1" applyAlignment="1"/>
    <xf numFmtId="37" fontId="37" fillId="0" borderId="4" xfId="0" applyNumberFormat="1" applyFont="1" applyBorder="1" applyAlignment="1">
      <alignment horizontal="center"/>
    </xf>
    <xf numFmtId="44" fontId="37" fillId="0" borderId="0" xfId="0" applyNumberFormat="1" applyFont="1" applyFill="1" applyBorder="1" applyAlignment="1">
      <alignment horizontal="center"/>
    </xf>
    <xf numFmtId="44" fontId="37" fillId="0" borderId="4" xfId="0" applyNumberFormat="1" applyFont="1" applyFill="1" applyBorder="1" applyAlignment="1">
      <alignment horizontal="center"/>
    </xf>
    <xf numFmtId="44" fontId="38" fillId="0" borderId="25" xfId="0" applyNumberFormat="1" applyFont="1" applyFill="1" applyBorder="1" applyAlignment="1">
      <alignment horizontal="center"/>
    </xf>
    <xf numFmtId="49" fontId="37" fillId="0" borderId="0" xfId="0" applyNumberFormat="1" applyFont="1"/>
    <xf numFmtId="44" fontId="37" fillId="0" borderId="0" xfId="5" applyFont="1" applyAlignment="1">
      <alignment horizontal="center"/>
    </xf>
    <xf numFmtId="0" fontId="37" fillId="2" borderId="0" xfId="0" applyFont="1" applyFill="1"/>
    <xf numFmtId="44" fontId="37" fillId="0" borderId="4" xfId="5" applyFont="1" applyFill="1" applyBorder="1"/>
    <xf numFmtId="197" fontId="37" fillId="0" borderId="0" xfId="0" applyNumberFormat="1" applyFont="1"/>
    <xf numFmtId="49" fontId="37" fillId="0" borderId="0" xfId="11" applyNumberFormat="1" applyFont="1"/>
    <xf numFmtId="0" fontId="37" fillId="2" borderId="0" xfId="11" applyFont="1" applyFill="1"/>
    <xf numFmtId="0" fontId="72" fillId="0" borderId="0" xfId="11" applyFont="1" applyAlignment="1">
      <alignment horizontal="right"/>
    </xf>
    <xf numFmtId="44" fontId="37" fillId="0" borderId="4" xfId="5" applyFont="1" applyBorder="1"/>
    <xf numFmtId="0" fontId="72" fillId="0" borderId="0" xfId="0" applyFont="1" applyAlignment="1">
      <alignment horizontal="center"/>
    </xf>
    <xf numFmtId="44" fontId="37" fillId="0" borderId="0" xfId="5" applyFont="1" applyFill="1" applyBorder="1"/>
    <xf numFmtId="44" fontId="37" fillId="0" borderId="0" xfId="5" applyFont="1" applyBorder="1"/>
    <xf numFmtId="49" fontId="38" fillId="0" borderId="0" xfId="1" quotePrefix="1" applyNumberFormat="1" applyFont="1" applyFill="1" applyAlignment="1" applyProtection="1">
      <alignment horizontal="left"/>
      <protection locked="0"/>
    </xf>
    <xf numFmtId="0" fontId="38" fillId="0" borderId="8" xfId="0" applyFont="1" applyBorder="1" applyAlignment="1">
      <alignment horizontal="center" wrapText="1"/>
    </xf>
    <xf numFmtId="44" fontId="38" fillId="0" borderId="9" xfId="5" applyFont="1" applyBorder="1" applyAlignment="1">
      <alignment horizontal="center" wrapText="1"/>
    </xf>
    <xf numFmtId="44" fontId="38" fillId="0" borderId="10" xfId="5" applyFont="1" applyBorder="1" applyAlignment="1">
      <alignment horizontal="center" wrapText="1"/>
    </xf>
    <xf numFmtId="0" fontId="38" fillId="0" borderId="11" xfId="0" applyFont="1" applyBorder="1" applyAlignment="1">
      <alignment horizontal="center" wrapText="1"/>
    </xf>
    <xf numFmtId="44" fontId="38" fillId="0" borderId="12" xfId="5" applyFont="1" applyBorder="1" applyAlignment="1">
      <alignment horizontal="center" wrapText="1"/>
    </xf>
    <xf numFmtId="44" fontId="38" fillId="0" borderId="13" xfId="5" applyFont="1" applyBorder="1" applyAlignment="1">
      <alignment horizontal="center" wrapText="1"/>
    </xf>
    <xf numFmtId="49" fontId="37" fillId="0" borderId="0" xfId="0" applyNumberFormat="1" applyFont="1" applyBorder="1"/>
    <xf numFmtId="44" fontId="37" fillId="0" borderId="0" xfId="5" applyFont="1" applyFill="1" applyBorder="1" applyAlignment="1"/>
    <xf numFmtId="0" fontId="38" fillId="0" borderId="9" xfId="0" applyFont="1" applyBorder="1" applyAlignment="1">
      <alignment horizontal="center" wrapText="1"/>
    </xf>
    <xf numFmtId="0" fontId="38" fillId="0" borderId="12" xfId="0" applyFont="1" applyBorder="1" applyAlignment="1">
      <alignment horizontal="center" wrapText="1"/>
    </xf>
    <xf numFmtId="0" fontId="38" fillId="0" borderId="0" xfId="0" applyFont="1" applyFill="1"/>
    <xf numFmtId="49" fontId="38" fillId="0" borderId="1" xfId="1" applyNumberFormat="1" applyFont="1" applyFill="1" applyBorder="1" applyAlignment="1">
      <alignment horizontal="center" vertical="center" wrapText="1"/>
    </xf>
    <xf numFmtId="49" fontId="38" fillId="0" borderId="7" xfId="1" applyNumberFormat="1" applyFont="1" applyFill="1" applyBorder="1" applyAlignment="1">
      <alignment horizontal="center" vertical="center" wrapText="1"/>
    </xf>
    <xf numFmtId="49" fontId="38" fillId="0" borderId="1" xfId="5" applyNumberFormat="1" applyFont="1" applyFill="1" applyBorder="1" applyAlignment="1">
      <alignment horizontal="center" vertical="center" wrapText="1"/>
    </xf>
    <xf numFmtId="43" fontId="38" fillId="0" borderId="0" xfId="1" applyFont="1" applyFill="1" applyAlignment="1">
      <alignment horizontal="center" wrapText="1"/>
    </xf>
    <xf numFmtId="44" fontId="37" fillId="0" borderId="7" xfId="1" applyNumberFormat="1" applyFont="1" applyFill="1" applyBorder="1" applyAlignment="1">
      <alignment horizontal="center"/>
    </xf>
    <xf numFmtId="44" fontId="37" fillId="0" borderId="7" xfId="5" applyFont="1" applyFill="1" applyBorder="1"/>
    <xf numFmtId="44" fontId="37" fillId="0" borderId="7" xfId="5" applyFont="1" applyFill="1" applyBorder="1" applyAlignment="1">
      <alignment horizontal="center" wrapText="1"/>
    </xf>
    <xf numFmtId="44" fontId="38" fillId="0" borderId="7" xfId="5" applyFont="1" applyFill="1" applyBorder="1" applyAlignment="1">
      <alignment horizontal="center" wrapText="1"/>
    </xf>
    <xf numFmtId="1" fontId="37" fillId="0" borderId="0" xfId="1" applyNumberFormat="1" applyFont="1" applyFill="1" applyBorder="1" applyAlignment="1">
      <alignment horizontal="center"/>
    </xf>
    <xf numFmtId="44" fontId="37" fillId="0" borderId="0" xfId="5" applyFont="1" applyFill="1" applyBorder="1" applyAlignment="1">
      <alignment horizontal="center"/>
    </xf>
    <xf numFmtId="0" fontId="74" fillId="0" borderId="0" xfId="1088" applyFont="1"/>
    <xf numFmtId="0" fontId="37" fillId="0" borderId="6" xfId="0" applyFont="1" applyFill="1" applyBorder="1" applyAlignment="1">
      <alignment horizontal="left" indent="1"/>
    </xf>
    <xf numFmtId="10" fontId="38" fillId="0" borderId="7" xfId="18" applyNumberFormat="1" applyFont="1" applyFill="1" applyBorder="1" applyAlignment="1">
      <alignment horizontal="center"/>
    </xf>
    <xf numFmtId="10" fontId="38" fillId="0" borderId="1" xfId="18" applyNumberFormat="1" applyFont="1" applyFill="1" applyBorder="1" applyAlignment="1">
      <alignment horizontal="center"/>
    </xf>
    <xf numFmtId="9" fontId="37" fillId="0" borderId="0" xfId="0" applyNumberFormat="1" applyFont="1" applyBorder="1" applyAlignment="1">
      <alignment horizontal="center"/>
    </xf>
    <xf numFmtId="0" fontId="38" fillId="0" borderId="0" xfId="17" applyFont="1" applyAlignment="1"/>
    <xf numFmtId="10" fontId="38" fillId="0" borderId="15" xfId="18" applyNumberFormat="1" applyFont="1" applyFill="1" applyBorder="1" applyAlignment="1">
      <alignment horizontal="center"/>
    </xf>
    <xf numFmtId="0" fontId="38" fillId="12" borderId="0" xfId="0" applyFont="1" applyFill="1"/>
    <xf numFmtId="49" fontId="37" fillId="13" borderId="7" xfId="0" applyNumberFormat="1" applyFont="1" applyFill="1" applyBorder="1" applyAlignment="1">
      <alignment horizontal="center"/>
    </xf>
    <xf numFmtId="49" fontId="37" fillId="0" borderId="0" xfId="0" applyNumberFormat="1" applyFont="1" applyAlignment="1">
      <alignment horizontal="center"/>
    </xf>
    <xf numFmtId="10" fontId="37" fillId="13" borderId="0" xfId="0" applyNumberFormat="1" applyFont="1" applyFill="1" applyBorder="1" applyAlignment="1">
      <alignment horizontal="center"/>
    </xf>
    <xf numFmtId="49" fontId="37" fillId="13" borderId="1" xfId="0" applyNumberFormat="1" applyFont="1" applyFill="1" applyBorder="1" applyAlignment="1">
      <alignment horizontal="center"/>
    </xf>
    <xf numFmtId="0" fontId="37" fillId="0" borderId="1" xfId="0" applyFont="1" applyBorder="1"/>
    <xf numFmtId="10" fontId="37" fillId="0" borderId="1" xfId="18" applyNumberFormat="1" applyFont="1" applyFill="1" applyBorder="1" applyAlignment="1">
      <alignment horizontal="center" vertical="center" wrapText="1"/>
    </xf>
    <xf numFmtId="44" fontId="37" fillId="0" borderId="7" xfId="5" applyNumberFormat="1" applyFont="1" applyFill="1" applyBorder="1" applyAlignment="1">
      <alignment horizontal="center" wrapText="1"/>
    </xf>
    <xf numFmtId="10" fontId="38" fillId="0" borderId="0" xfId="18" applyNumberFormat="1" applyFont="1" applyFill="1" applyAlignment="1">
      <alignment horizontal="center" wrapText="1"/>
    </xf>
    <xf numFmtId="43" fontId="37" fillId="0" borderId="0" xfId="1" applyFont="1" applyFill="1" applyAlignment="1">
      <alignment horizontal="center"/>
    </xf>
    <xf numFmtId="0" fontId="37" fillId="0" borderId="0" xfId="0" applyFont="1" applyAlignment="1">
      <alignment horizontal="left"/>
    </xf>
    <xf numFmtId="0" fontId="37" fillId="0" borderId="0" xfId="0" applyFont="1" applyAlignment="1">
      <alignment horizontal="left" wrapText="1"/>
    </xf>
    <xf numFmtId="44" fontId="37" fillId="0" borderId="36" xfId="1" applyNumberFormat="1" applyFont="1" applyFill="1" applyBorder="1" applyAlignment="1">
      <alignment horizontal="center"/>
    </xf>
    <xf numFmtId="10" fontId="37" fillId="2" borderId="36" xfId="18" applyNumberFormat="1" applyFont="1" applyFill="1" applyBorder="1" applyAlignment="1">
      <alignment horizontal="center" vertical="center" wrapText="1"/>
    </xf>
    <xf numFmtId="44" fontId="37" fillId="0" borderId="37" xfId="1" applyNumberFormat="1" applyFont="1" applyFill="1" applyBorder="1" applyAlignment="1">
      <alignment horizontal="center"/>
    </xf>
    <xf numFmtId="37" fontId="38" fillId="0" borderId="40" xfId="1" applyNumberFormat="1" applyFont="1" applyFill="1" applyBorder="1" applyAlignment="1">
      <alignment horizontal="center"/>
    </xf>
    <xf numFmtId="44" fontId="38" fillId="0" borderId="40" xfId="5" applyFont="1" applyFill="1" applyBorder="1" applyAlignment="1">
      <alignment horizontal="center"/>
    </xf>
    <xf numFmtId="43" fontId="37" fillId="2" borderId="20" xfId="1" applyFont="1" applyFill="1" applyBorder="1"/>
    <xf numFmtId="44" fontId="38" fillId="0" borderId="40" xfId="5" applyNumberFormat="1" applyFont="1" applyFill="1" applyBorder="1" applyAlignment="1">
      <alignment horizontal="center"/>
    </xf>
    <xf numFmtId="10" fontId="38" fillId="0" borderId="20" xfId="1" applyNumberFormat="1" applyFont="1" applyFill="1" applyBorder="1" applyAlignment="1">
      <alignment horizontal="center"/>
    </xf>
    <xf numFmtId="0" fontId="37" fillId="14" borderId="33" xfId="1069" applyFont="1" applyFill="1" applyBorder="1" applyAlignment="1"/>
    <xf numFmtId="0" fontId="37" fillId="14" borderId="39" xfId="1069" applyFont="1" applyFill="1" applyBorder="1" applyAlignment="1"/>
    <xf numFmtId="0" fontId="37" fillId="14" borderId="38" xfId="1069" applyFont="1" applyFill="1" applyBorder="1" applyAlignment="1"/>
    <xf numFmtId="44" fontId="37" fillId="0" borderId="42" xfId="5" applyFont="1" applyFill="1" applyBorder="1" applyAlignment="1"/>
    <xf numFmtId="0" fontId="37" fillId="0" borderId="43" xfId="0" applyFont="1" applyBorder="1"/>
    <xf numFmtId="44" fontId="38" fillId="0" borderId="12" xfId="0" applyNumberFormat="1" applyFont="1" applyBorder="1"/>
    <xf numFmtId="44" fontId="38" fillId="0" borderId="13" xfId="0" applyNumberFormat="1" applyFont="1" applyBorder="1"/>
    <xf numFmtId="0" fontId="38" fillId="0" borderId="44" xfId="0" applyFont="1" applyBorder="1" applyAlignment="1">
      <alignment horizontal="center" vertical="center" wrapText="1"/>
    </xf>
    <xf numFmtId="0" fontId="38" fillId="0" borderId="31" xfId="0" applyFont="1" applyBorder="1" applyAlignment="1">
      <alignment horizontal="center" vertical="center" wrapText="1"/>
    </xf>
    <xf numFmtId="0" fontId="38" fillId="0" borderId="32" xfId="0" applyFont="1" applyBorder="1" applyAlignment="1">
      <alignment horizontal="center" vertical="center" wrapText="1"/>
    </xf>
    <xf numFmtId="0" fontId="38" fillId="0" borderId="41" xfId="0" applyFont="1" applyBorder="1"/>
    <xf numFmtId="0" fontId="38" fillId="0" borderId="0" xfId="0" applyFont="1" applyBorder="1"/>
    <xf numFmtId="0" fontId="37" fillId="0" borderId="42" xfId="0" applyFont="1" applyBorder="1"/>
    <xf numFmtId="0" fontId="37" fillId="0" borderId="41" xfId="0" applyFont="1" applyBorder="1"/>
    <xf numFmtId="0" fontId="37" fillId="13" borderId="0" xfId="0" applyFont="1" applyFill="1" applyBorder="1" applyAlignment="1">
      <alignment horizontal="center"/>
    </xf>
    <xf numFmtId="10" fontId="37" fillId="13" borderId="42" xfId="0" applyNumberFormat="1" applyFont="1" applyFill="1" applyBorder="1" applyAlignment="1">
      <alignment horizontal="center"/>
    </xf>
    <xf numFmtId="0" fontId="37" fillId="13" borderId="0" xfId="0" applyFont="1" applyFill="1" applyBorder="1"/>
    <xf numFmtId="10" fontId="37" fillId="0" borderId="0" xfId="0" applyNumberFormat="1" applyFont="1" applyBorder="1" applyAlignment="1">
      <alignment horizontal="center"/>
    </xf>
    <xf numFmtId="10" fontId="37" fillId="0" borderId="45" xfId="0" applyNumberFormat="1" applyFont="1" applyBorder="1" applyAlignment="1">
      <alignment horizontal="center"/>
    </xf>
    <xf numFmtId="10" fontId="37" fillId="0" borderId="42" xfId="0" applyNumberFormat="1" applyFont="1" applyBorder="1" applyAlignment="1">
      <alignment horizontal="center"/>
    </xf>
    <xf numFmtId="10" fontId="37" fillId="13" borderId="29" xfId="0" applyNumberFormat="1" applyFont="1" applyFill="1" applyBorder="1" applyAlignment="1">
      <alignment horizontal="center"/>
    </xf>
    <xf numFmtId="10" fontId="37" fillId="0" borderId="46" xfId="0" applyNumberFormat="1" applyFont="1" applyBorder="1" applyAlignment="1">
      <alignment horizontal="center"/>
    </xf>
    <xf numFmtId="0" fontId="37" fillId="0" borderId="2" xfId="0" applyFont="1" applyBorder="1"/>
    <xf numFmtId="10" fontId="37" fillId="0" borderId="2" xfId="0" applyNumberFormat="1" applyFont="1" applyBorder="1" applyAlignment="1">
      <alignment horizontal="center"/>
    </xf>
    <xf numFmtId="10" fontId="37" fillId="0" borderId="13" xfId="0" applyNumberFormat="1" applyFont="1" applyBorder="1" applyAlignment="1">
      <alignment horizontal="center"/>
    </xf>
    <xf numFmtId="37" fontId="38" fillId="0" borderId="7" xfId="1" applyNumberFormat="1" applyFont="1" applyBorder="1" applyAlignment="1">
      <alignment horizontal="center" vertical="center" wrapText="1"/>
    </xf>
    <xf numFmtId="49" fontId="38" fillId="0" borderId="7" xfId="1" quotePrefix="1" applyNumberFormat="1" applyFont="1" applyFill="1" applyBorder="1" applyAlignment="1">
      <alignment horizontal="center" vertical="center" wrapText="1"/>
    </xf>
    <xf numFmtId="43" fontId="38" fillId="0" borderId="0" xfId="1" applyFont="1" applyFill="1" applyAlignment="1">
      <alignment horizontal="center" vertical="center" wrapText="1"/>
    </xf>
    <xf numFmtId="43" fontId="37" fillId="0" borderId="0" xfId="1" applyFont="1" applyFill="1" applyAlignment="1">
      <alignment vertical="center"/>
    </xf>
    <xf numFmtId="44" fontId="37" fillId="0" borderId="1" xfId="5" applyNumberFormat="1" applyFont="1" applyFill="1" applyBorder="1"/>
    <xf numFmtId="39" fontId="37" fillId="0" borderId="36" xfId="252" applyNumberFormat="1" applyFont="1" applyFill="1" applyBorder="1"/>
    <xf numFmtId="0" fontId="74" fillId="16" borderId="0" xfId="1088" applyFont="1" applyFill="1"/>
    <xf numFmtId="0" fontId="37" fillId="15" borderId="23" xfId="1069" applyFont="1" applyFill="1" applyBorder="1"/>
    <xf numFmtId="49" fontId="37" fillId="15" borderId="23" xfId="0" applyNumberFormat="1" applyFont="1" applyFill="1" applyBorder="1" applyAlignment="1">
      <alignment horizontal="center"/>
    </xf>
    <xf numFmtId="39" fontId="37" fillId="15" borderId="23" xfId="1" applyNumberFormat="1" applyFont="1" applyFill="1" applyBorder="1" applyAlignment="1">
      <alignment horizontal="right"/>
    </xf>
    <xf numFmtId="39" fontId="37" fillId="15" borderId="23" xfId="252" applyNumberFormat="1" applyFont="1" applyFill="1" applyBorder="1" applyAlignment="1">
      <alignment horizontal="right"/>
    </xf>
    <xf numFmtId="44" fontId="37" fillId="15" borderId="23" xfId="1" applyNumberFormat="1" applyFont="1" applyFill="1" applyBorder="1" applyAlignment="1">
      <alignment horizontal="center"/>
    </xf>
    <xf numFmtId="44" fontId="37" fillId="15" borderId="23" xfId="5" applyFont="1" applyFill="1" applyBorder="1"/>
    <xf numFmtId="44" fontId="37" fillId="15" borderId="23" xfId="5" applyNumberFormat="1" applyFont="1" applyFill="1" applyBorder="1"/>
    <xf numFmtId="44" fontId="37" fillId="15" borderId="23" xfId="5" applyFont="1" applyFill="1" applyBorder="1" applyAlignment="1">
      <alignment horizontal="center" wrapText="1"/>
    </xf>
    <xf numFmtId="44" fontId="37" fillId="15" borderId="23" xfId="5" applyNumberFormat="1" applyFont="1" applyFill="1" applyBorder="1" applyAlignment="1">
      <alignment horizontal="center" wrapText="1"/>
    </xf>
    <xf numFmtId="44" fontId="38" fillId="15" borderId="23" xfId="5" applyFont="1" applyFill="1" applyBorder="1" applyAlignment="1">
      <alignment horizontal="center" wrapText="1"/>
    </xf>
    <xf numFmtId="10" fontId="37" fillId="15" borderId="27" xfId="18" applyNumberFormat="1" applyFont="1" applyFill="1" applyBorder="1" applyAlignment="1">
      <alignment horizontal="center" vertical="center" wrapText="1"/>
    </xf>
    <xf numFmtId="49" fontId="37" fillId="15" borderId="31" xfId="0" applyNumberFormat="1" applyFont="1" applyFill="1" applyBorder="1" applyAlignment="1">
      <alignment horizontal="center"/>
    </xf>
    <xf numFmtId="1" fontId="37" fillId="15" borderId="31" xfId="1" applyNumberFormat="1" applyFont="1" applyFill="1" applyBorder="1" applyAlignment="1">
      <alignment horizontal="center"/>
    </xf>
    <xf numFmtId="37" fontId="37" fillId="15" borderId="31" xfId="252" applyNumberFormat="1" applyFont="1" applyFill="1" applyBorder="1"/>
    <xf numFmtId="44" fontId="37" fillId="15" borderId="31" xfId="1" applyNumberFormat="1" applyFont="1" applyFill="1" applyBorder="1" applyAlignment="1">
      <alignment horizontal="center"/>
    </xf>
    <xf numFmtId="44" fontId="37" fillId="15" borderId="31" xfId="5" applyFont="1" applyFill="1" applyBorder="1"/>
    <xf numFmtId="44" fontId="37" fillId="15" borderId="31" xfId="5" applyFont="1" applyFill="1" applyBorder="1" applyAlignment="1">
      <alignment horizontal="center" wrapText="1"/>
    </xf>
    <xf numFmtId="44" fontId="38" fillId="15" borderId="31" xfId="5" applyFont="1" applyFill="1" applyBorder="1" applyAlignment="1">
      <alignment horizontal="center" wrapText="1"/>
    </xf>
    <xf numFmtId="44" fontId="38" fillId="15" borderId="47" xfId="5" applyFont="1" applyFill="1" applyBorder="1" applyAlignment="1">
      <alignment horizontal="center" wrapText="1"/>
    </xf>
    <xf numFmtId="0" fontId="73" fillId="15" borderId="31" xfId="1030" applyFont="1" applyFill="1" applyBorder="1" applyAlignment="1"/>
    <xf numFmtId="0" fontId="38" fillId="15" borderId="28" xfId="1069" applyFont="1" applyFill="1" applyBorder="1" applyAlignment="1"/>
    <xf numFmtId="0" fontId="38" fillId="15" borderId="23" xfId="1069" applyFont="1" applyFill="1" applyBorder="1" applyAlignment="1"/>
    <xf numFmtId="43" fontId="37" fillId="15" borderId="23" xfId="1" applyFont="1" applyFill="1" applyBorder="1" applyAlignment="1">
      <alignment horizontal="center" wrapText="1"/>
    </xf>
    <xf numFmtId="0" fontId="73" fillId="15" borderId="47" xfId="1030" applyFont="1" applyFill="1" applyBorder="1" applyAlignment="1"/>
    <xf numFmtId="1" fontId="37" fillId="15" borderId="23" xfId="1" applyNumberFormat="1" applyFont="1" applyFill="1" applyBorder="1" applyAlignment="1">
      <alignment horizontal="center"/>
    </xf>
    <xf numFmtId="39" fontId="37" fillId="0" borderId="37" xfId="252" applyNumberFormat="1" applyFont="1" applyFill="1" applyBorder="1"/>
    <xf numFmtId="0" fontId="74" fillId="15" borderId="32" xfId="1088" applyFont="1" applyFill="1" applyBorder="1" applyAlignment="1">
      <alignment horizontal="center"/>
    </xf>
    <xf numFmtId="49" fontId="74" fillId="0" borderId="19" xfId="1088" applyNumberFormat="1" applyFont="1" applyFill="1" applyBorder="1" applyAlignment="1">
      <alignment horizontal="center" vertical="center" wrapText="1"/>
    </xf>
    <xf numFmtId="49" fontId="74" fillId="0" borderId="18" xfId="1088" applyNumberFormat="1" applyFont="1" applyBorder="1" applyAlignment="1">
      <alignment horizontal="center" vertical="center" wrapText="1"/>
    </xf>
    <xf numFmtId="49" fontId="74" fillId="0" borderId="19" xfId="1088" applyNumberFormat="1" applyFont="1" applyBorder="1" applyAlignment="1">
      <alignment horizontal="center" vertical="center" wrapText="1"/>
    </xf>
    <xf numFmtId="49" fontId="74" fillId="0" borderId="20" xfId="1088" applyNumberFormat="1" applyFont="1" applyBorder="1" applyAlignment="1">
      <alignment horizontal="center" vertical="center" wrapText="1"/>
    </xf>
    <xf numFmtId="0" fontId="74" fillId="0" borderId="0" xfId="1088" applyFont="1" applyAlignment="1">
      <alignment vertical="center"/>
    </xf>
    <xf numFmtId="0" fontId="73" fillId="15" borderId="44" xfId="1088" applyFont="1" applyFill="1" applyBorder="1" applyAlignment="1">
      <alignment horizontal="left"/>
    </xf>
    <xf numFmtId="0" fontId="74" fillId="15" borderId="31" xfId="1088" applyFont="1" applyFill="1" applyBorder="1" applyAlignment="1">
      <alignment horizontal="center"/>
    </xf>
    <xf numFmtId="0" fontId="38" fillId="15" borderId="44" xfId="0" applyFont="1" applyFill="1" applyBorder="1" applyAlignment="1">
      <alignment horizontal="left"/>
    </xf>
    <xf numFmtId="44" fontId="74" fillId="0" borderId="0" xfId="1088" applyNumberFormat="1" applyFont="1" applyAlignment="1"/>
    <xf numFmtId="0" fontId="37" fillId="0" borderId="0" xfId="11" applyFont="1" applyAlignment="1">
      <alignment horizontal="center"/>
    </xf>
    <xf numFmtId="0" fontId="37" fillId="0" borderId="0" xfId="0" applyFont="1" applyAlignment="1">
      <alignment horizontal="right"/>
    </xf>
    <xf numFmtId="0" fontId="72" fillId="0" borderId="0" xfId="11" applyFont="1" applyAlignment="1"/>
    <xf numFmtId="0" fontId="37" fillId="0" borderId="0" xfId="11" applyFont="1" applyAlignment="1"/>
    <xf numFmtId="0" fontId="38" fillId="0" borderId="2" xfId="11" applyFont="1" applyBorder="1" applyAlignment="1"/>
    <xf numFmtId="0" fontId="38" fillId="0" borderId="0" xfId="0" applyFont="1" applyAlignment="1">
      <alignment horizontal="center"/>
    </xf>
    <xf numFmtId="0" fontId="73" fillId="15" borderId="31" xfId="1088" applyFont="1" applyFill="1" applyBorder="1" applyAlignment="1">
      <alignment horizontal="left"/>
    </xf>
    <xf numFmtId="0" fontId="74" fillId="13" borderId="28" xfId="1088" applyFont="1" applyFill="1" applyBorder="1" applyAlignment="1">
      <alignment horizontal="center"/>
    </xf>
    <xf numFmtId="49" fontId="74" fillId="0" borderId="48" xfId="1088" applyNumberFormat="1" applyFont="1" applyBorder="1" applyAlignment="1">
      <alignment horizontal="center" vertical="center" wrapText="1"/>
    </xf>
    <xf numFmtId="0" fontId="73" fillId="15" borderId="50" xfId="1088" applyFont="1" applyFill="1" applyBorder="1" applyAlignment="1">
      <alignment horizontal="left"/>
    </xf>
    <xf numFmtId="0" fontId="38" fillId="0" borderId="0" xfId="17" applyFont="1" applyAlignment="1">
      <alignment horizontal="center"/>
    </xf>
    <xf numFmtId="0" fontId="38" fillId="15" borderId="23" xfId="1069" applyFont="1" applyFill="1" applyBorder="1" applyAlignment="1">
      <alignment horizontal="center"/>
    </xf>
    <xf numFmtId="0" fontId="73" fillId="15" borderId="31" xfId="1030" applyFont="1" applyFill="1" applyBorder="1" applyAlignment="1">
      <alignment horizontal="center"/>
    </xf>
    <xf numFmtId="0" fontId="38" fillId="0" borderId="0" xfId="0" applyFont="1" applyAlignment="1">
      <alignment horizontal="center"/>
    </xf>
    <xf numFmtId="0" fontId="74" fillId="0" borderId="0" xfId="1088" applyFont="1" applyAlignment="1">
      <alignment horizontal="center"/>
    </xf>
    <xf numFmtId="49" fontId="37" fillId="13" borderId="51" xfId="0" applyNumberFormat="1" applyFont="1" applyFill="1" applyBorder="1" applyAlignment="1"/>
    <xf numFmtId="0" fontId="37" fillId="0" borderId="0" xfId="0" applyFont="1" applyAlignment="1">
      <alignment vertical="top" wrapText="1"/>
    </xf>
    <xf numFmtId="49" fontId="37" fillId="13" borderId="1" xfId="0" applyNumberFormat="1" applyFont="1" applyFill="1" applyBorder="1" applyAlignment="1"/>
    <xf numFmtId="3" fontId="37" fillId="0" borderId="1" xfId="1" applyNumberFormat="1" applyFont="1" applyFill="1" applyBorder="1" applyAlignment="1">
      <alignment horizontal="left"/>
    </xf>
    <xf numFmtId="0" fontId="37" fillId="13" borderId="30" xfId="0" applyFont="1" applyFill="1" applyBorder="1" applyAlignment="1">
      <alignment horizontal="left"/>
    </xf>
    <xf numFmtId="0" fontId="74" fillId="13" borderId="1" xfId="1088" applyNumberFormat="1" applyFont="1" applyFill="1" applyBorder="1" applyAlignment="1">
      <alignment horizontal="center"/>
    </xf>
    <xf numFmtId="49" fontId="74" fillId="13" borderId="1" xfId="1088" applyNumberFormat="1" applyFont="1" applyFill="1" applyBorder="1" applyAlignment="1">
      <alignment horizontal="center"/>
    </xf>
    <xf numFmtId="0" fontId="74" fillId="13" borderId="7" xfId="1088" applyNumberFormat="1" applyFont="1" applyFill="1" applyBorder="1" applyAlignment="1">
      <alignment horizontal="center"/>
    </xf>
    <xf numFmtId="49" fontId="74" fillId="13" borderId="7" xfId="1088" applyNumberFormat="1" applyFont="1" applyFill="1" applyBorder="1" applyAlignment="1">
      <alignment horizontal="center"/>
    </xf>
    <xf numFmtId="10" fontId="37" fillId="13" borderId="0" xfId="18" applyNumberFormat="1" applyFont="1" applyFill="1" applyBorder="1" applyAlignment="1">
      <alignment horizontal="center"/>
    </xf>
    <xf numFmtId="14" fontId="37" fillId="13" borderId="1" xfId="0" applyNumberFormat="1" applyFont="1" applyFill="1" applyBorder="1" applyAlignment="1"/>
    <xf numFmtId="14" fontId="37" fillId="0" borderId="0" xfId="0" applyNumberFormat="1" applyFont="1"/>
    <xf numFmtId="49" fontId="37" fillId="0" borderId="7" xfId="1069" applyNumberFormat="1" applyFont="1" applyFill="1" applyBorder="1"/>
    <xf numFmtId="49" fontId="37" fillId="0" borderId="7" xfId="1069" applyNumberFormat="1" applyFont="1" applyFill="1" applyBorder="1" applyAlignment="1">
      <alignment horizontal="center"/>
    </xf>
    <xf numFmtId="0" fontId="38" fillId="0" borderId="0" xfId="17" applyFont="1"/>
    <xf numFmtId="44" fontId="37" fillId="0" borderId="0" xfId="9" applyFont="1"/>
    <xf numFmtId="0" fontId="37" fillId="0" borderId="0" xfId="17" applyFont="1"/>
    <xf numFmtId="44" fontId="38" fillId="0" borderId="0" xfId="9" applyFont="1" applyBorder="1" applyAlignment="1">
      <alignment horizontal="center" wrapText="1"/>
    </xf>
    <xf numFmtId="198" fontId="37" fillId="13" borderId="16" xfId="9" applyNumberFormat="1" applyFont="1" applyFill="1" applyBorder="1"/>
    <xf numFmtId="198" fontId="37" fillId="13" borderId="3" xfId="9" applyNumberFormat="1" applyFont="1" applyFill="1" applyBorder="1"/>
    <xf numFmtId="198" fontId="37" fillId="13" borderId="52" xfId="9" applyNumberFormat="1" applyFont="1" applyFill="1" applyBorder="1"/>
    <xf numFmtId="198" fontId="37" fillId="13" borderId="53" xfId="9" applyNumberFormat="1" applyFont="1" applyFill="1" applyBorder="1"/>
    <xf numFmtId="198" fontId="37" fillId="13" borderId="0" xfId="9" applyNumberFormat="1" applyFont="1" applyFill="1" applyBorder="1"/>
    <xf numFmtId="198" fontId="37" fillId="13" borderId="54" xfId="9" applyNumberFormat="1" applyFont="1" applyFill="1" applyBorder="1"/>
    <xf numFmtId="198" fontId="37" fillId="13" borderId="55" xfId="9" applyNumberFormat="1" applyFont="1" applyFill="1" applyBorder="1"/>
    <xf numFmtId="198" fontId="37" fillId="13" borderId="5" xfId="9" applyNumberFormat="1" applyFont="1" applyFill="1" applyBorder="1"/>
    <xf numFmtId="198" fontId="37" fillId="13" borderId="56" xfId="9" applyNumberFormat="1" applyFont="1" applyFill="1" applyBorder="1"/>
    <xf numFmtId="198" fontId="37" fillId="0" borderId="14" xfId="9" applyNumberFormat="1" applyFont="1" applyBorder="1"/>
    <xf numFmtId="198" fontId="37" fillId="0" borderId="6" xfId="9" applyNumberFormat="1" applyFont="1" applyBorder="1"/>
    <xf numFmtId="198" fontId="37" fillId="0" borderId="15" xfId="9" applyNumberFormat="1" applyFont="1" applyBorder="1"/>
    <xf numFmtId="44" fontId="37" fillId="0" borderId="0" xfId="9" applyFont="1" applyBorder="1"/>
    <xf numFmtId="198" fontId="77" fillId="13" borderId="16" xfId="9" applyNumberFormat="1" applyFont="1" applyFill="1" applyBorder="1"/>
    <xf numFmtId="198" fontId="77" fillId="13" borderId="3" xfId="9" applyNumberFormat="1" applyFont="1" applyFill="1" applyBorder="1"/>
    <xf numFmtId="198" fontId="77" fillId="13" borderId="52" xfId="9" applyNumberFormat="1" applyFont="1" applyFill="1" applyBorder="1"/>
    <xf numFmtId="198" fontId="77" fillId="0" borderId="57" xfId="9" applyNumberFormat="1" applyFont="1" applyBorder="1"/>
    <xf numFmtId="198" fontId="77" fillId="0" borderId="4" xfId="9" applyNumberFormat="1" applyFont="1" applyBorder="1"/>
    <xf numFmtId="198" fontId="77" fillId="0" borderId="58" xfId="9" applyNumberFormat="1" applyFont="1" applyBorder="1"/>
    <xf numFmtId="44" fontId="37" fillId="0" borderId="6" xfId="9" applyFont="1" applyBorder="1"/>
    <xf numFmtId="3" fontId="37" fillId="13" borderId="0" xfId="9" applyNumberFormat="1" applyFont="1" applyFill="1" applyBorder="1"/>
    <xf numFmtId="3" fontId="37" fillId="13" borderId="5" xfId="9" applyNumberFormat="1" applyFont="1" applyFill="1" applyBorder="1"/>
    <xf numFmtId="10" fontId="37" fillId="0" borderId="5" xfId="20" applyNumberFormat="1" applyFont="1" applyBorder="1"/>
    <xf numFmtId="198" fontId="37" fillId="0" borderId="0" xfId="17" applyNumberFormat="1" applyFont="1"/>
    <xf numFmtId="44" fontId="37" fillId="13" borderId="3" xfId="5" applyFont="1" applyFill="1" applyBorder="1"/>
    <xf numFmtId="3" fontId="37" fillId="13" borderId="3" xfId="9" applyNumberFormat="1" applyFont="1" applyFill="1" applyBorder="1"/>
    <xf numFmtId="3" fontId="37" fillId="13" borderId="52" xfId="9" applyNumberFormat="1" applyFont="1" applyFill="1" applyBorder="1"/>
    <xf numFmtId="44" fontId="37" fillId="13" borderId="0" xfId="5" applyFont="1" applyFill="1" applyBorder="1"/>
    <xf numFmtId="44" fontId="37" fillId="0" borderId="0" xfId="17" applyNumberFormat="1" applyFont="1"/>
    <xf numFmtId="44" fontId="37" fillId="13" borderId="5" xfId="5" applyFont="1" applyFill="1" applyBorder="1"/>
    <xf numFmtId="44" fontId="37" fillId="0" borderId="0" xfId="9" applyFont="1" applyAlignment="1">
      <alignment horizontal="center"/>
    </xf>
    <xf numFmtId="43" fontId="37" fillId="0" borderId="0" xfId="4" applyFont="1"/>
    <xf numFmtId="0" fontId="37" fillId="0" borderId="0" xfId="17" applyFont="1" applyAlignment="1">
      <alignment horizontal="left"/>
    </xf>
    <xf numFmtId="0" fontId="37" fillId="0" borderId="0" xfId="11" applyFont="1" applyAlignment="1">
      <alignment horizontal="left"/>
    </xf>
    <xf numFmtId="198" fontId="37" fillId="13" borderId="16" xfId="5" applyNumberFormat="1" applyFont="1" applyFill="1" applyBorder="1"/>
    <xf numFmtId="198" fontId="37" fillId="13" borderId="3" xfId="5" applyNumberFormat="1" applyFont="1" applyFill="1" applyBorder="1"/>
    <xf numFmtId="198" fontId="37" fillId="13" borderId="0" xfId="5" applyNumberFormat="1" applyFont="1" applyFill="1" applyBorder="1"/>
    <xf numFmtId="198" fontId="37" fillId="13" borderId="54" xfId="5" applyNumberFormat="1" applyFont="1" applyFill="1" applyBorder="1"/>
    <xf numFmtId="198" fontId="37" fillId="13" borderId="53" xfId="5" applyNumberFormat="1" applyFont="1" applyFill="1" applyBorder="1"/>
    <xf numFmtId="198" fontId="37" fillId="13" borderId="55" xfId="5" applyNumberFormat="1" applyFont="1" applyFill="1" applyBorder="1"/>
    <xf numFmtId="198" fontId="37" fillId="13" borderId="5" xfId="5" applyNumberFormat="1" applyFont="1" applyFill="1" applyBorder="1"/>
    <xf numFmtId="198" fontId="37" fillId="13" borderId="56" xfId="5" applyNumberFormat="1" applyFont="1" applyFill="1" applyBorder="1"/>
    <xf numFmtId="0" fontId="38" fillId="0" borderId="0" xfId="17" applyFont="1" applyAlignment="1">
      <alignment horizontal="left"/>
    </xf>
    <xf numFmtId="198" fontId="37" fillId="0" borderId="14" xfId="5" applyNumberFormat="1" applyFont="1" applyBorder="1"/>
    <xf numFmtId="198" fontId="37" fillId="0" borderId="6" xfId="5" applyNumberFormat="1" applyFont="1" applyBorder="1"/>
    <xf numFmtId="198" fontId="37" fillId="0" borderId="15" xfId="5" applyNumberFormat="1" applyFont="1" applyBorder="1"/>
    <xf numFmtId="4" fontId="37" fillId="0" borderId="0" xfId="9" applyNumberFormat="1" applyFont="1" applyBorder="1"/>
    <xf numFmtId="198" fontId="77" fillId="13" borderId="3" xfId="5" applyNumberFormat="1" applyFont="1" applyFill="1" applyBorder="1"/>
    <xf numFmtId="198" fontId="77" fillId="13" borderId="52" xfId="5" applyNumberFormat="1" applyFont="1" applyFill="1" applyBorder="1"/>
    <xf numFmtId="198" fontId="77" fillId="13" borderId="53" xfId="5" applyNumberFormat="1" applyFont="1" applyFill="1" applyBorder="1"/>
    <xf numFmtId="198" fontId="77" fillId="13" borderId="0" xfId="5" applyNumberFormat="1" applyFont="1" applyFill="1" applyBorder="1"/>
    <xf numFmtId="198" fontId="77" fillId="13" borderId="54" xfId="5" applyNumberFormat="1" applyFont="1" applyFill="1" applyBorder="1"/>
    <xf numFmtId="198" fontId="77" fillId="13" borderId="55" xfId="5" applyNumberFormat="1" applyFont="1" applyFill="1" applyBorder="1"/>
    <xf numFmtId="198" fontId="77" fillId="13" borderId="5" xfId="5" applyNumberFormat="1" applyFont="1" applyFill="1" applyBorder="1"/>
    <xf numFmtId="198" fontId="77" fillId="13" borderId="56" xfId="5" applyNumberFormat="1" applyFont="1" applyFill="1" applyBorder="1"/>
    <xf numFmtId="198" fontId="77" fillId="0" borderId="53" xfId="5" applyNumberFormat="1" applyFont="1" applyBorder="1"/>
    <xf numFmtId="198" fontId="77" fillId="0" borderId="0" xfId="5" applyNumberFormat="1" applyFont="1" applyBorder="1"/>
    <xf numFmtId="198" fontId="77" fillId="0" borderId="54" xfId="5" applyNumberFormat="1" applyFont="1" applyBorder="1"/>
    <xf numFmtId="198" fontId="37" fillId="0" borderId="28" xfId="5" applyNumberFormat="1" applyFont="1" applyBorder="1"/>
    <xf numFmtId="198" fontId="37" fillId="0" borderId="23" xfId="5" applyNumberFormat="1" applyFont="1" applyBorder="1"/>
    <xf numFmtId="198" fontId="37" fillId="0" borderId="27" xfId="5" applyNumberFormat="1" applyFont="1" applyBorder="1"/>
    <xf numFmtId="10" fontId="37" fillId="0" borderId="0" xfId="20" applyNumberFormat="1" applyFont="1"/>
    <xf numFmtId="0" fontId="37" fillId="0" borderId="0" xfId="0" applyFont="1" applyAlignment="1">
      <alignment horizontal="center" vertical="center" wrapText="1"/>
    </xf>
    <xf numFmtId="0" fontId="37" fillId="0" borderId="48" xfId="0" applyFont="1" applyBorder="1" applyAlignment="1">
      <alignment horizontal="center" vertical="center" wrapText="1"/>
    </xf>
    <xf numFmtId="1" fontId="74" fillId="0" borderId="18" xfId="1088" applyNumberFormat="1" applyFont="1" applyBorder="1" applyAlignment="1">
      <alignment wrapText="1"/>
    </xf>
    <xf numFmtId="1" fontId="74" fillId="0" borderId="19" xfId="1088" applyNumberFormat="1" applyFont="1" applyBorder="1" applyAlignment="1">
      <alignment wrapText="1"/>
    </xf>
    <xf numFmtId="44" fontId="74" fillId="0" borderId="26" xfId="5" applyFont="1" applyFill="1" applyBorder="1" applyAlignment="1">
      <alignment horizontal="center"/>
    </xf>
    <xf numFmtId="0" fontId="37" fillId="2" borderId="2" xfId="0" applyFont="1" applyFill="1" applyBorder="1"/>
    <xf numFmtId="10" fontId="38" fillId="0" borderId="2" xfId="18" applyNumberFormat="1" applyFont="1" applyBorder="1"/>
    <xf numFmtId="0" fontId="38" fillId="0" borderId="2" xfId="0" applyFont="1" applyBorder="1" applyAlignment="1">
      <alignment horizontal="right"/>
    </xf>
    <xf numFmtId="49" fontId="71" fillId="0" borderId="0" xfId="1" applyNumberFormat="1" applyFont="1" applyFill="1"/>
    <xf numFmtId="0" fontId="75" fillId="12" borderId="0" xfId="0" applyFont="1" applyFill="1"/>
    <xf numFmtId="0" fontId="37" fillId="17" borderId="0" xfId="0" applyFont="1" applyFill="1"/>
    <xf numFmtId="0" fontId="37" fillId="0" borderId="59" xfId="0" applyFont="1" applyBorder="1"/>
    <xf numFmtId="0" fontId="72" fillId="0" borderId="0" xfId="0" applyFont="1" applyAlignment="1">
      <alignment horizontal="right"/>
    </xf>
    <xf numFmtId="0" fontId="38" fillId="0" borderId="1" xfId="0" applyFont="1" applyFill="1" applyBorder="1" applyAlignment="1">
      <alignment horizontal="center" wrapText="1"/>
    </xf>
    <xf numFmtId="49" fontId="37" fillId="0" borderId="41" xfId="0" applyNumberFormat="1" applyFont="1" applyBorder="1" applyAlignment="1">
      <alignment horizontal="center"/>
    </xf>
    <xf numFmtId="0" fontId="38" fillId="0" borderId="0" xfId="0" applyFont="1" applyAlignment="1">
      <alignment horizontal="left"/>
    </xf>
    <xf numFmtId="44" fontId="74" fillId="13" borderId="49" xfId="5" applyFont="1" applyFill="1" applyBorder="1" applyAlignment="1">
      <alignment horizontal="center"/>
    </xf>
    <xf numFmtId="0" fontId="37" fillId="13" borderId="1" xfId="0" applyFont="1" applyFill="1" applyBorder="1" applyAlignment="1">
      <alignment horizontal="left"/>
    </xf>
    <xf numFmtId="44" fontId="74" fillId="13" borderId="28" xfId="5" applyFont="1" applyFill="1" applyBorder="1" applyAlignment="1">
      <alignment horizontal="center"/>
    </xf>
    <xf numFmtId="44" fontId="38" fillId="0" borderId="0" xfId="9" applyFont="1" applyBorder="1" applyAlignment="1">
      <alignment horizontal="center" wrapText="1"/>
    </xf>
    <xf numFmtId="0" fontId="37" fillId="0" borderId="1" xfId="1069" applyNumberFormat="1" applyFont="1" applyFill="1" applyBorder="1"/>
    <xf numFmtId="0" fontId="37" fillId="0" borderId="1" xfId="1" applyNumberFormat="1" applyFont="1" applyFill="1" applyBorder="1" applyAlignment="1">
      <alignment horizontal="center" wrapText="1"/>
    </xf>
    <xf numFmtId="44" fontId="37" fillId="0" borderId="7" xfId="5" applyNumberFormat="1" applyFont="1" applyFill="1" applyBorder="1" applyAlignment="1">
      <alignment horizontal="center"/>
    </xf>
    <xf numFmtId="9" fontId="74" fillId="13" borderId="27" xfId="18" applyFont="1" applyFill="1" applyBorder="1" applyAlignment="1">
      <alignment horizontal="center"/>
    </xf>
    <xf numFmtId="0" fontId="37" fillId="0" borderId="7" xfId="1069" applyNumberFormat="1" applyFont="1" applyFill="1" applyBorder="1"/>
    <xf numFmtId="39" fontId="37" fillId="0" borderId="7" xfId="1" applyNumberFormat="1" applyFont="1" applyFill="1" applyBorder="1" applyAlignment="1">
      <alignment horizontal="right"/>
    </xf>
    <xf numFmtId="39" fontId="37" fillId="0" borderId="7" xfId="252" applyNumberFormat="1" applyFont="1" applyFill="1" applyBorder="1" applyAlignment="1">
      <alignment horizontal="right"/>
    </xf>
    <xf numFmtId="44" fontId="37" fillId="0" borderId="0" xfId="5" applyFont="1"/>
    <xf numFmtId="0" fontId="75" fillId="18" borderId="0" xfId="0" applyFont="1" applyFill="1"/>
    <xf numFmtId="0" fontId="38" fillId="18" borderId="0" xfId="0" applyFont="1" applyFill="1"/>
    <xf numFmtId="0" fontId="38" fillId="0" borderId="6" xfId="0" applyFont="1" applyBorder="1" applyAlignment="1">
      <alignment horizontal="center" wrapText="1"/>
    </xf>
    <xf numFmtId="0" fontId="37" fillId="0" borderId="6" xfId="0" applyFont="1" applyBorder="1" applyAlignment="1">
      <alignment wrapText="1"/>
    </xf>
    <xf numFmtId="0" fontId="37" fillId="0" borderId="4" xfId="0" applyFont="1" applyFill="1" applyBorder="1" applyAlignment="1">
      <alignment horizontal="right"/>
    </xf>
    <xf numFmtId="0" fontId="38" fillId="0" borderId="25" xfId="0" applyFont="1" applyFill="1" applyBorder="1" applyAlignment="1">
      <alignment horizontal="right"/>
    </xf>
    <xf numFmtId="0" fontId="23" fillId="0" borderId="0" xfId="1031"/>
    <xf numFmtId="0" fontId="38" fillId="0" borderId="0" xfId="1031" applyFont="1"/>
    <xf numFmtId="0" fontId="38" fillId="0" borderId="0" xfId="1031" applyFont="1" applyAlignment="1">
      <alignment vertical="center"/>
    </xf>
    <xf numFmtId="10" fontId="73" fillId="0" borderId="0" xfId="18" applyNumberFormat="1" applyFont="1" applyBorder="1" applyAlignment="1">
      <alignment horizontal="center" vertical="center" wrapText="1"/>
    </xf>
    <xf numFmtId="0" fontId="74" fillId="0" borderId="0" xfId="1031" applyFont="1" applyAlignment="1">
      <alignment vertical="center"/>
    </xf>
    <xf numFmtId="0" fontId="37" fillId="0" borderId="0" xfId="1031" applyFont="1" applyAlignment="1">
      <alignment wrapText="1"/>
    </xf>
    <xf numFmtId="10" fontId="74" fillId="13" borderId="1" xfId="18" applyNumberFormat="1" applyFont="1" applyFill="1" applyBorder="1" applyAlignment="1">
      <alignment horizontal="center"/>
    </xf>
    <xf numFmtId="0" fontId="74" fillId="0" borderId="0" xfId="1031" applyFont="1"/>
    <xf numFmtId="0" fontId="37" fillId="0" borderId="0" xfId="1031" applyFont="1"/>
    <xf numFmtId="0" fontId="38" fillId="0" borderId="0" xfId="1031" applyFont="1" applyAlignment="1">
      <alignment vertical="center" wrapText="1"/>
    </xf>
    <xf numFmtId="0" fontId="38" fillId="0" borderId="0" xfId="1031" applyFont="1" applyAlignment="1">
      <alignment horizontal="center" vertical="center" wrapText="1"/>
    </xf>
    <xf numFmtId="0" fontId="24" fillId="0" borderId="0" xfId="1031" applyFont="1" applyAlignment="1">
      <alignment vertical="center" wrapText="1"/>
    </xf>
    <xf numFmtId="0" fontId="37" fillId="19" borderId="1" xfId="1031" applyFont="1" applyFill="1" applyBorder="1"/>
    <xf numFmtId="0" fontId="37" fillId="19" borderId="1" xfId="1031" applyFont="1" applyFill="1" applyBorder="1" applyAlignment="1">
      <alignment horizontal="center"/>
    </xf>
    <xf numFmtId="9" fontId="37" fillId="19" borderId="1" xfId="18" applyFont="1" applyFill="1" applyBorder="1" applyAlignment="1">
      <alignment horizontal="center"/>
    </xf>
    <xf numFmtId="0" fontId="38" fillId="0" borderId="0" xfId="1031" applyFont="1" applyAlignment="1">
      <alignment wrapText="1"/>
    </xf>
    <xf numFmtId="0" fontId="38" fillId="0" borderId="0" xfId="1031" applyFont="1" applyAlignment="1">
      <alignment horizontal="center"/>
    </xf>
    <xf numFmtId="0" fontId="24" fillId="0" borderId="0" xfId="1031" applyFont="1"/>
    <xf numFmtId="0" fontId="37" fillId="13" borderId="1" xfId="1031" applyFont="1" applyFill="1" applyBorder="1"/>
    <xf numFmtId="0" fontId="38" fillId="0" borderId="0" xfId="0" applyFont="1" applyAlignment="1">
      <alignment horizontal="center"/>
    </xf>
    <xf numFmtId="10" fontId="38" fillId="0" borderId="1" xfId="18" applyNumberFormat="1" applyFont="1" applyFill="1" applyBorder="1" applyAlignment="1">
      <alignment horizontal="center"/>
    </xf>
    <xf numFmtId="0" fontId="0" fillId="0" borderId="0" xfId="0" applyFill="1"/>
    <xf numFmtId="49" fontId="75" fillId="12" borderId="0" xfId="0" applyNumberFormat="1" applyFont="1" applyFill="1" applyAlignment="1">
      <alignment horizontal="center"/>
    </xf>
    <xf numFmtId="49" fontId="38" fillId="0" borderId="2" xfId="0" applyNumberFormat="1" applyFont="1" applyBorder="1" applyAlignment="1">
      <alignment horizontal="center" wrapText="1"/>
    </xf>
    <xf numFmtId="44" fontId="37" fillId="0" borderId="5" xfId="5" applyFont="1" applyBorder="1"/>
    <xf numFmtId="44" fontId="37" fillId="0" borderId="9" xfId="5" applyFont="1" applyBorder="1"/>
    <xf numFmtId="0" fontId="37" fillId="0" borderId="2" xfId="11" applyFont="1" applyBorder="1" applyAlignment="1"/>
    <xf numFmtId="0" fontId="79" fillId="0" borderId="0" xfId="11" applyFont="1" applyAlignment="1">
      <alignment horizontal="right"/>
    </xf>
    <xf numFmtId="0" fontId="38" fillId="0" borderId="0" xfId="0" applyFont="1" applyBorder="1" applyAlignment="1">
      <alignment horizontal="center" wrapText="1"/>
    </xf>
    <xf numFmtId="44" fontId="37" fillId="14" borderId="0" xfId="0" applyNumberFormat="1" applyFont="1" applyFill="1" applyBorder="1" applyAlignment="1">
      <alignment horizontal="center"/>
    </xf>
    <xf numFmtId="44" fontId="37" fillId="14" borderId="4" xfId="0" applyNumberFormat="1" applyFont="1" applyFill="1" applyBorder="1" applyAlignment="1">
      <alignment horizontal="center"/>
    </xf>
    <xf numFmtId="0" fontId="38" fillId="0" borderId="0" xfId="0" applyFont="1" applyAlignment="1">
      <alignment horizontal="center"/>
    </xf>
    <xf numFmtId="0" fontId="37" fillId="0" borderId="0" xfId="0" applyFont="1" applyAlignment="1">
      <alignment horizontal="left"/>
    </xf>
    <xf numFmtId="0" fontId="37" fillId="0" borderId="0" xfId="0" applyFont="1" applyAlignment="1">
      <alignment horizontal="left" wrapText="1"/>
    </xf>
    <xf numFmtId="1" fontId="74" fillId="0" borderId="18" xfId="1088" applyNumberFormat="1" applyFont="1" applyBorder="1" applyAlignment="1">
      <alignment horizontal="center" vertical="center" wrapText="1"/>
    </xf>
    <xf numFmtId="0" fontId="74" fillId="0" borderId="20" xfId="1088" applyFont="1" applyBorder="1" applyAlignment="1">
      <alignment horizontal="center" vertical="center" wrapText="1"/>
    </xf>
    <xf numFmtId="1" fontId="74" fillId="0" borderId="18" xfId="1088" applyNumberFormat="1" applyFont="1" applyBorder="1" applyAlignment="1">
      <alignment horizontal="center" vertical="center"/>
    </xf>
    <xf numFmtId="0" fontId="74" fillId="0" borderId="20" xfId="1088" applyFont="1" applyBorder="1" applyAlignment="1">
      <alignment horizontal="center" vertical="center"/>
    </xf>
    <xf numFmtId="1" fontId="74" fillId="0" borderId="19" xfId="1088" applyNumberFormat="1" applyFont="1" applyBorder="1" applyAlignment="1">
      <alignment horizontal="center" vertical="center" wrapText="1"/>
    </xf>
    <xf numFmtId="1" fontId="74" fillId="0" borderId="20" xfId="1088" applyNumberFormat="1" applyFont="1" applyBorder="1" applyAlignment="1">
      <alignment horizontal="center" vertical="center" wrapText="1"/>
    </xf>
    <xf numFmtId="10" fontId="38" fillId="0" borderId="28" xfId="18" applyNumberFormat="1" applyFont="1" applyFill="1" applyBorder="1" applyAlignment="1">
      <alignment horizontal="center"/>
    </xf>
    <xf numFmtId="10" fontId="38" fillId="0" borderId="23" xfId="18" applyNumberFormat="1" applyFont="1" applyFill="1" applyBorder="1" applyAlignment="1">
      <alignment horizontal="center"/>
    </xf>
    <xf numFmtId="10" fontId="38" fillId="0" borderId="27" xfId="18" applyNumberFormat="1" applyFont="1" applyFill="1" applyBorder="1" applyAlignment="1">
      <alignment horizontal="center"/>
    </xf>
    <xf numFmtId="37" fontId="38" fillId="0" borderId="16" xfId="1" applyNumberFormat="1" applyFont="1" applyFill="1" applyBorder="1" applyAlignment="1">
      <alignment horizontal="center" vertical="center"/>
    </xf>
    <xf numFmtId="37" fontId="38" fillId="0" borderId="52" xfId="1" applyNumberFormat="1" applyFont="1" applyFill="1" applyBorder="1" applyAlignment="1">
      <alignment horizontal="center" vertical="center"/>
    </xf>
    <xf numFmtId="37" fontId="38" fillId="0" borderId="14" xfId="1" applyNumberFormat="1" applyFont="1" applyFill="1" applyBorder="1" applyAlignment="1">
      <alignment horizontal="center" vertical="center"/>
    </xf>
    <xf numFmtId="37" fontId="38" fillId="0" borderId="15" xfId="1" applyNumberFormat="1" applyFont="1" applyFill="1" applyBorder="1" applyAlignment="1">
      <alignment horizontal="center" vertical="center"/>
    </xf>
    <xf numFmtId="0" fontId="37" fillId="0" borderId="33" xfId="1069" applyFont="1" applyFill="1" applyBorder="1" applyAlignment="1">
      <alignment horizontal="right" indent="1"/>
    </xf>
    <xf numFmtId="0" fontId="37" fillId="0" borderId="34" xfId="1069" applyFont="1" applyFill="1" applyBorder="1" applyAlignment="1">
      <alignment horizontal="right" indent="1"/>
    </xf>
    <xf numFmtId="0" fontId="37" fillId="0" borderId="35" xfId="1069" applyFont="1" applyFill="1" applyBorder="1" applyAlignment="1">
      <alignment horizontal="right" indent="1"/>
    </xf>
    <xf numFmtId="37" fontId="38" fillId="0" borderId="3" xfId="1" applyNumberFormat="1" applyFont="1" applyFill="1" applyBorder="1" applyAlignment="1">
      <alignment horizontal="center" vertical="center"/>
    </xf>
    <xf numFmtId="0" fontId="37" fillId="0" borderId="14" xfId="0" applyFont="1" applyBorder="1" applyAlignment="1">
      <alignment horizontal="center" vertical="center"/>
    </xf>
    <xf numFmtId="0" fontId="37" fillId="0" borderId="6" xfId="0" applyFont="1" applyBorder="1" applyAlignment="1">
      <alignment horizontal="center" vertical="center"/>
    </xf>
    <xf numFmtId="10" fontId="38" fillId="0" borderId="1" xfId="18" applyNumberFormat="1" applyFont="1" applyFill="1" applyBorder="1" applyAlignment="1">
      <alignment horizontal="center"/>
    </xf>
    <xf numFmtId="0" fontId="37" fillId="0" borderId="1" xfId="0" applyFont="1" applyBorder="1" applyAlignment="1">
      <alignment horizontal="center"/>
    </xf>
    <xf numFmtId="1" fontId="38" fillId="0" borderId="18" xfId="1" applyNumberFormat="1" applyFont="1" applyFill="1" applyBorder="1" applyAlignment="1">
      <alignment horizontal="right" indent="1"/>
    </xf>
    <xf numFmtId="1" fontId="38" fillId="0" borderId="19" xfId="1" applyNumberFormat="1" applyFont="1" applyFill="1" applyBorder="1" applyAlignment="1">
      <alignment horizontal="right" indent="1"/>
    </xf>
    <xf numFmtId="1" fontId="38" fillId="0" borderId="38" xfId="1" applyNumberFormat="1" applyFont="1" applyFill="1" applyBorder="1" applyAlignment="1">
      <alignment horizontal="right" indent="1"/>
    </xf>
    <xf numFmtId="0" fontId="37" fillId="0" borderId="0" xfId="1031" applyFont="1" applyAlignment="1">
      <alignment horizontal="left"/>
    </xf>
    <xf numFmtId="44" fontId="38" fillId="0" borderId="0" xfId="9" applyFont="1" applyBorder="1" applyAlignment="1">
      <alignment horizontal="center" wrapText="1"/>
    </xf>
    <xf numFmtId="44" fontId="38" fillId="0" borderId="6" xfId="9" applyFont="1" applyBorder="1" applyAlignment="1">
      <alignment horizontal="center" wrapText="1"/>
    </xf>
    <xf numFmtId="44" fontId="38" fillId="0" borderId="23" xfId="9" applyFont="1" applyBorder="1" applyAlignment="1">
      <alignment horizontal="center" wrapText="1"/>
    </xf>
    <xf numFmtId="44" fontId="38" fillId="0" borderId="27" xfId="9" applyFont="1" applyBorder="1" applyAlignment="1">
      <alignment horizontal="center" wrapText="1"/>
    </xf>
  </cellXfs>
  <cellStyles count="18033">
    <cellStyle name="$0dec(,)" xfId="846" xr:uid="{00000000-0005-0000-0000-000000000000}"/>
    <cellStyle name="$1dec(,)" xfId="847" xr:uid="{00000000-0005-0000-0000-000001000000}"/>
    <cellStyle name="$2dec(,)" xfId="848" xr:uid="{00000000-0005-0000-0000-000002000000}"/>
    <cellStyle name="%0dec(,)" xfId="849" xr:uid="{00000000-0005-0000-0000-000003000000}"/>
    <cellStyle name="%1dec(,)" xfId="850" xr:uid="{00000000-0005-0000-0000-000004000000}"/>
    <cellStyle name="%2dec(,)" xfId="851" xr:uid="{00000000-0005-0000-0000-000005000000}"/>
    <cellStyle name="_1411_package" xfId="852" xr:uid="{00000000-0005-0000-0000-000006000000}"/>
    <cellStyle name="_aiews 1411_package" xfId="853" xr:uid="{00000000-0005-0000-0000-000007000000}"/>
    <cellStyle name="_Copy of OMV Van Pricing Matrix IDIQ_v6" xfId="854" xr:uid="{00000000-0005-0000-0000-000008000000}"/>
    <cellStyle name="_FBI NGI Labor Map v13a (FRO), 30 Oct 07 (fee change)" xfId="855" xr:uid="{00000000-0005-0000-0000-000009000000}"/>
    <cellStyle name="_LOG TC II 24Mar08 to 23 Mar09(final)" xfId="856" xr:uid="{00000000-0005-0000-0000-00000A000000}"/>
    <cellStyle name="’Ê‰Ý [0.00]_laroux" xfId="857" xr:uid="{00000000-0005-0000-0000-00000B000000}"/>
    <cellStyle name="’Ê‰Ý_laroux" xfId="858" xr:uid="{00000000-0005-0000-0000-00000C000000}"/>
    <cellStyle name="=C:\WINDOWS\SYSTEM32\COMMAND.COM" xfId="859" xr:uid="{00000000-0005-0000-0000-00000D000000}"/>
    <cellStyle name="•W€_laroux" xfId="861" xr:uid="{00000000-0005-0000-0000-00000E000000}"/>
    <cellStyle name="•W_laroux" xfId="860" xr:uid="{00000000-0005-0000-0000-00000F000000}"/>
    <cellStyle name="0dec(,)" xfId="862" xr:uid="{00000000-0005-0000-0000-000010000000}"/>
    <cellStyle name="0dec(,)for%fmt" xfId="863" xr:uid="{00000000-0005-0000-0000-000011000000}"/>
    <cellStyle name="1dec(,)" xfId="864" xr:uid="{00000000-0005-0000-0000-000012000000}"/>
    <cellStyle name="1dec(,)for%fmt" xfId="865" xr:uid="{00000000-0005-0000-0000-000013000000}"/>
    <cellStyle name="2dec(,)" xfId="866" xr:uid="{00000000-0005-0000-0000-000014000000}"/>
    <cellStyle name="2dec(,)for%fmt" xfId="867" xr:uid="{00000000-0005-0000-0000-000015000000}"/>
    <cellStyle name="5" xfId="868" xr:uid="{00000000-0005-0000-0000-000016000000}"/>
    <cellStyle name="5_0" xfId="869" xr:uid="{00000000-0005-0000-0000-000017000000}"/>
    <cellStyle name="5_1" xfId="870" xr:uid="{00000000-0005-0000-0000-000018000000}"/>
    <cellStyle name="5_1R" xfId="871" xr:uid="{00000000-0005-0000-0000-000019000000}"/>
    <cellStyle name="5_2" xfId="872" xr:uid="{00000000-0005-0000-0000-00001A000000}"/>
    <cellStyle name="5_2R" xfId="873" xr:uid="{00000000-0005-0000-0000-00001B000000}"/>
    <cellStyle name="5_3" xfId="874" xr:uid="{00000000-0005-0000-0000-00001C000000}"/>
    <cellStyle name="5_3R" xfId="875" xr:uid="{00000000-0005-0000-0000-00001D000000}"/>
    <cellStyle name="5_Burdens" xfId="876" xr:uid="{00000000-0005-0000-0000-00001E000000}"/>
    <cellStyle name="5_Escalation" xfId="877" xr:uid="{00000000-0005-0000-0000-00001F000000}"/>
    <cellStyle name="5_Hours" xfId="878" xr:uid="{00000000-0005-0000-0000-000020000000}"/>
    <cellStyle name="5_Indirects" xfId="879" xr:uid="{00000000-0005-0000-0000-000021000000}"/>
    <cellStyle name="5_Lookup" xfId="880" xr:uid="{00000000-0005-0000-0000-000022000000}"/>
    <cellStyle name="5_Map" xfId="881" xr:uid="{00000000-0005-0000-0000-000023000000}"/>
    <cellStyle name="5_ODC" xfId="882" xr:uid="{00000000-0005-0000-0000-000024000000}"/>
    <cellStyle name="5_PCO" xfId="883" xr:uid="{00000000-0005-0000-0000-000025000000}"/>
    <cellStyle name="5_Salary" xfId="884" xr:uid="{00000000-0005-0000-0000-000026000000}"/>
    <cellStyle name="5_Staff" xfId="885" xr:uid="{00000000-0005-0000-0000-000027000000}"/>
    <cellStyle name="5_Summary" xfId="886" xr:uid="{00000000-0005-0000-0000-000028000000}"/>
    <cellStyle name="acct" xfId="887" xr:uid="{00000000-0005-0000-0000-000029000000}"/>
    <cellStyle name="aPrice" xfId="888" xr:uid="{00000000-0005-0000-0000-00002A000000}"/>
    <cellStyle name="Body" xfId="889" xr:uid="{00000000-0005-0000-0000-00002B000000}"/>
    <cellStyle name="Budget" xfId="890" xr:uid="{00000000-0005-0000-0000-00002C000000}"/>
    <cellStyle name="c2" xfId="891" xr:uid="{00000000-0005-0000-0000-00002D000000}"/>
    <cellStyle name="c60" xfId="892" xr:uid="{00000000-0005-0000-0000-00002E000000}"/>
    <cellStyle name="Calc Currency (0)" xfId="893" xr:uid="{00000000-0005-0000-0000-00002F000000}"/>
    <cellStyle name="Calc Currency (2)" xfId="894" xr:uid="{00000000-0005-0000-0000-000030000000}"/>
    <cellStyle name="Calc Percent (0)" xfId="895" xr:uid="{00000000-0005-0000-0000-000031000000}"/>
    <cellStyle name="Calc Percent (1)" xfId="896" xr:uid="{00000000-0005-0000-0000-000032000000}"/>
    <cellStyle name="Calc Percent (2)" xfId="897" xr:uid="{00000000-0005-0000-0000-000033000000}"/>
    <cellStyle name="Calc Units (0)" xfId="898" xr:uid="{00000000-0005-0000-0000-000034000000}"/>
    <cellStyle name="Calc Units (1)" xfId="899" xr:uid="{00000000-0005-0000-0000-000035000000}"/>
    <cellStyle name="Calc Units (2)" xfId="900" xr:uid="{00000000-0005-0000-0000-000036000000}"/>
    <cellStyle name="Calcul" xfId="901" xr:uid="{00000000-0005-0000-0000-000037000000}"/>
    <cellStyle name="category" xfId="902" xr:uid="{00000000-0005-0000-0000-000038000000}"/>
    <cellStyle name="Comma" xfId="1" builtinId="3"/>
    <cellStyle name="Comma [00]" xfId="903" xr:uid="{00000000-0005-0000-0000-00003A000000}"/>
    <cellStyle name="Comma 10" xfId="1025" xr:uid="{00000000-0005-0000-0000-00003B000000}"/>
    <cellStyle name="Comma 10 2" xfId="1105" xr:uid="{00000000-0005-0000-0000-00003C000000}"/>
    <cellStyle name="Comma 10 2 2" xfId="7763" xr:uid="{00000000-0005-0000-0000-00003D000000}"/>
    <cellStyle name="Comma 10 3" xfId="1928" xr:uid="{00000000-0005-0000-0000-00003E000000}"/>
    <cellStyle name="Comma 10 3 2" xfId="8576" xr:uid="{00000000-0005-0000-0000-00003F000000}"/>
    <cellStyle name="Comma 10 4" xfId="2746" xr:uid="{00000000-0005-0000-0000-000040000000}"/>
    <cellStyle name="Comma 10 4 2" xfId="9391" xr:uid="{00000000-0005-0000-0000-000041000000}"/>
    <cellStyle name="Comma 10 5" xfId="3568" xr:uid="{00000000-0005-0000-0000-000042000000}"/>
    <cellStyle name="Comma 10 5 2" xfId="10209" xr:uid="{00000000-0005-0000-0000-000043000000}"/>
    <cellStyle name="Comma 10 6" xfId="4380" xr:uid="{00000000-0005-0000-0000-000044000000}"/>
    <cellStyle name="Comma 10 6 2" xfId="11019" xr:uid="{00000000-0005-0000-0000-000045000000}"/>
    <cellStyle name="Comma 10 7" xfId="5190" xr:uid="{00000000-0005-0000-0000-000046000000}"/>
    <cellStyle name="Comma 10 7 2" xfId="11828" xr:uid="{00000000-0005-0000-0000-000047000000}"/>
    <cellStyle name="Comma 10 8" xfId="7706" xr:uid="{00000000-0005-0000-0000-000048000000}"/>
    <cellStyle name="Comma 10 9" xfId="6085" xr:uid="{00000000-0005-0000-0000-000049000000}"/>
    <cellStyle name="Comma 11" xfId="1028" xr:uid="{00000000-0005-0000-0000-00004A000000}"/>
    <cellStyle name="Comma 11 2" xfId="1106" xr:uid="{00000000-0005-0000-0000-00004B000000}"/>
    <cellStyle name="Comma 11 2 2" xfId="7764" xr:uid="{00000000-0005-0000-0000-00004C000000}"/>
    <cellStyle name="Comma 11 3" xfId="1929" xr:uid="{00000000-0005-0000-0000-00004D000000}"/>
    <cellStyle name="Comma 11 3 2" xfId="8577" xr:uid="{00000000-0005-0000-0000-00004E000000}"/>
    <cellStyle name="Comma 11 4" xfId="2747" xr:uid="{00000000-0005-0000-0000-00004F000000}"/>
    <cellStyle name="Comma 11 4 2" xfId="9392" xr:uid="{00000000-0005-0000-0000-000050000000}"/>
    <cellStyle name="Comma 11 5" xfId="3569" xr:uid="{00000000-0005-0000-0000-000051000000}"/>
    <cellStyle name="Comma 11 5 2" xfId="10210" xr:uid="{00000000-0005-0000-0000-000052000000}"/>
    <cellStyle name="Comma 11 6" xfId="4381" xr:uid="{00000000-0005-0000-0000-000053000000}"/>
    <cellStyle name="Comma 11 6 2" xfId="11020" xr:uid="{00000000-0005-0000-0000-000054000000}"/>
    <cellStyle name="Comma 11 7" xfId="5191" xr:uid="{00000000-0005-0000-0000-000055000000}"/>
    <cellStyle name="Comma 11 7 2" xfId="11829" xr:uid="{00000000-0005-0000-0000-000056000000}"/>
    <cellStyle name="Comma 11 8" xfId="7709" xr:uid="{00000000-0005-0000-0000-000057000000}"/>
    <cellStyle name="Comma 11 9" xfId="6086" xr:uid="{00000000-0005-0000-0000-000058000000}"/>
    <cellStyle name="Comma 12" xfId="1059" xr:uid="{00000000-0005-0000-0000-000059000000}"/>
    <cellStyle name="Comma 12 2" xfId="1107" xr:uid="{00000000-0005-0000-0000-00005A000000}"/>
    <cellStyle name="Comma 12 2 2" xfId="7765" xr:uid="{00000000-0005-0000-0000-00005B000000}"/>
    <cellStyle name="Comma 12 3" xfId="1930" xr:uid="{00000000-0005-0000-0000-00005C000000}"/>
    <cellStyle name="Comma 12 3 2" xfId="8578" xr:uid="{00000000-0005-0000-0000-00005D000000}"/>
    <cellStyle name="Comma 12 4" xfId="2748" xr:uid="{00000000-0005-0000-0000-00005E000000}"/>
    <cellStyle name="Comma 12 4 2" xfId="9393" xr:uid="{00000000-0005-0000-0000-00005F000000}"/>
    <cellStyle name="Comma 12 5" xfId="3570" xr:uid="{00000000-0005-0000-0000-000060000000}"/>
    <cellStyle name="Comma 12 5 2" xfId="10211" xr:uid="{00000000-0005-0000-0000-000061000000}"/>
    <cellStyle name="Comma 12 6" xfId="4382" xr:uid="{00000000-0005-0000-0000-000062000000}"/>
    <cellStyle name="Comma 12 6 2" xfId="11021" xr:uid="{00000000-0005-0000-0000-000063000000}"/>
    <cellStyle name="Comma 12 7" xfId="5192" xr:uid="{00000000-0005-0000-0000-000064000000}"/>
    <cellStyle name="Comma 12 7 2" xfId="11830" xr:uid="{00000000-0005-0000-0000-000065000000}"/>
    <cellStyle name="Comma 12 8" xfId="7723" xr:uid="{00000000-0005-0000-0000-000066000000}"/>
    <cellStyle name="Comma 12 9" xfId="6087" xr:uid="{00000000-0005-0000-0000-000067000000}"/>
    <cellStyle name="Comma 13" xfId="1061" xr:uid="{00000000-0005-0000-0000-000068000000}"/>
    <cellStyle name="Comma 13 2" xfId="1108" xr:uid="{00000000-0005-0000-0000-000069000000}"/>
    <cellStyle name="Comma 13 2 2" xfId="7766" xr:uid="{00000000-0005-0000-0000-00006A000000}"/>
    <cellStyle name="Comma 13 3" xfId="1931" xr:uid="{00000000-0005-0000-0000-00006B000000}"/>
    <cellStyle name="Comma 13 3 2" xfId="8579" xr:uid="{00000000-0005-0000-0000-00006C000000}"/>
    <cellStyle name="Comma 13 4" xfId="2749" xr:uid="{00000000-0005-0000-0000-00006D000000}"/>
    <cellStyle name="Comma 13 4 2" xfId="9394" xr:uid="{00000000-0005-0000-0000-00006E000000}"/>
    <cellStyle name="Comma 13 5" xfId="3571" xr:uid="{00000000-0005-0000-0000-00006F000000}"/>
    <cellStyle name="Comma 13 5 2" xfId="10212" xr:uid="{00000000-0005-0000-0000-000070000000}"/>
    <cellStyle name="Comma 13 6" xfId="4383" xr:uid="{00000000-0005-0000-0000-000071000000}"/>
    <cellStyle name="Comma 13 6 2" xfId="11022" xr:uid="{00000000-0005-0000-0000-000072000000}"/>
    <cellStyle name="Comma 13 7" xfId="5193" xr:uid="{00000000-0005-0000-0000-000073000000}"/>
    <cellStyle name="Comma 13 7 2" xfId="11831" xr:uid="{00000000-0005-0000-0000-000074000000}"/>
    <cellStyle name="Comma 13 8" xfId="7725" xr:uid="{00000000-0005-0000-0000-000075000000}"/>
    <cellStyle name="Comma 13 9" xfId="6088" xr:uid="{00000000-0005-0000-0000-000076000000}"/>
    <cellStyle name="Comma 14" xfId="1055" xr:uid="{00000000-0005-0000-0000-000077000000}"/>
    <cellStyle name="Comma 14 2" xfId="1109" xr:uid="{00000000-0005-0000-0000-000078000000}"/>
    <cellStyle name="Comma 14 2 2" xfId="7767" xr:uid="{00000000-0005-0000-0000-000079000000}"/>
    <cellStyle name="Comma 14 3" xfId="1932" xr:uid="{00000000-0005-0000-0000-00007A000000}"/>
    <cellStyle name="Comma 14 3 2" xfId="8580" xr:uid="{00000000-0005-0000-0000-00007B000000}"/>
    <cellStyle name="Comma 14 4" xfId="2750" xr:uid="{00000000-0005-0000-0000-00007C000000}"/>
    <cellStyle name="Comma 14 4 2" xfId="9395" xr:uid="{00000000-0005-0000-0000-00007D000000}"/>
    <cellStyle name="Comma 14 5" xfId="3572" xr:uid="{00000000-0005-0000-0000-00007E000000}"/>
    <cellStyle name="Comma 14 5 2" xfId="10213" xr:uid="{00000000-0005-0000-0000-00007F000000}"/>
    <cellStyle name="Comma 14 6" xfId="4384" xr:uid="{00000000-0005-0000-0000-000080000000}"/>
    <cellStyle name="Comma 14 6 2" xfId="11023" xr:uid="{00000000-0005-0000-0000-000081000000}"/>
    <cellStyle name="Comma 14 7" xfId="5194" xr:uid="{00000000-0005-0000-0000-000082000000}"/>
    <cellStyle name="Comma 14 7 2" xfId="11832" xr:uid="{00000000-0005-0000-0000-000083000000}"/>
    <cellStyle name="Comma 14 8" xfId="7719" xr:uid="{00000000-0005-0000-0000-000084000000}"/>
    <cellStyle name="Comma 14 9" xfId="6089" xr:uid="{00000000-0005-0000-0000-000085000000}"/>
    <cellStyle name="Comma 15" xfId="1077" xr:uid="{00000000-0005-0000-0000-000086000000}"/>
    <cellStyle name="Comma 15 2" xfId="1905" xr:uid="{00000000-0005-0000-0000-000087000000}"/>
    <cellStyle name="Comma 15 2 2" xfId="8559" xr:uid="{00000000-0005-0000-0000-000088000000}"/>
    <cellStyle name="Comma 15 3" xfId="2724" xr:uid="{00000000-0005-0000-0000-000089000000}"/>
    <cellStyle name="Comma 15 3 2" xfId="9372" xr:uid="{00000000-0005-0000-0000-00008A000000}"/>
    <cellStyle name="Comma 15 4" xfId="3547" xr:uid="{00000000-0005-0000-0000-00008B000000}"/>
    <cellStyle name="Comma 15 4 2" xfId="10191" xr:uid="{00000000-0005-0000-0000-00008C000000}"/>
    <cellStyle name="Comma 15 5" xfId="4364" xr:uid="{00000000-0005-0000-0000-00008D000000}"/>
    <cellStyle name="Comma 15 5 2" xfId="11004" xr:uid="{00000000-0005-0000-0000-00008E000000}"/>
    <cellStyle name="Comma 15 6" xfId="5175" xr:uid="{00000000-0005-0000-0000-00008F000000}"/>
    <cellStyle name="Comma 15 6 2" xfId="11814" xr:uid="{00000000-0005-0000-0000-000090000000}"/>
    <cellStyle name="Comma 15 7" xfId="5985" xr:uid="{00000000-0005-0000-0000-000091000000}"/>
    <cellStyle name="Comma 15 7 2" xfId="12623" xr:uid="{00000000-0005-0000-0000-000092000000}"/>
    <cellStyle name="Comma 15 8" xfId="7738" xr:uid="{00000000-0005-0000-0000-000093000000}"/>
    <cellStyle name="Comma 15 9" xfId="6925" xr:uid="{00000000-0005-0000-0000-000094000000}"/>
    <cellStyle name="Comma 16" xfId="1079" xr:uid="{00000000-0005-0000-0000-000095000000}"/>
    <cellStyle name="Comma 16 2" xfId="7740" xr:uid="{00000000-0005-0000-0000-000096000000}"/>
    <cellStyle name="Comma 17" xfId="1082" xr:uid="{00000000-0005-0000-0000-000097000000}"/>
    <cellStyle name="Comma 17 2" xfId="7743" xr:uid="{00000000-0005-0000-0000-000098000000}"/>
    <cellStyle name="Comma 18" xfId="1084" xr:uid="{00000000-0005-0000-0000-000099000000}"/>
    <cellStyle name="Comma 18 2" xfId="7745" xr:uid="{00000000-0005-0000-0000-00009A000000}"/>
    <cellStyle name="Comma 19" xfId="1086" xr:uid="{00000000-0005-0000-0000-00009B000000}"/>
    <cellStyle name="Comma 19 2" xfId="7747" xr:uid="{00000000-0005-0000-0000-00009C000000}"/>
    <cellStyle name="Comma 2" xfId="2" xr:uid="{00000000-0005-0000-0000-00009D000000}"/>
    <cellStyle name="Comma 2 10" xfId="3559" xr:uid="{00000000-0005-0000-0000-00009E000000}"/>
    <cellStyle name="Comma 2 10 2" xfId="10200" xr:uid="{00000000-0005-0000-0000-00009F000000}"/>
    <cellStyle name="Comma 2 11" xfId="4371" xr:uid="{00000000-0005-0000-0000-0000A0000000}"/>
    <cellStyle name="Comma 2 11 2" xfId="11010" xr:uid="{00000000-0005-0000-0000-0000A1000000}"/>
    <cellStyle name="Comma 2 12" xfId="5181" xr:uid="{00000000-0005-0000-0000-0000A2000000}"/>
    <cellStyle name="Comma 2 12 2" xfId="11819" xr:uid="{00000000-0005-0000-0000-0000A3000000}"/>
    <cellStyle name="Comma 2 13" xfId="6073" xr:uid="{00000000-0005-0000-0000-0000A4000000}"/>
    <cellStyle name="Comma 2 2" xfId="50" xr:uid="{00000000-0005-0000-0000-0000A5000000}"/>
    <cellStyle name="Comma 2 2 2" xfId="252" xr:uid="{00000000-0005-0000-0000-0000A6000000}"/>
    <cellStyle name="Comma 2 3" xfId="76" xr:uid="{00000000-0005-0000-0000-0000A7000000}"/>
    <cellStyle name="Comma 2 4" xfId="32" xr:uid="{00000000-0005-0000-0000-0000A8000000}"/>
    <cellStyle name="Comma 2 4 2" xfId="261" xr:uid="{00000000-0005-0000-0000-0000A9000000}"/>
    <cellStyle name="Comma 2 5" xfId="1043" xr:uid="{00000000-0005-0000-0000-0000AA000000}"/>
    <cellStyle name="Comma 2 5 2" xfId="1111" xr:uid="{00000000-0005-0000-0000-0000AB000000}"/>
    <cellStyle name="Comma 2 5 2 2" xfId="7768" xr:uid="{00000000-0005-0000-0000-0000AC000000}"/>
    <cellStyle name="Comma 2 5 3" xfId="1933" xr:uid="{00000000-0005-0000-0000-0000AD000000}"/>
    <cellStyle name="Comma 2 5 3 2" xfId="8581" xr:uid="{00000000-0005-0000-0000-0000AE000000}"/>
    <cellStyle name="Comma 2 5 4" xfId="2751" xr:uid="{00000000-0005-0000-0000-0000AF000000}"/>
    <cellStyle name="Comma 2 5 4 2" xfId="9396" xr:uid="{00000000-0005-0000-0000-0000B0000000}"/>
    <cellStyle name="Comma 2 5 5" xfId="3573" xr:uid="{00000000-0005-0000-0000-0000B1000000}"/>
    <cellStyle name="Comma 2 5 5 2" xfId="10214" xr:uid="{00000000-0005-0000-0000-0000B2000000}"/>
    <cellStyle name="Comma 2 5 6" xfId="4385" xr:uid="{00000000-0005-0000-0000-0000B3000000}"/>
    <cellStyle name="Comma 2 5 6 2" xfId="11024" xr:uid="{00000000-0005-0000-0000-0000B4000000}"/>
    <cellStyle name="Comma 2 5 7" xfId="5195" xr:uid="{00000000-0005-0000-0000-0000B5000000}"/>
    <cellStyle name="Comma 2 5 7 2" xfId="11833" xr:uid="{00000000-0005-0000-0000-0000B6000000}"/>
    <cellStyle name="Comma 2 5 8" xfId="7713" xr:uid="{00000000-0005-0000-0000-0000B7000000}"/>
    <cellStyle name="Comma 2 5 9" xfId="6092" xr:uid="{00000000-0005-0000-0000-0000B8000000}"/>
    <cellStyle name="Comma 2 6" xfId="1065" xr:uid="{00000000-0005-0000-0000-0000B9000000}"/>
    <cellStyle name="Comma 2 6 2" xfId="1112" xr:uid="{00000000-0005-0000-0000-0000BA000000}"/>
    <cellStyle name="Comma 2 6 2 2" xfId="7769" xr:uid="{00000000-0005-0000-0000-0000BB000000}"/>
    <cellStyle name="Comma 2 6 3" xfId="1934" xr:uid="{00000000-0005-0000-0000-0000BC000000}"/>
    <cellStyle name="Comma 2 6 3 2" xfId="8582" xr:uid="{00000000-0005-0000-0000-0000BD000000}"/>
    <cellStyle name="Comma 2 6 4" xfId="2752" xr:uid="{00000000-0005-0000-0000-0000BE000000}"/>
    <cellStyle name="Comma 2 6 4 2" xfId="9397" xr:uid="{00000000-0005-0000-0000-0000BF000000}"/>
    <cellStyle name="Comma 2 6 5" xfId="3574" xr:uid="{00000000-0005-0000-0000-0000C0000000}"/>
    <cellStyle name="Comma 2 6 5 2" xfId="10215" xr:uid="{00000000-0005-0000-0000-0000C1000000}"/>
    <cellStyle name="Comma 2 6 6" xfId="4386" xr:uid="{00000000-0005-0000-0000-0000C2000000}"/>
    <cellStyle name="Comma 2 6 6 2" xfId="11025" xr:uid="{00000000-0005-0000-0000-0000C3000000}"/>
    <cellStyle name="Comma 2 6 7" xfId="5196" xr:uid="{00000000-0005-0000-0000-0000C4000000}"/>
    <cellStyle name="Comma 2 6 7 2" xfId="11834" xr:uid="{00000000-0005-0000-0000-0000C5000000}"/>
    <cellStyle name="Comma 2 6 8" xfId="7729" xr:uid="{00000000-0005-0000-0000-0000C6000000}"/>
    <cellStyle name="Comma 2 6 9" xfId="6093" xr:uid="{00000000-0005-0000-0000-0000C7000000}"/>
    <cellStyle name="Comma 2 7" xfId="1095" xr:uid="{00000000-0005-0000-0000-0000C8000000}"/>
    <cellStyle name="Comma 2 7 2" xfId="7753" xr:uid="{00000000-0005-0000-0000-0000C9000000}"/>
    <cellStyle name="Comma 2 8" xfId="1919" xr:uid="{00000000-0005-0000-0000-0000CA000000}"/>
    <cellStyle name="Comma 2 8 2" xfId="8567" xr:uid="{00000000-0005-0000-0000-0000CB000000}"/>
    <cellStyle name="Comma 2 9" xfId="2737" xr:uid="{00000000-0005-0000-0000-0000CC000000}"/>
    <cellStyle name="Comma 2 9 2" xfId="9382" xr:uid="{00000000-0005-0000-0000-0000CD000000}"/>
    <cellStyle name="Comma 3" xfId="3" xr:uid="{00000000-0005-0000-0000-0000CE000000}"/>
    <cellStyle name="Comma 3 2" xfId="35" xr:uid="{00000000-0005-0000-0000-0000CF000000}"/>
    <cellStyle name="Comma 3 2 2" xfId="262" xr:uid="{00000000-0005-0000-0000-0000D0000000}"/>
    <cellStyle name="Comma 3 3" xfId="1048" xr:uid="{00000000-0005-0000-0000-0000D1000000}"/>
    <cellStyle name="Comma 3 3 2" xfId="1113" xr:uid="{00000000-0005-0000-0000-0000D2000000}"/>
    <cellStyle name="Comma 3 3 3" xfId="2753" xr:uid="{00000000-0005-0000-0000-0000D3000000}"/>
    <cellStyle name="Comma 3 3 3 2" xfId="9398" xr:uid="{00000000-0005-0000-0000-0000D4000000}"/>
    <cellStyle name="Comma 3 3 4" xfId="7716" xr:uid="{00000000-0005-0000-0000-0000D5000000}"/>
    <cellStyle name="Comma 4" xfId="4" xr:uid="{00000000-0005-0000-0000-0000D6000000}"/>
    <cellStyle name="Comma 4 2" xfId="44" xr:uid="{00000000-0005-0000-0000-0000D7000000}"/>
    <cellStyle name="Comma 5" xfId="46" xr:uid="{00000000-0005-0000-0000-0000D8000000}"/>
    <cellStyle name="Comma 5 2" xfId="259" xr:uid="{00000000-0005-0000-0000-0000D9000000}"/>
    <cellStyle name="Comma 6" xfId="61" xr:uid="{00000000-0005-0000-0000-0000DA000000}"/>
    <cellStyle name="Comma 6 2" xfId="103" xr:uid="{00000000-0005-0000-0000-0000DB000000}"/>
    <cellStyle name="Comma 7" xfId="24" xr:uid="{00000000-0005-0000-0000-0000DC000000}"/>
    <cellStyle name="Comma 7 2" xfId="263" xr:uid="{00000000-0005-0000-0000-0000DD000000}"/>
    <cellStyle name="Comma 8" xfId="250" xr:uid="{00000000-0005-0000-0000-0000DE000000}"/>
    <cellStyle name="Comma 9" xfId="1022" xr:uid="{00000000-0005-0000-0000-0000DF000000}"/>
    <cellStyle name="Comma 9 2" xfId="1115" xr:uid="{00000000-0005-0000-0000-0000E0000000}"/>
    <cellStyle name="Comma 9 2 2" xfId="7770" xr:uid="{00000000-0005-0000-0000-0000E1000000}"/>
    <cellStyle name="Comma 9 3" xfId="1935" xr:uid="{00000000-0005-0000-0000-0000E2000000}"/>
    <cellStyle name="Comma 9 3 2" xfId="8583" xr:uid="{00000000-0005-0000-0000-0000E3000000}"/>
    <cellStyle name="Comma 9 4" xfId="2754" xr:uid="{00000000-0005-0000-0000-0000E4000000}"/>
    <cellStyle name="Comma 9 4 2" xfId="9399" xr:uid="{00000000-0005-0000-0000-0000E5000000}"/>
    <cellStyle name="Comma 9 5" xfId="3575" xr:uid="{00000000-0005-0000-0000-0000E6000000}"/>
    <cellStyle name="Comma 9 5 2" xfId="10216" xr:uid="{00000000-0005-0000-0000-0000E7000000}"/>
    <cellStyle name="Comma 9 6" xfId="4387" xr:uid="{00000000-0005-0000-0000-0000E8000000}"/>
    <cellStyle name="Comma 9 6 2" xfId="11026" xr:uid="{00000000-0005-0000-0000-0000E9000000}"/>
    <cellStyle name="Comma 9 7" xfId="5197" xr:uid="{00000000-0005-0000-0000-0000EA000000}"/>
    <cellStyle name="Comma 9 7 2" xfId="11835" xr:uid="{00000000-0005-0000-0000-0000EB000000}"/>
    <cellStyle name="Comma 9 8" xfId="7703" xr:uid="{00000000-0005-0000-0000-0000EC000000}"/>
    <cellStyle name="Comma 9 9" xfId="6100" xr:uid="{00000000-0005-0000-0000-0000ED000000}"/>
    <cellStyle name="Comma0" xfId="904" xr:uid="{00000000-0005-0000-0000-0000EE000000}"/>
    <cellStyle name="Comma0 - Style2" xfId="905" xr:uid="{00000000-0005-0000-0000-0000EF000000}"/>
    <cellStyle name="Comma0 - Style3" xfId="906" xr:uid="{00000000-0005-0000-0000-0000F0000000}"/>
    <cellStyle name="Comma0 - Style5" xfId="907" xr:uid="{00000000-0005-0000-0000-0000F1000000}"/>
    <cellStyle name="Comma0_Copy of OMV Van Pricing Matrix IDIQ_v6" xfId="908" xr:uid="{00000000-0005-0000-0000-0000F2000000}"/>
    <cellStyle name="Comma1 - Style1" xfId="909" xr:uid="{00000000-0005-0000-0000-0000F3000000}"/>
    <cellStyle name="ContentsHyperlink" xfId="910" xr:uid="{00000000-0005-0000-0000-0000F4000000}"/>
    <cellStyle name="Corps de tableau" xfId="911" xr:uid="{00000000-0005-0000-0000-0000F5000000}"/>
    <cellStyle name="Curren - Style2" xfId="912" xr:uid="{00000000-0005-0000-0000-0000F6000000}"/>
    <cellStyle name="Curren - Style5" xfId="913" xr:uid="{00000000-0005-0000-0000-0000F7000000}"/>
    <cellStyle name="Curren - Style6" xfId="914" xr:uid="{00000000-0005-0000-0000-0000F8000000}"/>
    <cellStyle name="Currency" xfId="5" builtinId="4"/>
    <cellStyle name="Currency [00]" xfId="915" xr:uid="{00000000-0005-0000-0000-0000FA000000}"/>
    <cellStyle name="Currency 10" xfId="1026" xr:uid="{00000000-0005-0000-0000-0000FB000000}"/>
    <cellStyle name="Currency 10 2" xfId="1116" xr:uid="{00000000-0005-0000-0000-0000FC000000}"/>
    <cellStyle name="Currency 10 2 2" xfId="7771" xr:uid="{00000000-0005-0000-0000-0000FD000000}"/>
    <cellStyle name="Currency 10 3" xfId="1936" xr:uid="{00000000-0005-0000-0000-0000FE000000}"/>
    <cellStyle name="Currency 10 3 2" xfId="8584" xr:uid="{00000000-0005-0000-0000-0000FF000000}"/>
    <cellStyle name="Currency 10 4" xfId="2755" xr:uid="{00000000-0005-0000-0000-000000010000}"/>
    <cellStyle name="Currency 10 4 2" xfId="9400" xr:uid="{00000000-0005-0000-0000-000001010000}"/>
    <cellStyle name="Currency 10 5" xfId="3576" xr:uid="{00000000-0005-0000-0000-000002010000}"/>
    <cellStyle name="Currency 10 5 2" xfId="10217" xr:uid="{00000000-0005-0000-0000-000003010000}"/>
    <cellStyle name="Currency 10 6" xfId="4388" xr:uid="{00000000-0005-0000-0000-000004010000}"/>
    <cellStyle name="Currency 10 6 2" xfId="11027" xr:uid="{00000000-0005-0000-0000-000005010000}"/>
    <cellStyle name="Currency 10 7" xfId="5198" xr:uid="{00000000-0005-0000-0000-000006010000}"/>
    <cellStyle name="Currency 10 7 2" xfId="11836" xr:uid="{00000000-0005-0000-0000-000007010000}"/>
    <cellStyle name="Currency 10 8" xfId="7707" xr:uid="{00000000-0005-0000-0000-000008010000}"/>
    <cellStyle name="Currency 10 9" xfId="6101" xr:uid="{00000000-0005-0000-0000-000009010000}"/>
    <cellStyle name="Currency 11" xfId="1060" xr:uid="{00000000-0005-0000-0000-00000A010000}"/>
    <cellStyle name="Currency 11 2" xfId="1117" xr:uid="{00000000-0005-0000-0000-00000B010000}"/>
    <cellStyle name="Currency 11 2 2" xfId="7772" xr:uid="{00000000-0005-0000-0000-00000C010000}"/>
    <cellStyle name="Currency 11 3" xfId="1937" xr:uid="{00000000-0005-0000-0000-00000D010000}"/>
    <cellStyle name="Currency 11 3 2" xfId="8585" xr:uid="{00000000-0005-0000-0000-00000E010000}"/>
    <cellStyle name="Currency 11 4" xfId="2756" xr:uid="{00000000-0005-0000-0000-00000F010000}"/>
    <cellStyle name="Currency 11 4 2" xfId="9401" xr:uid="{00000000-0005-0000-0000-000010010000}"/>
    <cellStyle name="Currency 11 5" xfId="3577" xr:uid="{00000000-0005-0000-0000-000011010000}"/>
    <cellStyle name="Currency 11 5 2" xfId="10218" xr:uid="{00000000-0005-0000-0000-000012010000}"/>
    <cellStyle name="Currency 11 6" xfId="4389" xr:uid="{00000000-0005-0000-0000-000013010000}"/>
    <cellStyle name="Currency 11 6 2" xfId="11028" xr:uid="{00000000-0005-0000-0000-000014010000}"/>
    <cellStyle name="Currency 11 7" xfId="5199" xr:uid="{00000000-0005-0000-0000-000015010000}"/>
    <cellStyle name="Currency 11 7 2" xfId="11837" xr:uid="{00000000-0005-0000-0000-000016010000}"/>
    <cellStyle name="Currency 11 8" xfId="7724" xr:uid="{00000000-0005-0000-0000-000017010000}"/>
    <cellStyle name="Currency 11 9" xfId="6102" xr:uid="{00000000-0005-0000-0000-000018010000}"/>
    <cellStyle name="Currency 12" xfId="1062" xr:uid="{00000000-0005-0000-0000-000019010000}"/>
    <cellStyle name="Currency 12 2" xfId="1118" xr:uid="{00000000-0005-0000-0000-00001A010000}"/>
    <cellStyle name="Currency 12 2 2" xfId="7773" xr:uid="{00000000-0005-0000-0000-00001B010000}"/>
    <cellStyle name="Currency 12 3" xfId="1938" xr:uid="{00000000-0005-0000-0000-00001C010000}"/>
    <cellStyle name="Currency 12 3 2" xfId="8586" xr:uid="{00000000-0005-0000-0000-00001D010000}"/>
    <cellStyle name="Currency 12 4" xfId="2757" xr:uid="{00000000-0005-0000-0000-00001E010000}"/>
    <cellStyle name="Currency 12 4 2" xfId="9402" xr:uid="{00000000-0005-0000-0000-00001F010000}"/>
    <cellStyle name="Currency 12 5" xfId="3578" xr:uid="{00000000-0005-0000-0000-000020010000}"/>
    <cellStyle name="Currency 12 5 2" xfId="10219" xr:uid="{00000000-0005-0000-0000-000021010000}"/>
    <cellStyle name="Currency 12 6" xfId="4390" xr:uid="{00000000-0005-0000-0000-000022010000}"/>
    <cellStyle name="Currency 12 6 2" xfId="11029" xr:uid="{00000000-0005-0000-0000-000023010000}"/>
    <cellStyle name="Currency 12 7" xfId="5200" xr:uid="{00000000-0005-0000-0000-000024010000}"/>
    <cellStyle name="Currency 12 7 2" xfId="11838" xr:uid="{00000000-0005-0000-0000-000025010000}"/>
    <cellStyle name="Currency 12 8" xfId="7726" xr:uid="{00000000-0005-0000-0000-000026010000}"/>
    <cellStyle name="Currency 12 9" xfId="6103" xr:uid="{00000000-0005-0000-0000-000027010000}"/>
    <cellStyle name="Currency 13" xfId="1078" xr:uid="{00000000-0005-0000-0000-000028010000}"/>
    <cellStyle name="Currency 13 2" xfId="1906" xr:uid="{00000000-0005-0000-0000-000029010000}"/>
    <cellStyle name="Currency 13 2 2" xfId="8560" xr:uid="{00000000-0005-0000-0000-00002A010000}"/>
    <cellStyle name="Currency 13 3" xfId="2725" xr:uid="{00000000-0005-0000-0000-00002B010000}"/>
    <cellStyle name="Currency 13 3 2" xfId="9373" xr:uid="{00000000-0005-0000-0000-00002C010000}"/>
    <cellStyle name="Currency 13 4" xfId="3548" xr:uid="{00000000-0005-0000-0000-00002D010000}"/>
    <cellStyle name="Currency 13 4 2" xfId="10192" xr:uid="{00000000-0005-0000-0000-00002E010000}"/>
    <cellStyle name="Currency 13 5" xfId="4365" xr:uid="{00000000-0005-0000-0000-00002F010000}"/>
    <cellStyle name="Currency 13 5 2" xfId="11005" xr:uid="{00000000-0005-0000-0000-000030010000}"/>
    <cellStyle name="Currency 13 6" xfId="5176" xr:uid="{00000000-0005-0000-0000-000031010000}"/>
    <cellStyle name="Currency 13 6 2" xfId="11815" xr:uid="{00000000-0005-0000-0000-000032010000}"/>
    <cellStyle name="Currency 13 7" xfId="5986" xr:uid="{00000000-0005-0000-0000-000033010000}"/>
    <cellStyle name="Currency 13 7 2" xfId="12624" xr:uid="{00000000-0005-0000-0000-000034010000}"/>
    <cellStyle name="Currency 13 8" xfId="7739" xr:uid="{00000000-0005-0000-0000-000035010000}"/>
    <cellStyle name="Currency 13 9" xfId="6926" xr:uid="{00000000-0005-0000-0000-000036010000}"/>
    <cellStyle name="Currency 14" xfId="1080" xr:uid="{00000000-0005-0000-0000-000037010000}"/>
    <cellStyle name="Currency 14 2" xfId="1908" xr:uid="{00000000-0005-0000-0000-000038010000}"/>
    <cellStyle name="Currency 14 2 2" xfId="8562" xr:uid="{00000000-0005-0000-0000-000039010000}"/>
    <cellStyle name="Currency 14 3" xfId="2727" xr:uid="{00000000-0005-0000-0000-00003A010000}"/>
    <cellStyle name="Currency 14 3 2" xfId="9375" xr:uid="{00000000-0005-0000-0000-00003B010000}"/>
    <cellStyle name="Currency 14 4" xfId="3550" xr:uid="{00000000-0005-0000-0000-00003C010000}"/>
    <cellStyle name="Currency 14 4 2" xfId="10194" xr:uid="{00000000-0005-0000-0000-00003D010000}"/>
    <cellStyle name="Currency 14 5" xfId="4367" xr:uid="{00000000-0005-0000-0000-00003E010000}"/>
    <cellStyle name="Currency 14 5 2" xfId="11007" xr:uid="{00000000-0005-0000-0000-00003F010000}"/>
    <cellStyle name="Currency 14 6" xfId="5178" xr:uid="{00000000-0005-0000-0000-000040010000}"/>
    <cellStyle name="Currency 14 6 2" xfId="11817" xr:uid="{00000000-0005-0000-0000-000041010000}"/>
    <cellStyle name="Currency 14 7" xfId="5988" xr:uid="{00000000-0005-0000-0000-000042010000}"/>
    <cellStyle name="Currency 14 7 2" xfId="12626" xr:uid="{00000000-0005-0000-0000-000043010000}"/>
    <cellStyle name="Currency 14 8" xfId="7741" xr:uid="{00000000-0005-0000-0000-000044010000}"/>
    <cellStyle name="Currency 14 9" xfId="6928" xr:uid="{00000000-0005-0000-0000-000045010000}"/>
    <cellStyle name="Currency 15" xfId="1083" xr:uid="{00000000-0005-0000-0000-000046010000}"/>
    <cellStyle name="Currency 15 2" xfId="7744" xr:uid="{00000000-0005-0000-0000-000047010000}"/>
    <cellStyle name="Currency 16" xfId="1085" xr:uid="{00000000-0005-0000-0000-000048010000}"/>
    <cellStyle name="Currency 16 2" xfId="7746" xr:uid="{00000000-0005-0000-0000-000049010000}"/>
    <cellStyle name="Currency 17" xfId="1087" xr:uid="{00000000-0005-0000-0000-00004A010000}"/>
    <cellStyle name="Currency 17 2" xfId="7748" xr:uid="{00000000-0005-0000-0000-00004B010000}"/>
    <cellStyle name="Currency 18" xfId="3544" xr:uid="{00000000-0005-0000-0000-00004C010000}"/>
    <cellStyle name="Currency 18 2" xfId="10188" xr:uid="{00000000-0005-0000-0000-00004D010000}"/>
    <cellStyle name="Currency 19" xfId="3553" xr:uid="{00000000-0005-0000-0000-00004E010000}"/>
    <cellStyle name="Currency 19 2" xfId="10195" xr:uid="{00000000-0005-0000-0000-00004F010000}"/>
    <cellStyle name="Currency 2" xfId="6" xr:uid="{00000000-0005-0000-0000-000050010000}"/>
    <cellStyle name="Currency 2 10" xfId="4373" xr:uid="{00000000-0005-0000-0000-000051010000}"/>
    <cellStyle name="Currency 2 10 2" xfId="11012" xr:uid="{00000000-0005-0000-0000-000052010000}"/>
    <cellStyle name="Currency 2 11" xfId="5183" xr:uid="{00000000-0005-0000-0000-000053010000}"/>
    <cellStyle name="Currency 2 11 2" xfId="11821" xr:uid="{00000000-0005-0000-0000-000054010000}"/>
    <cellStyle name="Currency 2 12" xfId="6077" xr:uid="{00000000-0005-0000-0000-000055010000}"/>
    <cellStyle name="Currency 2 2" xfId="7" xr:uid="{00000000-0005-0000-0000-000056010000}"/>
    <cellStyle name="Currency 2 2 2" xfId="49" xr:uid="{00000000-0005-0000-0000-000057010000}"/>
    <cellStyle name="Currency 2 3" xfId="33" xr:uid="{00000000-0005-0000-0000-000058010000}"/>
    <cellStyle name="Currency 2 3 2" xfId="264" xr:uid="{00000000-0005-0000-0000-000059010000}"/>
    <cellStyle name="Currency 2 4" xfId="1046" xr:uid="{00000000-0005-0000-0000-00005A010000}"/>
    <cellStyle name="Currency 2 4 2" xfId="1119" xr:uid="{00000000-0005-0000-0000-00005B010000}"/>
    <cellStyle name="Currency 2 4 2 2" xfId="7774" xr:uid="{00000000-0005-0000-0000-00005C010000}"/>
    <cellStyle name="Currency 2 4 3" xfId="1939" xr:uid="{00000000-0005-0000-0000-00005D010000}"/>
    <cellStyle name="Currency 2 4 3 2" xfId="8587" xr:uid="{00000000-0005-0000-0000-00005E010000}"/>
    <cellStyle name="Currency 2 4 4" xfId="2758" xr:uid="{00000000-0005-0000-0000-00005F010000}"/>
    <cellStyle name="Currency 2 4 4 2" xfId="9403" xr:uid="{00000000-0005-0000-0000-000060010000}"/>
    <cellStyle name="Currency 2 4 5" xfId="3579" xr:uid="{00000000-0005-0000-0000-000061010000}"/>
    <cellStyle name="Currency 2 4 5 2" xfId="10220" xr:uid="{00000000-0005-0000-0000-000062010000}"/>
    <cellStyle name="Currency 2 4 6" xfId="4391" xr:uid="{00000000-0005-0000-0000-000063010000}"/>
    <cellStyle name="Currency 2 4 6 2" xfId="11030" xr:uid="{00000000-0005-0000-0000-000064010000}"/>
    <cellStyle name="Currency 2 4 7" xfId="5201" xr:uid="{00000000-0005-0000-0000-000065010000}"/>
    <cellStyle name="Currency 2 4 7 2" xfId="11839" xr:uid="{00000000-0005-0000-0000-000066010000}"/>
    <cellStyle name="Currency 2 4 8" xfId="7715" xr:uid="{00000000-0005-0000-0000-000067010000}"/>
    <cellStyle name="Currency 2 4 9" xfId="6108" xr:uid="{00000000-0005-0000-0000-000068010000}"/>
    <cellStyle name="Currency 2 5" xfId="1067" xr:uid="{00000000-0005-0000-0000-000069010000}"/>
    <cellStyle name="Currency 2 5 2" xfId="1120" xr:uid="{00000000-0005-0000-0000-00006A010000}"/>
    <cellStyle name="Currency 2 5 2 2" xfId="7775" xr:uid="{00000000-0005-0000-0000-00006B010000}"/>
    <cellStyle name="Currency 2 5 3" xfId="1940" xr:uid="{00000000-0005-0000-0000-00006C010000}"/>
    <cellStyle name="Currency 2 5 3 2" xfId="8588" xr:uid="{00000000-0005-0000-0000-00006D010000}"/>
    <cellStyle name="Currency 2 5 4" xfId="2759" xr:uid="{00000000-0005-0000-0000-00006E010000}"/>
    <cellStyle name="Currency 2 5 4 2" xfId="9404" xr:uid="{00000000-0005-0000-0000-00006F010000}"/>
    <cellStyle name="Currency 2 5 5" xfId="3580" xr:uid="{00000000-0005-0000-0000-000070010000}"/>
    <cellStyle name="Currency 2 5 5 2" xfId="10221" xr:uid="{00000000-0005-0000-0000-000071010000}"/>
    <cellStyle name="Currency 2 5 6" xfId="4392" xr:uid="{00000000-0005-0000-0000-000072010000}"/>
    <cellStyle name="Currency 2 5 6 2" xfId="11031" xr:uid="{00000000-0005-0000-0000-000073010000}"/>
    <cellStyle name="Currency 2 5 7" xfId="5202" xr:uid="{00000000-0005-0000-0000-000074010000}"/>
    <cellStyle name="Currency 2 5 7 2" xfId="11840" xr:uid="{00000000-0005-0000-0000-000075010000}"/>
    <cellStyle name="Currency 2 5 8" xfId="7731" xr:uid="{00000000-0005-0000-0000-000076010000}"/>
    <cellStyle name="Currency 2 5 9" xfId="6109" xr:uid="{00000000-0005-0000-0000-000077010000}"/>
    <cellStyle name="Currency 2 6" xfId="1097" xr:uid="{00000000-0005-0000-0000-000078010000}"/>
    <cellStyle name="Currency 2 6 2" xfId="7755" xr:uid="{00000000-0005-0000-0000-000079010000}"/>
    <cellStyle name="Currency 2 7" xfId="1921" xr:uid="{00000000-0005-0000-0000-00007A010000}"/>
    <cellStyle name="Currency 2 7 2" xfId="8569" xr:uid="{00000000-0005-0000-0000-00007B010000}"/>
    <cellStyle name="Currency 2 8" xfId="2739" xr:uid="{00000000-0005-0000-0000-00007C010000}"/>
    <cellStyle name="Currency 2 8 2" xfId="9384" xr:uid="{00000000-0005-0000-0000-00007D010000}"/>
    <cellStyle name="Currency 2 9" xfId="3561" xr:uid="{00000000-0005-0000-0000-00007E010000}"/>
    <cellStyle name="Currency 2 9 2" xfId="10202" xr:uid="{00000000-0005-0000-0000-00007F010000}"/>
    <cellStyle name="Currency 20" xfId="2734" xr:uid="{00000000-0005-0000-0000-000080010000}"/>
    <cellStyle name="Currency 20 2" xfId="9379" xr:uid="{00000000-0005-0000-0000-000081010000}"/>
    <cellStyle name="Currency 21" xfId="6929" xr:uid="{00000000-0005-0000-0000-000082010000}"/>
    <cellStyle name="Currency 22" xfId="7702" xr:uid="{00000000-0005-0000-0000-000083010000}"/>
    <cellStyle name="Currency 23" xfId="13570" xr:uid="{00000000-0005-0000-0000-000084010000}"/>
    <cellStyle name="Currency 3" xfId="8" xr:uid="{00000000-0005-0000-0000-000085010000}"/>
    <cellStyle name="Currency 3 2" xfId="36" xr:uid="{00000000-0005-0000-0000-000086010000}"/>
    <cellStyle name="Currency 3 2 2" xfId="265" xr:uid="{00000000-0005-0000-0000-000087010000}"/>
    <cellStyle name="Currency 3 3" xfId="1102" xr:uid="{00000000-0005-0000-0000-000088010000}"/>
    <cellStyle name="Currency 3 3 2" xfId="7760" xr:uid="{00000000-0005-0000-0000-000089010000}"/>
    <cellStyle name="Currency 3 4" xfId="1926" xr:uid="{00000000-0005-0000-0000-00008A010000}"/>
    <cellStyle name="Currency 3 4 2" xfId="8574" xr:uid="{00000000-0005-0000-0000-00008B010000}"/>
    <cellStyle name="Currency 3 5" xfId="2744" xr:uid="{00000000-0005-0000-0000-00008C010000}"/>
    <cellStyle name="Currency 3 5 2" xfId="9389" xr:uid="{00000000-0005-0000-0000-00008D010000}"/>
    <cellStyle name="Currency 3 6" xfId="3566" xr:uid="{00000000-0005-0000-0000-00008E010000}"/>
    <cellStyle name="Currency 3 6 2" xfId="10207" xr:uid="{00000000-0005-0000-0000-00008F010000}"/>
    <cellStyle name="Currency 3 7" xfId="4378" xr:uid="{00000000-0005-0000-0000-000090010000}"/>
    <cellStyle name="Currency 3 7 2" xfId="11017" xr:uid="{00000000-0005-0000-0000-000091010000}"/>
    <cellStyle name="Currency 3 8" xfId="5188" xr:uid="{00000000-0005-0000-0000-000092010000}"/>
    <cellStyle name="Currency 3 8 2" xfId="11826" xr:uid="{00000000-0005-0000-0000-000093010000}"/>
    <cellStyle name="Currency 3 9" xfId="6082" xr:uid="{00000000-0005-0000-0000-000094010000}"/>
    <cellStyle name="Currency 4" xfId="45" xr:uid="{00000000-0005-0000-0000-000095010000}"/>
    <cellStyle name="Currency 4 2" xfId="258" xr:uid="{00000000-0005-0000-0000-000096010000}"/>
    <cellStyle name="Currency 4 3" xfId="1103" xr:uid="{00000000-0005-0000-0000-000097010000}"/>
    <cellStyle name="Currency 4 4" xfId="6943" xr:uid="{00000000-0005-0000-0000-000098010000}"/>
    <cellStyle name="Currency 5" xfId="62" xr:uid="{00000000-0005-0000-0000-000099010000}"/>
    <cellStyle name="Currency 5 2" xfId="9" xr:uid="{00000000-0005-0000-0000-00009A010000}"/>
    <cellStyle name="Currency 6" xfId="73" xr:uid="{00000000-0005-0000-0000-00009B010000}"/>
    <cellStyle name="Currency 7" xfId="25" xr:uid="{00000000-0005-0000-0000-00009C010000}"/>
    <cellStyle name="Currency 7 2" xfId="266" xr:uid="{00000000-0005-0000-0000-00009D010000}"/>
    <cellStyle name="Currency 8" xfId="249" xr:uid="{00000000-0005-0000-0000-00009E010000}"/>
    <cellStyle name="Currency 9" xfId="1023" xr:uid="{00000000-0005-0000-0000-00009F010000}"/>
    <cellStyle name="Currency 9 2" xfId="1121" xr:uid="{00000000-0005-0000-0000-0000A0010000}"/>
    <cellStyle name="Currency 9 2 2" xfId="7776" xr:uid="{00000000-0005-0000-0000-0000A1010000}"/>
    <cellStyle name="Currency 9 3" xfId="1941" xr:uid="{00000000-0005-0000-0000-0000A2010000}"/>
    <cellStyle name="Currency 9 3 2" xfId="8589" xr:uid="{00000000-0005-0000-0000-0000A3010000}"/>
    <cellStyle name="Currency 9 4" xfId="2760" xr:uid="{00000000-0005-0000-0000-0000A4010000}"/>
    <cellStyle name="Currency 9 4 2" xfId="9405" xr:uid="{00000000-0005-0000-0000-0000A5010000}"/>
    <cellStyle name="Currency 9 5" xfId="3581" xr:uid="{00000000-0005-0000-0000-0000A6010000}"/>
    <cellStyle name="Currency 9 5 2" xfId="10222" xr:uid="{00000000-0005-0000-0000-0000A7010000}"/>
    <cellStyle name="Currency 9 6" xfId="4393" xr:uid="{00000000-0005-0000-0000-0000A8010000}"/>
    <cellStyle name="Currency 9 6 2" xfId="11032" xr:uid="{00000000-0005-0000-0000-0000A9010000}"/>
    <cellStyle name="Currency 9 7" xfId="5203" xr:uid="{00000000-0005-0000-0000-0000AA010000}"/>
    <cellStyle name="Currency 9 7 2" xfId="11841" xr:uid="{00000000-0005-0000-0000-0000AB010000}"/>
    <cellStyle name="Currency 9 8" xfId="7704" xr:uid="{00000000-0005-0000-0000-0000AC010000}"/>
    <cellStyle name="Currency 9 9" xfId="6115" xr:uid="{00000000-0005-0000-0000-0000AD010000}"/>
    <cellStyle name="Currency0" xfId="916" xr:uid="{00000000-0005-0000-0000-0000AE010000}"/>
    <cellStyle name="Date" xfId="917" xr:uid="{00000000-0005-0000-0000-0000AF010000}"/>
    <cellStyle name="Date - Style4" xfId="918" xr:uid="{00000000-0005-0000-0000-0000B0010000}"/>
    <cellStyle name="Date Short" xfId="919" xr:uid="{00000000-0005-0000-0000-0000B1010000}"/>
    <cellStyle name="Date_Copy of OMV Van Pricing Matrix IDIQ_v6" xfId="920" xr:uid="{00000000-0005-0000-0000-0000B2010000}"/>
    <cellStyle name="Décimal" xfId="921" xr:uid="{00000000-0005-0000-0000-0000B3010000}"/>
    <cellStyle name="DESC" xfId="922" xr:uid="{00000000-0005-0000-0000-0000B4010000}"/>
    <cellStyle name="dostatus" xfId="923" xr:uid="{00000000-0005-0000-0000-0000B5010000}"/>
    <cellStyle name="eab" xfId="924" xr:uid="{00000000-0005-0000-0000-0000B6010000}"/>
    <cellStyle name="Element ID L3" xfId="925" xr:uid="{00000000-0005-0000-0000-0000B7010000}"/>
    <cellStyle name="Element ID L4" xfId="926" xr:uid="{00000000-0005-0000-0000-0000B8010000}"/>
    <cellStyle name="Element ID L5" xfId="927" xr:uid="{00000000-0005-0000-0000-0000B9010000}"/>
    <cellStyle name="Element title L3" xfId="928" xr:uid="{00000000-0005-0000-0000-0000BA010000}"/>
    <cellStyle name="Element Title L4" xfId="929" xr:uid="{00000000-0005-0000-0000-0000BB010000}"/>
    <cellStyle name="Element title L5" xfId="930" xr:uid="{00000000-0005-0000-0000-0000BC010000}"/>
    <cellStyle name="Element title L6" xfId="931" xr:uid="{00000000-0005-0000-0000-0000BD010000}"/>
    <cellStyle name="Element title L7" xfId="932" xr:uid="{00000000-0005-0000-0000-0000BE010000}"/>
    <cellStyle name="Enter Currency (0)" xfId="933" xr:uid="{00000000-0005-0000-0000-0000BF010000}"/>
    <cellStyle name="Enter Currency (2)" xfId="934" xr:uid="{00000000-0005-0000-0000-0000C0010000}"/>
    <cellStyle name="Enter Units (0)" xfId="935" xr:uid="{00000000-0005-0000-0000-0000C1010000}"/>
    <cellStyle name="Enter Units (1)" xfId="936" xr:uid="{00000000-0005-0000-0000-0000C2010000}"/>
    <cellStyle name="Enter Units (2)" xfId="937" xr:uid="{00000000-0005-0000-0000-0000C3010000}"/>
    <cellStyle name="Exception" xfId="938" xr:uid="{00000000-0005-0000-0000-0000C4010000}"/>
    <cellStyle name="ExtStyle 17" xfId="53" xr:uid="{00000000-0005-0000-0000-0000C5010000}"/>
    <cellStyle name="ExtStyle 17 2" xfId="51" xr:uid="{00000000-0005-0000-0000-0000C6010000}"/>
    <cellStyle name="ExtStyle 19" xfId="54" xr:uid="{00000000-0005-0000-0000-0000C7010000}"/>
    <cellStyle name="F2 - Style1" xfId="939" xr:uid="{00000000-0005-0000-0000-0000C8010000}"/>
    <cellStyle name="F4" xfId="940" xr:uid="{00000000-0005-0000-0000-0000C9010000}"/>
    <cellStyle name="F5" xfId="941" xr:uid="{00000000-0005-0000-0000-0000CA010000}"/>
    <cellStyle name="Fixed" xfId="942" xr:uid="{00000000-0005-0000-0000-0000CB010000}"/>
    <cellStyle name="general" xfId="943" xr:uid="{00000000-0005-0000-0000-0000CC010000}"/>
    <cellStyle name="Grey" xfId="944" xr:uid="{00000000-0005-0000-0000-0000CD010000}"/>
    <cellStyle name="hdr" xfId="945" xr:uid="{00000000-0005-0000-0000-0000CE010000}"/>
    <cellStyle name="HEADER" xfId="946" xr:uid="{00000000-0005-0000-0000-0000CF010000}"/>
    <cellStyle name="Header1" xfId="947" xr:uid="{00000000-0005-0000-0000-0000D0010000}"/>
    <cellStyle name="Header2" xfId="948" xr:uid="{00000000-0005-0000-0000-0000D1010000}"/>
    <cellStyle name="Heading1" xfId="949" xr:uid="{00000000-0005-0000-0000-0000D2010000}"/>
    <cellStyle name="Heading2" xfId="950" xr:uid="{00000000-0005-0000-0000-0000D3010000}"/>
    <cellStyle name="hours" xfId="951" xr:uid="{00000000-0005-0000-0000-0000D4010000}"/>
    <cellStyle name="ID#" xfId="952" xr:uid="{00000000-0005-0000-0000-0000D5010000}"/>
    <cellStyle name="Input [yellow]" xfId="953" xr:uid="{00000000-0005-0000-0000-0000D6010000}"/>
    <cellStyle name="L/R Board" xfId="954" xr:uid="{00000000-0005-0000-0000-0000D7010000}"/>
    <cellStyle name="Link Currency (0)" xfId="955" xr:uid="{00000000-0005-0000-0000-0000D8010000}"/>
    <cellStyle name="Link Currency (2)" xfId="956" xr:uid="{00000000-0005-0000-0000-0000D9010000}"/>
    <cellStyle name="Link Units (0)" xfId="957" xr:uid="{00000000-0005-0000-0000-0000DA010000}"/>
    <cellStyle name="Link Units (1)" xfId="958" xr:uid="{00000000-0005-0000-0000-0000DB010000}"/>
    <cellStyle name="Link Units (2)" xfId="959" xr:uid="{00000000-0005-0000-0000-0000DC010000}"/>
    <cellStyle name="Mhead" xfId="960" xr:uid="{00000000-0005-0000-0000-0000DD010000}"/>
    <cellStyle name="Milliers [0]_!!!GO" xfId="961" xr:uid="{00000000-0005-0000-0000-0000DE010000}"/>
    <cellStyle name="Milliers_!!!GO" xfId="962" xr:uid="{00000000-0005-0000-0000-0000DF010000}"/>
    <cellStyle name="Model" xfId="963" xr:uid="{00000000-0005-0000-0000-0000E0010000}"/>
    <cellStyle name="Monétaire [0]_!!!GO" xfId="964" xr:uid="{00000000-0005-0000-0000-0000E1010000}"/>
    <cellStyle name="Monétaire_!!!GO" xfId="965" xr:uid="{00000000-0005-0000-0000-0000E2010000}"/>
    <cellStyle name="no dec" xfId="966" xr:uid="{00000000-0005-0000-0000-0000E3010000}"/>
    <cellStyle name="Normal" xfId="0" builtinId="0"/>
    <cellStyle name="Normal - Style1" xfId="967" xr:uid="{00000000-0005-0000-0000-0000E5010000}"/>
    <cellStyle name="Normal 10" xfId="255" xr:uid="{00000000-0005-0000-0000-0000E6010000}"/>
    <cellStyle name="Normal 11" xfId="845" xr:uid="{00000000-0005-0000-0000-0000E7010000}"/>
    <cellStyle name="Normal 11 2" xfId="1122" xr:uid="{00000000-0005-0000-0000-0000E8010000}"/>
    <cellStyle name="Normal 11 2 2" xfId="7777" xr:uid="{00000000-0005-0000-0000-0000E9010000}"/>
    <cellStyle name="Normal 11 2_SSL" xfId="13320" xr:uid="{00000000-0005-0000-0000-0000EA010000}"/>
    <cellStyle name="Normal 11 3" xfId="1942" xr:uid="{00000000-0005-0000-0000-0000EB010000}"/>
    <cellStyle name="Normal 11 3 2" xfId="8590" xr:uid="{00000000-0005-0000-0000-0000EC010000}"/>
    <cellStyle name="Normal 11 3_SSL" xfId="17735" xr:uid="{00000000-0005-0000-0000-0000ED010000}"/>
    <cellStyle name="Normal 11 4" xfId="2761" xr:uid="{00000000-0005-0000-0000-0000EE010000}"/>
    <cellStyle name="Normal 11 4 2" xfId="9406" xr:uid="{00000000-0005-0000-0000-0000EF010000}"/>
    <cellStyle name="Normal 11 4_SSL" xfId="17389" xr:uid="{00000000-0005-0000-0000-0000F0010000}"/>
    <cellStyle name="Normal 11 5" xfId="3582" xr:uid="{00000000-0005-0000-0000-0000F1010000}"/>
    <cellStyle name="Normal 11 5 2" xfId="10223" xr:uid="{00000000-0005-0000-0000-0000F2010000}"/>
    <cellStyle name="Normal 11 5_SSL" xfId="14929" xr:uid="{00000000-0005-0000-0000-0000F3010000}"/>
    <cellStyle name="Normal 11 6" xfId="4394" xr:uid="{00000000-0005-0000-0000-0000F4010000}"/>
    <cellStyle name="Normal 11 6 2" xfId="11033" xr:uid="{00000000-0005-0000-0000-0000F5010000}"/>
    <cellStyle name="Normal 11 6_SSL" xfId="13407" xr:uid="{00000000-0005-0000-0000-0000F6010000}"/>
    <cellStyle name="Normal 11 7" xfId="5204" xr:uid="{00000000-0005-0000-0000-0000F7010000}"/>
    <cellStyle name="Normal 11 7 2" xfId="11842" xr:uid="{00000000-0005-0000-0000-0000F8010000}"/>
    <cellStyle name="Normal 11 7_SSL" xfId="17891" xr:uid="{00000000-0005-0000-0000-0000F9010000}"/>
    <cellStyle name="Normal 11 8" xfId="7701" xr:uid="{00000000-0005-0000-0000-0000FA010000}"/>
    <cellStyle name="Normal 11 9" xfId="6118" xr:uid="{00000000-0005-0000-0000-0000FB010000}"/>
    <cellStyle name="Normal 11_SSL" xfId="16164" xr:uid="{00000000-0005-0000-0000-0000FC010000}"/>
    <cellStyle name="Normal 12" xfId="1024" xr:uid="{00000000-0005-0000-0000-0000FD010000}"/>
    <cellStyle name="Normal 12 2" xfId="1123" xr:uid="{00000000-0005-0000-0000-0000FE010000}"/>
    <cellStyle name="Normal 12 2 2" xfId="7778" xr:uid="{00000000-0005-0000-0000-0000FF010000}"/>
    <cellStyle name="Normal 12 2_SSL" xfId="15232" xr:uid="{00000000-0005-0000-0000-000000020000}"/>
    <cellStyle name="Normal 12 3" xfId="1943" xr:uid="{00000000-0005-0000-0000-000001020000}"/>
    <cellStyle name="Normal 12 3 2" xfId="8591" xr:uid="{00000000-0005-0000-0000-000002020000}"/>
    <cellStyle name="Normal 12 3_SSL" xfId="13690" xr:uid="{00000000-0005-0000-0000-000003020000}"/>
    <cellStyle name="Normal 12 4" xfId="2762" xr:uid="{00000000-0005-0000-0000-000004020000}"/>
    <cellStyle name="Normal 12 4 2" xfId="9407" xr:uid="{00000000-0005-0000-0000-000005020000}"/>
    <cellStyle name="Normal 12 4_SSL" xfId="12702" xr:uid="{00000000-0005-0000-0000-000006020000}"/>
    <cellStyle name="Normal 12 5" xfId="3583" xr:uid="{00000000-0005-0000-0000-000007020000}"/>
    <cellStyle name="Normal 12 5 2" xfId="10224" xr:uid="{00000000-0005-0000-0000-000008020000}"/>
    <cellStyle name="Normal 12 5_SSL" xfId="14151" xr:uid="{00000000-0005-0000-0000-000009020000}"/>
    <cellStyle name="Normal 12 6" xfId="4395" xr:uid="{00000000-0005-0000-0000-00000A020000}"/>
    <cellStyle name="Normal 12 6 2" xfId="11034" xr:uid="{00000000-0005-0000-0000-00000B020000}"/>
    <cellStyle name="Normal 12 6_SSL" xfId="14053" xr:uid="{00000000-0005-0000-0000-00000C020000}"/>
    <cellStyle name="Normal 12 7" xfId="5205" xr:uid="{00000000-0005-0000-0000-00000D020000}"/>
    <cellStyle name="Normal 12 7 2" xfId="11843" xr:uid="{00000000-0005-0000-0000-00000E020000}"/>
    <cellStyle name="Normal 12 7_SSL" xfId="16626" xr:uid="{00000000-0005-0000-0000-00000F020000}"/>
    <cellStyle name="Normal 12 8" xfId="7705" xr:uid="{00000000-0005-0000-0000-000010020000}"/>
    <cellStyle name="Normal 12 9" xfId="6119" xr:uid="{00000000-0005-0000-0000-000011020000}"/>
    <cellStyle name="Normal 12_SSL" xfId="15750" xr:uid="{00000000-0005-0000-0000-000012020000}"/>
    <cellStyle name="Normal 13" xfId="1027" xr:uid="{00000000-0005-0000-0000-000013020000}"/>
    <cellStyle name="Normal 13 2" xfId="1124" xr:uid="{00000000-0005-0000-0000-000014020000}"/>
    <cellStyle name="Normal 13 2 2" xfId="7779" xr:uid="{00000000-0005-0000-0000-000015020000}"/>
    <cellStyle name="Normal 13 2_SSL" xfId="16931" xr:uid="{00000000-0005-0000-0000-000016020000}"/>
    <cellStyle name="Normal 13 3" xfId="1944" xr:uid="{00000000-0005-0000-0000-000017020000}"/>
    <cellStyle name="Normal 13 3 2" xfId="8592" xr:uid="{00000000-0005-0000-0000-000018020000}"/>
    <cellStyle name="Normal 13 3_SSL" xfId="14296" xr:uid="{00000000-0005-0000-0000-000019020000}"/>
    <cellStyle name="Normal 13 4" xfId="2763" xr:uid="{00000000-0005-0000-0000-00001A020000}"/>
    <cellStyle name="Normal 13 4 2" xfId="9408" xr:uid="{00000000-0005-0000-0000-00001B020000}"/>
    <cellStyle name="Normal 13 4_SSL" xfId="15290" xr:uid="{00000000-0005-0000-0000-00001C020000}"/>
    <cellStyle name="Normal 13 5" xfId="3584" xr:uid="{00000000-0005-0000-0000-00001D020000}"/>
    <cellStyle name="Normal 13 5 2" xfId="10225" xr:uid="{00000000-0005-0000-0000-00001E020000}"/>
    <cellStyle name="Normal 13 5_SSL" xfId="13183" xr:uid="{00000000-0005-0000-0000-00001F020000}"/>
    <cellStyle name="Normal 13 6" xfId="4396" xr:uid="{00000000-0005-0000-0000-000020020000}"/>
    <cellStyle name="Normal 13 6 2" xfId="11035" xr:uid="{00000000-0005-0000-0000-000021020000}"/>
    <cellStyle name="Normal 13 6_SSL" xfId="6008" xr:uid="{00000000-0005-0000-0000-000022020000}"/>
    <cellStyle name="Normal 13 7" xfId="5206" xr:uid="{00000000-0005-0000-0000-000023020000}"/>
    <cellStyle name="Normal 13 7 2" xfId="11844" xr:uid="{00000000-0005-0000-0000-000024020000}"/>
    <cellStyle name="Normal 13 7_SSL" xfId="15754" xr:uid="{00000000-0005-0000-0000-000025020000}"/>
    <cellStyle name="Normal 13 8" xfId="7708" xr:uid="{00000000-0005-0000-0000-000026020000}"/>
    <cellStyle name="Normal 13 9" xfId="6120" xr:uid="{00000000-0005-0000-0000-000027020000}"/>
    <cellStyle name="Normal 13_SSL" xfId="14550" xr:uid="{00000000-0005-0000-0000-000028020000}"/>
    <cellStyle name="Normal 14" xfId="1030" xr:uid="{00000000-0005-0000-0000-000029020000}"/>
    <cellStyle name="Normal 14 10" xfId="6121" xr:uid="{00000000-0005-0000-0000-00002A020000}"/>
    <cellStyle name="Normal 14 11" xfId="18028" xr:uid="{00000000-0005-0000-0000-00002B020000}"/>
    <cellStyle name="Normal 14 2" xfId="1100" xr:uid="{00000000-0005-0000-0000-00002C020000}"/>
    <cellStyle name="Normal 14 2 2" xfId="1104" xr:uid="{00000000-0005-0000-0000-00002D020000}"/>
    <cellStyle name="Normal 14 2 2 2" xfId="1927" xr:uid="{00000000-0005-0000-0000-00002E020000}"/>
    <cellStyle name="Normal 14 2 2 2 2" xfId="8575" xr:uid="{00000000-0005-0000-0000-00002F020000}"/>
    <cellStyle name="Normal 14 2 2 2 2 2" xfId="18029" xr:uid="{00000000-0005-0000-0000-000030020000}"/>
    <cellStyle name="Normal 14 2 2 2_SSL" xfId="16791" xr:uid="{00000000-0005-0000-0000-000031020000}"/>
    <cellStyle name="Normal 14 2 2 3" xfId="2745" xr:uid="{00000000-0005-0000-0000-000032020000}"/>
    <cellStyle name="Normal 14 2 2 3 2" xfId="9390" xr:uid="{00000000-0005-0000-0000-000033020000}"/>
    <cellStyle name="Normal 14 2 2 3_SSL" xfId="17160" xr:uid="{00000000-0005-0000-0000-000034020000}"/>
    <cellStyle name="Normal 14 2 2 4" xfId="3567" xr:uid="{00000000-0005-0000-0000-000035020000}"/>
    <cellStyle name="Normal 14 2 2 4 2" xfId="10208" xr:uid="{00000000-0005-0000-0000-000036020000}"/>
    <cellStyle name="Normal 14 2 2 4_SSL" xfId="9377" xr:uid="{00000000-0005-0000-0000-000037020000}"/>
    <cellStyle name="Normal 14 2 2 5" xfId="4379" xr:uid="{00000000-0005-0000-0000-000038020000}"/>
    <cellStyle name="Normal 14 2 2 5 2" xfId="11018" xr:uid="{00000000-0005-0000-0000-000039020000}"/>
    <cellStyle name="Normal 14 2 2 5_SSL" xfId="14456" xr:uid="{00000000-0005-0000-0000-00003A020000}"/>
    <cellStyle name="Normal 14 2 2 6" xfId="5189" xr:uid="{00000000-0005-0000-0000-00003B020000}"/>
    <cellStyle name="Normal 14 2 2 6 2" xfId="11827" xr:uid="{00000000-0005-0000-0000-00003C020000}"/>
    <cellStyle name="Normal 14 2 2 6_SSL" xfId="13597" xr:uid="{00000000-0005-0000-0000-00003D020000}"/>
    <cellStyle name="Normal 14 2 2 7" xfId="7762" xr:uid="{00000000-0005-0000-0000-00003E020000}"/>
    <cellStyle name="Normal 14 2 2 8" xfId="6084" xr:uid="{00000000-0005-0000-0000-00003F020000}"/>
    <cellStyle name="Normal 14 2 2_SSL" xfId="16793" xr:uid="{00000000-0005-0000-0000-000040020000}"/>
    <cellStyle name="Normal 14 2 3" xfId="1924" xr:uid="{00000000-0005-0000-0000-000041020000}"/>
    <cellStyle name="Normal 14 2 3 2" xfId="8572" xr:uid="{00000000-0005-0000-0000-000042020000}"/>
    <cellStyle name="Normal 14 2 3_SSL" xfId="16447" xr:uid="{00000000-0005-0000-0000-000043020000}"/>
    <cellStyle name="Normal 14 2 4" xfId="2742" xr:uid="{00000000-0005-0000-0000-000044020000}"/>
    <cellStyle name="Normal 14 2 4 2" xfId="9387" xr:uid="{00000000-0005-0000-0000-000045020000}"/>
    <cellStyle name="Normal 14 2 4_SSL" xfId="13026" xr:uid="{00000000-0005-0000-0000-000046020000}"/>
    <cellStyle name="Normal 14 2 5" xfId="3564" xr:uid="{00000000-0005-0000-0000-000047020000}"/>
    <cellStyle name="Normal 14 2 5 2" xfId="10205" xr:uid="{00000000-0005-0000-0000-000048020000}"/>
    <cellStyle name="Normal 14 2 5_SSL" xfId="15039" xr:uid="{00000000-0005-0000-0000-000049020000}"/>
    <cellStyle name="Normal 14 2 6" xfId="4376" xr:uid="{00000000-0005-0000-0000-00004A020000}"/>
    <cellStyle name="Normal 14 2 6 2" xfId="11015" xr:uid="{00000000-0005-0000-0000-00004B020000}"/>
    <cellStyle name="Normal 14 2 6_SSL" xfId="13576" xr:uid="{00000000-0005-0000-0000-00004C020000}"/>
    <cellStyle name="Normal 14 2 7" xfId="5186" xr:uid="{00000000-0005-0000-0000-00004D020000}"/>
    <cellStyle name="Normal 14 2 7 2" xfId="11824" xr:uid="{00000000-0005-0000-0000-00004E020000}"/>
    <cellStyle name="Normal 14 2 7_SSL" xfId="17458" xr:uid="{00000000-0005-0000-0000-00004F020000}"/>
    <cellStyle name="Normal 14 2 8" xfId="7758" xr:uid="{00000000-0005-0000-0000-000050020000}"/>
    <cellStyle name="Normal 14 2 9" xfId="6080" xr:uid="{00000000-0005-0000-0000-000051020000}"/>
    <cellStyle name="Normal 14 2_SSL" xfId="16955" xr:uid="{00000000-0005-0000-0000-000052020000}"/>
    <cellStyle name="Normal 14 3" xfId="1125" xr:uid="{00000000-0005-0000-0000-000053020000}"/>
    <cellStyle name="Normal 14 3 2" xfId="7780" xr:uid="{00000000-0005-0000-0000-000054020000}"/>
    <cellStyle name="Normal 14 3_SSL" xfId="14628" xr:uid="{00000000-0005-0000-0000-000055020000}"/>
    <cellStyle name="Normal 14 4" xfId="1945" xr:uid="{00000000-0005-0000-0000-000056020000}"/>
    <cellStyle name="Normal 14 4 2" xfId="8593" xr:uid="{00000000-0005-0000-0000-000057020000}"/>
    <cellStyle name="Normal 14 4_SSL" xfId="12751" xr:uid="{00000000-0005-0000-0000-000058020000}"/>
    <cellStyle name="Normal 14 5" xfId="2764" xr:uid="{00000000-0005-0000-0000-000059020000}"/>
    <cellStyle name="Normal 14 5 2" xfId="9409" xr:uid="{00000000-0005-0000-0000-00005A020000}"/>
    <cellStyle name="Normal 14 5_SSL" xfId="12884" xr:uid="{00000000-0005-0000-0000-00005B020000}"/>
    <cellStyle name="Normal 14 6" xfId="3585" xr:uid="{00000000-0005-0000-0000-00005C020000}"/>
    <cellStyle name="Normal 14 6 2" xfId="10226" xr:uid="{00000000-0005-0000-0000-00005D020000}"/>
    <cellStyle name="Normal 14 6_SSL" xfId="13187" xr:uid="{00000000-0005-0000-0000-00005E020000}"/>
    <cellStyle name="Normal 14 7" xfId="4397" xr:uid="{00000000-0005-0000-0000-00005F020000}"/>
    <cellStyle name="Normal 14 7 2" xfId="11036" xr:uid="{00000000-0005-0000-0000-000060020000}"/>
    <cellStyle name="Normal 14 7_SSL" xfId="16289" xr:uid="{00000000-0005-0000-0000-000061020000}"/>
    <cellStyle name="Normal 14 8" xfId="5207" xr:uid="{00000000-0005-0000-0000-000062020000}"/>
    <cellStyle name="Normal 14 8 2" xfId="11845" xr:uid="{00000000-0005-0000-0000-000063020000}"/>
    <cellStyle name="Normal 14 8_SSL" xfId="14293" xr:uid="{00000000-0005-0000-0000-000064020000}"/>
    <cellStyle name="Normal 14 9" xfId="7711" xr:uid="{00000000-0005-0000-0000-000065020000}"/>
    <cellStyle name="Normal 14_SSL" xfId="7761" xr:uid="{00000000-0005-0000-0000-000066020000}"/>
    <cellStyle name="Normal 15" xfId="1031" xr:uid="{00000000-0005-0000-0000-000067020000}"/>
    <cellStyle name="Normal 16" xfId="1041" xr:uid="{00000000-0005-0000-0000-000068020000}"/>
    <cellStyle name="Normal 17" xfId="1040" xr:uid="{00000000-0005-0000-0000-000069020000}"/>
    <cellStyle name="Normal 18" xfId="1049" xr:uid="{00000000-0005-0000-0000-00006A020000}"/>
    <cellStyle name="Normal 19" xfId="1039" xr:uid="{00000000-0005-0000-0000-00006B020000}"/>
    <cellStyle name="Normal 2" xfId="10" xr:uid="{00000000-0005-0000-0000-00006C020000}"/>
    <cellStyle name="Normal 2 10" xfId="104" xr:uid="{00000000-0005-0000-0000-00006D020000}"/>
    <cellStyle name="Normal 2 10 10" xfId="5208" xr:uid="{00000000-0005-0000-0000-00006E020000}"/>
    <cellStyle name="Normal 2 10 10 2" xfId="11846" xr:uid="{00000000-0005-0000-0000-00006F020000}"/>
    <cellStyle name="Normal 2 10 10_SSL" xfId="16837" xr:uid="{00000000-0005-0000-0000-000070020000}"/>
    <cellStyle name="Normal 2 10 11" xfId="6981" xr:uid="{00000000-0005-0000-0000-000071020000}"/>
    <cellStyle name="Normal 2 10 12" xfId="6125" xr:uid="{00000000-0005-0000-0000-000072020000}"/>
    <cellStyle name="Normal 2 10 2" xfId="200" xr:uid="{00000000-0005-0000-0000-000073020000}"/>
    <cellStyle name="Normal 2 10 2 10" xfId="7077" xr:uid="{00000000-0005-0000-0000-000074020000}"/>
    <cellStyle name="Normal 2 10 2 11" xfId="6126" xr:uid="{00000000-0005-0000-0000-000075020000}"/>
    <cellStyle name="Normal 2 10 2 2" xfId="268" xr:uid="{00000000-0005-0000-0000-000076020000}"/>
    <cellStyle name="Normal 2 10 2 2 10" xfId="6127" xr:uid="{00000000-0005-0000-0000-000077020000}"/>
    <cellStyle name="Normal 2 10 2 2 2" xfId="656" xr:uid="{00000000-0005-0000-0000-000078020000}"/>
    <cellStyle name="Normal 2 10 2 2 2 2" xfId="1130" xr:uid="{00000000-0005-0000-0000-000079020000}"/>
    <cellStyle name="Normal 2 10 2 2 2 2 2" xfId="7785" xr:uid="{00000000-0005-0000-0000-00007A020000}"/>
    <cellStyle name="Normal 2 10 2 2 2 2_SSL" xfId="12850" xr:uid="{00000000-0005-0000-0000-00007B020000}"/>
    <cellStyle name="Normal 2 10 2 2 2 3" xfId="1950" xr:uid="{00000000-0005-0000-0000-00007C020000}"/>
    <cellStyle name="Normal 2 10 2 2 2 3 2" xfId="8598" xr:uid="{00000000-0005-0000-0000-00007D020000}"/>
    <cellStyle name="Normal 2 10 2 2 2 3_SSL" xfId="14843" xr:uid="{00000000-0005-0000-0000-00007E020000}"/>
    <cellStyle name="Normal 2 10 2 2 2 4" xfId="2769" xr:uid="{00000000-0005-0000-0000-00007F020000}"/>
    <cellStyle name="Normal 2 10 2 2 2 4 2" xfId="9414" xr:uid="{00000000-0005-0000-0000-000080020000}"/>
    <cellStyle name="Normal 2 10 2 2 2 4_SSL" xfId="13924" xr:uid="{00000000-0005-0000-0000-000081020000}"/>
    <cellStyle name="Normal 2 10 2 2 2 5" xfId="3590" xr:uid="{00000000-0005-0000-0000-000082020000}"/>
    <cellStyle name="Normal 2 10 2 2 2 5 2" xfId="10230" xr:uid="{00000000-0005-0000-0000-000083020000}"/>
    <cellStyle name="Normal 2 10 2 2 2 5_SSL" xfId="14031" xr:uid="{00000000-0005-0000-0000-000084020000}"/>
    <cellStyle name="Normal 2 10 2 2 2 6" xfId="4401" xr:uid="{00000000-0005-0000-0000-000085020000}"/>
    <cellStyle name="Normal 2 10 2 2 2 6 2" xfId="11040" xr:uid="{00000000-0005-0000-0000-000086020000}"/>
    <cellStyle name="Normal 2 10 2 2 2 6_SSL" xfId="12807" xr:uid="{00000000-0005-0000-0000-000087020000}"/>
    <cellStyle name="Normal 2 10 2 2 2 7" xfId="5211" xr:uid="{00000000-0005-0000-0000-000088020000}"/>
    <cellStyle name="Normal 2 10 2 2 2 7 2" xfId="11849" xr:uid="{00000000-0005-0000-0000-000089020000}"/>
    <cellStyle name="Normal 2 10 2 2 2 7_SSL" xfId="15275" xr:uid="{00000000-0005-0000-0000-00008A020000}"/>
    <cellStyle name="Normal 2 10 2 2 2 8" xfId="7512" xr:uid="{00000000-0005-0000-0000-00008B020000}"/>
    <cellStyle name="Normal 2 10 2 2 2 9" xfId="6128" xr:uid="{00000000-0005-0000-0000-00008C020000}"/>
    <cellStyle name="Normal 2 10 2 2 2_SSL" xfId="16829" xr:uid="{00000000-0005-0000-0000-00008D020000}"/>
    <cellStyle name="Normal 2 10 2 2 3" xfId="1129" xr:uid="{00000000-0005-0000-0000-00008E020000}"/>
    <cellStyle name="Normal 2 10 2 2 3 2" xfId="7784" xr:uid="{00000000-0005-0000-0000-00008F020000}"/>
    <cellStyle name="Normal 2 10 2 2 3_SSL" xfId="17837" xr:uid="{00000000-0005-0000-0000-000090020000}"/>
    <cellStyle name="Normal 2 10 2 2 4" xfId="1949" xr:uid="{00000000-0005-0000-0000-000091020000}"/>
    <cellStyle name="Normal 2 10 2 2 4 2" xfId="8597" xr:uid="{00000000-0005-0000-0000-000092020000}"/>
    <cellStyle name="Normal 2 10 2 2 4_SSL" xfId="12836" xr:uid="{00000000-0005-0000-0000-000093020000}"/>
    <cellStyle name="Normal 2 10 2 2 5" xfId="2768" xr:uid="{00000000-0005-0000-0000-000094020000}"/>
    <cellStyle name="Normal 2 10 2 2 5 2" xfId="9413" xr:uid="{00000000-0005-0000-0000-000095020000}"/>
    <cellStyle name="Normal 2 10 2 2 5_SSL" xfId="12906" xr:uid="{00000000-0005-0000-0000-000096020000}"/>
    <cellStyle name="Normal 2 10 2 2 6" xfId="3589" xr:uid="{00000000-0005-0000-0000-000097020000}"/>
    <cellStyle name="Normal 2 10 2 2 6 2" xfId="10229" xr:uid="{00000000-0005-0000-0000-000098020000}"/>
    <cellStyle name="Normal 2 10 2 2 6_SSL" xfId="12880" xr:uid="{00000000-0005-0000-0000-000099020000}"/>
    <cellStyle name="Normal 2 10 2 2 7" xfId="4400" xr:uid="{00000000-0005-0000-0000-00009A020000}"/>
    <cellStyle name="Normal 2 10 2 2 7 2" xfId="11039" xr:uid="{00000000-0005-0000-0000-00009B020000}"/>
    <cellStyle name="Normal 2 10 2 2 7_SSL" xfId="12653" xr:uid="{00000000-0005-0000-0000-00009C020000}"/>
    <cellStyle name="Normal 2 10 2 2 8" xfId="5210" xr:uid="{00000000-0005-0000-0000-00009D020000}"/>
    <cellStyle name="Normal 2 10 2 2 8 2" xfId="11848" xr:uid="{00000000-0005-0000-0000-00009E020000}"/>
    <cellStyle name="Normal 2 10 2 2 8_SSL" xfId="17569" xr:uid="{00000000-0005-0000-0000-00009F020000}"/>
    <cellStyle name="Normal 2 10 2 2 9" xfId="7128" xr:uid="{00000000-0005-0000-0000-0000A0020000}"/>
    <cellStyle name="Normal 2 10 2 2_SSL" xfId="14241" xr:uid="{00000000-0005-0000-0000-0000A1020000}"/>
    <cellStyle name="Normal 2 10 2 3" xfId="605" xr:uid="{00000000-0005-0000-0000-0000A2020000}"/>
    <cellStyle name="Normal 2 10 2 3 2" xfId="1131" xr:uid="{00000000-0005-0000-0000-0000A3020000}"/>
    <cellStyle name="Normal 2 10 2 3 2 2" xfId="7786" xr:uid="{00000000-0005-0000-0000-0000A4020000}"/>
    <cellStyle name="Normal 2 10 2 3 2_SSL" xfId="15441" xr:uid="{00000000-0005-0000-0000-0000A5020000}"/>
    <cellStyle name="Normal 2 10 2 3 3" xfId="1951" xr:uid="{00000000-0005-0000-0000-0000A6020000}"/>
    <cellStyle name="Normal 2 10 2 3 3 2" xfId="8599" xr:uid="{00000000-0005-0000-0000-0000A7020000}"/>
    <cellStyle name="Normal 2 10 2 3 3_SSL" xfId="13590" xr:uid="{00000000-0005-0000-0000-0000A8020000}"/>
    <cellStyle name="Normal 2 10 2 3 4" xfId="2770" xr:uid="{00000000-0005-0000-0000-0000A9020000}"/>
    <cellStyle name="Normal 2 10 2 3 4 2" xfId="9415" xr:uid="{00000000-0005-0000-0000-0000AA020000}"/>
    <cellStyle name="Normal 2 10 2 3 4_SSL" xfId="17582" xr:uid="{00000000-0005-0000-0000-0000AB020000}"/>
    <cellStyle name="Normal 2 10 2 3 5" xfId="3591" xr:uid="{00000000-0005-0000-0000-0000AC020000}"/>
    <cellStyle name="Normal 2 10 2 3 5 2" xfId="10231" xr:uid="{00000000-0005-0000-0000-0000AD020000}"/>
    <cellStyle name="Normal 2 10 2 3 5_SSL" xfId="15536" xr:uid="{00000000-0005-0000-0000-0000AE020000}"/>
    <cellStyle name="Normal 2 10 2 3 6" xfId="4402" xr:uid="{00000000-0005-0000-0000-0000AF020000}"/>
    <cellStyle name="Normal 2 10 2 3 6 2" xfId="11041" xr:uid="{00000000-0005-0000-0000-0000B0020000}"/>
    <cellStyle name="Normal 2 10 2 3 6_SSL" xfId="17400" xr:uid="{00000000-0005-0000-0000-0000B1020000}"/>
    <cellStyle name="Normal 2 10 2 3 7" xfId="5212" xr:uid="{00000000-0005-0000-0000-0000B2020000}"/>
    <cellStyle name="Normal 2 10 2 3 7 2" xfId="11850" xr:uid="{00000000-0005-0000-0000-0000B3020000}"/>
    <cellStyle name="Normal 2 10 2 3 7_SSL" xfId="15620" xr:uid="{00000000-0005-0000-0000-0000B4020000}"/>
    <cellStyle name="Normal 2 10 2 3 8" xfId="7461" xr:uid="{00000000-0005-0000-0000-0000B5020000}"/>
    <cellStyle name="Normal 2 10 2 3 9" xfId="6129" xr:uid="{00000000-0005-0000-0000-0000B6020000}"/>
    <cellStyle name="Normal 2 10 2 3_SSL" xfId="16986" xr:uid="{00000000-0005-0000-0000-0000B7020000}"/>
    <cellStyle name="Normal 2 10 2 4" xfId="1128" xr:uid="{00000000-0005-0000-0000-0000B8020000}"/>
    <cellStyle name="Normal 2 10 2 4 2" xfId="7783" xr:uid="{00000000-0005-0000-0000-0000B9020000}"/>
    <cellStyle name="Normal 2 10 2 4_SSL" xfId="14835" xr:uid="{00000000-0005-0000-0000-0000BA020000}"/>
    <cellStyle name="Normal 2 10 2 5" xfId="1948" xr:uid="{00000000-0005-0000-0000-0000BB020000}"/>
    <cellStyle name="Normal 2 10 2 5 2" xfId="8596" xr:uid="{00000000-0005-0000-0000-0000BC020000}"/>
    <cellStyle name="Normal 2 10 2 5_SSL" xfId="12979" xr:uid="{00000000-0005-0000-0000-0000BD020000}"/>
    <cellStyle name="Normal 2 10 2 6" xfId="2767" xr:uid="{00000000-0005-0000-0000-0000BE020000}"/>
    <cellStyle name="Normal 2 10 2 6 2" xfId="9412" xr:uid="{00000000-0005-0000-0000-0000BF020000}"/>
    <cellStyle name="Normal 2 10 2 6_SSL" xfId="13463" xr:uid="{00000000-0005-0000-0000-0000C0020000}"/>
    <cellStyle name="Normal 2 10 2 7" xfId="3588" xr:uid="{00000000-0005-0000-0000-0000C1020000}"/>
    <cellStyle name="Normal 2 10 2 7 2" xfId="10228" xr:uid="{00000000-0005-0000-0000-0000C2020000}"/>
    <cellStyle name="Normal 2 10 2 7_SSL" xfId="14099" xr:uid="{00000000-0005-0000-0000-0000C3020000}"/>
    <cellStyle name="Normal 2 10 2 8" xfId="4399" xr:uid="{00000000-0005-0000-0000-0000C4020000}"/>
    <cellStyle name="Normal 2 10 2 8 2" xfId="11038" xr:uid="{00000000-0005-0000-0000-0000C5020000}"/>
    <cellStyle name="Normal 2 10 2 8_SSL" xfId="13066" xr:uid="{00000000-0005-0000-0000-0000C6020000}"/>
    <cellStyle name="Normal 2 10 2 9" xfId="5209" xr:uid="{00000000-0005-0000-0000-0000C7020000}"/>
    <cellStyle name="Normal 2 10 2 9 2" xfId="11847" xr:uid="{00000000-0005-0000-0000-0000C8020000}"/>
    <cellStyle name="Normal 2 10 2 9_SSL" xfId="16988" xr:uid="{00000000-0005-0000-0000-0000C9020000}"/>
    <cellStyle name="Normal 2 10 2_SSL" xfId="13934" xr:uid="{00000000-0005-0000-0000-0000CA020000}"/>
    <cellStyle name="Normal 2 10 3" xfId="267" xr:uid="{00000000-0005-0000-0000-0000CB020000}"/>
    <cellStyle name="Normal 2 10 3 10" xfId="6130" xr:uid="{00000000-0005-0000-0000-0000CC020000}"/>
    <cellStyle name="Normal 2 10 3 2" xfId="655" xr:uid="{00000000-0005-0000-0000-0000CD020000}"/>
    <cellStyle name="Normal 2 10 3 2 2" xfId="1133" xr:uid="{00000000-0005-0000-0000-0000CE020000}"/>
    <cellStyle name="Normal 2 10 3 2 2 2" xfId="7788" xr:uid="{00000000-0005-0000-0000-0000CF020000}"/>
    <cellStyle name="Normal 2 10 3 2 2_SSL" xfId="14656" xr:uid="{00000000-0005-0000-0000-0000D0020000}"/>
    <cellStyle name="Normal 2 10 3 2 3" xfId="1953" xr:uid="{00000000-0005-0000-0000-0000D1020000}"/>
    <cellStyle name="Normal 2 10 3 2 3 2" xfId="8601" xr:uid="{00000000-0005-0000-0000-0000D2020000}"/>
    <cellStyle name="Normal 2 10 3 2 3_SSL" xfId="15532" xr:uid="{00000000-0005-0000-0000-0000D3020000}"/>
    <cellStyle name="Normal 2 10 3 2 4" xfId="2772" xr:uid="{00000000-0005-0000-0000-0000D4020000}"/>
    <cellStyle name="Normal 2 10 3 2 4 2" xfId="9417" xr:uid="{00000000-0005-0000-0000-0000D5020000}"/>
    <cellStyle name="Normal 2 10 3 2 4_SSL" xfId="14688" xr:uid="{00000000-0005-0000-0000-0000D6020000}"/>
    <cellStyle name="Normal 2 10 3 2 5" xfId="3593" xr:uid="{00000000-0005-0000-0000-0000D7020000}"/>
    <cellStyle name="Normal 2 10 3 2 5 2" xfId="10233" xr:uid="{00000000-0005-0000-0000-0000D8020000}"/>
    <cellStyle name="Normal 2 10 3 2 5_SSL" xfId="16205" xr:uid="{00000000-0005-0000-0000-0000D9020000}"/>
    <cellStyle name="Normal 2 10 3 2 6" xfId="4404" xr:uid="{00000000-0005-0000-0000-0000DA020000}"/>
    <cellStyle name="Normal 2 10 3 2 6 2" xfId="11043" xr:uid="{00000000-0005-0000-0000-0000DB020000}"/>
    <cellStyle name="Normal 2 10 3 2 6_SSL" xfId="13976" xr:uid="{00000000-0005-0000-0000-0000DC020000}"/>
    <cellStyle name="Normal 2 10 3 2 7" xfId="5214" xr:uid="{00000000-0005-0000-0000-0000DD020000}"/>
    <cellStyle name="Normal 2 10 3 2 7 2" xfId="11852" xr:uid="{00000000-0005-0000-0000-0000DE020000}"/>
    <cellStyle name="Normal 2 10 3 2 7_SSL" xfId="15304" xr:uid="{00000000-0005-0000-0000-0000DF020000}"/>
    <cellStyle name="Normal 2 10 3 2 8" xfId="7511" xr:uid="{00000000-0005-0000-0000-0000E0020000}"/>
    <cellStyle name="Normal 2 10 3 2 9" xfId="6131" xr:uid="{00000000-0005-0000-0000-0000E1020000}"/>
    <cellStyle name="Normal 2 10 3 2_SSL" xfId="17449" xr:uid="{00000000-0005-0000-0000-0000E2020000}"/>
    <cellStyle name="Normal 2 10 3 3" xfId="1132" xr:uid="{00000000-0005-0000-0000-0000E3020000}"/>
    <cellStyle name="Normal 2 10 3 3 2" xfId="7787" xr:uid="{00000000-0005-0000-0000-0000E4020000}"/>
    <cellStyle name="Normal 2 10 3 3_SSL" xfId="14108" xr:uid="{00000000-0005-0000-0000-0000E5020000}"/>
    <cellStyle name="Normal 2 10 3 4" xfId="1952" xr:uid="{00000000-0005-0000-0000-0000E6020000}"/>
    <cellStyle name="Normal 2 10 3 4 2" xfId="8600" xr:uid="{00000000-0005-0000-0000-0000E7020000}"/>
    <cellStyle name="Normal 2 10 3 4_SSL" xfId="12665" xr:uid="{00000000-0005-0000-0000-0000E8020000}"/>
    <cellStyle name="Normal 2 10 3 5" xfId="2771" xr:uid="{00000000-0005-0000-0000-0000E9020000}"/>
    <cellStyle name="Normal 2 10 3 5 2" xfId="9416" xr:uid="{00000000-0005-0000-0000-0000EA020000}"/>
    <cellStyle name="Normal 2 10 3 5_SSL" xfId="15652" xr:uid="{00000000-0005-0000-0000-0000EB020000}"/>
    <cellStyle name="Normal 2 10 3 6" xfId="3592" xr:uid="{00000000-0005-0000-0000-0000EC020000}"/>
    <cellStyle name="Normal 2 10 3 6 2" xfId="10232" xr:uid="{00000000-0005-0000-0000-0000ED020000}"/>
    <cellStyle name="Normal 2 10 3 6_SSL" xfId="15834" xr:uid="{00000000-0005-0000-0000-0000EE020000}"/>
    <cellStyle name="Normal 2 10 3 7" xfId="4403" xr:uid="{00000000-0005-0000-0000-0000EF020000}"/>
    <cellStyle name="Normal 2 10 3 7 2" xfId="11042" xr:uid="{00000000-0005-0000-0000-0000F0020000}"/>
    <cellStyle name="Normal 2 10 3 7_SSL" xfId="15919" xr:uid="{00000000-0005-0000-0000-0000F1020000}"/>
    <cellStyle name="Normal 2 10 3 8" xfId="5213" xr:uid="{00000000-0005-0000-0000-0000F2020000}"/>
    <cellStyle name="Normal 2 10 3 8 2" xfId="11851" xr:uid="{00000000-0005-0000-0000-0000F3020000}"/>
    <cellStyle name="Normal 2 10 3 8_SSL" xfId="13571" xr:uid="{00000000-0005-0000-0000-0000F4020000}"/>
    <cellStyle name="Normal 2 10 3 9" xfId="7127" xr:uid="{00000000-0005-0000-0000-0000F5020000}"/>
    <cellStyle name="Normal 2 10 3_SSL" xfId="14390" xr:uid="{00000000-0005-0000-0000-0000F6020000}"/>
    <cellStyle name="Normal 2 10 4" xfId="509" xr:uid="{00000000-0005-0000-0000-0000F7020000}"/>
    <cellStyle name="Normal 2 10 4 2" xfId="1134" xr:uid="{00000000-0005-0000-0000-0000F8020000}"/>
    <cellStyle name="Normal 2 10 4 2 2" xfId="7789" xr:uid="{00000000-0005-0000-0000-0000F9020000}"/>
    <cellStyle name="Normal 2 10 4 2_SSL" xfId="16883" xr:uid="{00000000-0005-0000-0000-0000FA020000}"/>
    <cellStyle name="Normal 2 10 4 3" xfId="1954" xr:uid="{00000000-0005-0000-0000-0000FB020000}"/>
    <cellStyle name="Normal 2 10 4 3 2" xfId="8602" xr:uid="{00000000-0005-0000-0000-0000FC020000}"/>
    <cellStyle name="Normal 2 10 4 3_SSL" xfId="17804" xr:uid="{00000000-0005-0000-0000-0000FD020000}"/>
    <cellStyle name="Normal 2 10 4 4" xfId="2773" xr:uid="{00000000-0005-0000-0000-0000FE020000}"/>
    <cellStyle name="Normal 2 10 4 4 2" xfId="9418" xr:uid="{00000000-0005-0000-0000-0000FF020000}"/>
    <cellStyle name="Normal 2 10 4 4_SSL" xfId="16870" xr:uid="{00000000-0005-0000-0000-000000030000}"/>
    <cellStyle name="Normal 2 10 4 5" xfId="3594" xr:uid="{00000000-0005-0000-0000-000001030000}"/>
    <cellStyle name="Normal 2 10 4 5 2" xfId="10234" xr:uid="{00000000-0005-0000-0000-000002030000}"/>
    <cellStyle name="Normal 2 10 4 5_SSL" xfId="5997" xr:uid="{00000000-0005-0000-0000-000003030000}"/>
    <cellStyle name="Normal 2 10 4 6" xfId="4405" xr:uid="{00000000-0005-0000-0000-000004030000}"/>
    <cellStyle name="Normal 2 10 4 6 2" xfId="11044" xr:uid="{00000000-0005-0000-0000-000005030000}"/>
    <cellStyle name="Normal 2 10 4 6_SSL" xfId="15461" xr:uid="{00000000-0005-0000-0000-000006030000}"/>
    <cellStyle name="Normal 2 10 4 7" xfId="5215" xr:uid="{00000000-0005-0000-0000-000007030000}"/>
    <cellStyle name="Normal 2 10 4 7 2" xfId="11853" xr:uid="{00000000-0005-0000-0000-000008030000}"/>
    <cellStyle name="Normal 2 10 4 7_SSL" xfId="15174" xr:uid="{00000000-0005-0000-0000-000009030000}"/>
    <cellStyle name="Normal 2 10 4 8" xfId="7365" xr:uid="{00000000-0005-0000-0000-00000A030000}"/>
    <cellStyle name="Normal 2 10 4 9" xfId="6132" xr:uid="{00000000-0005-0000-0000-00000B030000}"/>
    <cellStyle name="Normal 2 10 4_SSL" xfId="17633" xr:uid="{00000000-0005-0000-0000-00000C030000}"/>
    <cellStyle name="Normal 2 10 5" xfId="1127" xr:uid="{00000000-0005-0000-0000-00000D030000}"/>
    <cellStyle name="Normal 2 10 5 2" xfId="7782" xr:uid="{00000000-0005-0000-0000-00000E030000}"/>
    <cellStyle name="Normal 2 10 5_SSL" xfId="15535" xr:uid="{00000000-0005-0000-0000-00000F030000}"/>
    <cellStyle name="Normal 2 10 6" xfId="1947" xr:uid="{00000000-0005-0000-0000-000010030000}"/>
    <cellStyle name="Normal 2 10 6 2" xfId="8595" xr:uid="{00000000-0005-0000-0000-000011030000}"/>
    <cellStyle name="Normal 2 10 6_SSL" xfId="13708" xr:uid="{00000000-0005-0000-0000-000012030000}"/>
    <cellStyle name="Normal 2 10 7" xfId="2766" xr:uid="{00000000-0005-0000-0000-000013030000}"/>
    <cellStyle name="Normal 2 10 7 2" xfId="9411" xr:uid="{00000000-0005-0000-0000-000014030000}"/>
    <cellStyle name="Normal 2 10 7_SSL" xfId="15710" xr:uid="{00000000-0005-0000-0000-000015030000}"/>
    <cellStyle name="Normal 2 10 8" xfId="3587" xr:uid="{00000000-0005-0000-0000-000016030000}"/>
    <cellStyle name="Normal 2 10 8 2" xfId="10227" xr:uid="{00000000-0005-0000-0000-000017030000}"/>
    <cellStyle name="Normal 2 10 8_SSL" xfId="14102" xr:uid="{00000000-0005-0000-0000-000018030000}"/>
    <cellStyle name="Normal 2 10 9" xfId="4398" xr:uid="{00000000-0005-0000-0000-000019030000}"/>
    <cellStyle name="Normal 2 10 9 2" xfId="11037" xr:uid="{00000000-0005-0000-0000-00001A030000}"/>
    <cellStyle name="Normal 2 10 9_SSL" xfId="13938" xr:uid="{00000000-0005-0000-0000-00001B030000}"/>
    <cellStyle name="Normal 2 10_SSL" xfId="13643" xr:uid="{00000000-0005-0000-0000-00001C030000}"/>
    <cellStyle name="Normal 2 11" xfId="129" xr:uid="{00000000-0005-0000-0000-00001D030000}"/>
    <cellStyle name="Normal 2 11 10" xfId="7006" xr:uid="{00000000-0005-0000-0000-00001E030000}"/>
    <cellStyle name="Normal 2 11 11" xfId="6133" xr:uid="{00000000-0005-0000-0000-00001F030000}"/>
    <cellStyle name="Normal 2 11 2" xfId="269" xr:uid="{00000000-0005-0000-0000-000020030000}"/>
    <cellStyle name="Normal 2 11 2 10" xfId="6134" xr:uid="{00000000-0005-0000-0000-000021030000}"/>
    <cellStyle name="Normal 2 11 2 2" xfId="657" xr:uid="{00000000-0005-0000-0000-000022030000}"/>
    <cellStyle name="Normal 2 11 2 2 2" xfId="1137" xr:uid="{00000000-0005-0000-0000-000023030000}"/>
    <cellStyle name="Normal 2 11 2 2 2 2" xfId="7792" xr:uid="{00000000-0005-0000-0000-000024030000}"/>
    <cellStyle name="Normal 2 11 2 2 2_SSL" xfId="17817" xr:uid="{00000000-0005-0000-0000-000025030000}"/>
    <cellStyle name="Normal 2 11 2 2 3" xfId="1957" xr:uid="{00000000-0005-0000-0000-000026030000}"/>
    <cellStyle name="Normal 2 11 2 2 3 2" xfId="8605" xr:uid="{00000000-0005-0000-0000-000027030000}"/>
    <cellStyle name="Normal 2 11 2 2 3_SSL" xfId="15604" xr:uid="{00000000-0005-0000-0000-000028030000}"/>
    <cellStyle name="Normal 2 11 2 2 4" xfId="2776" xr:uid="{00000000-0005-0000-0000-000029030000}"/>
    <cellStyle name="Normal 2 11 2 2 4 2" xfId="9421" xr:uid="{00000000-0005-0000-0000-00002A030000}"/>
    <cellStyle name="Normal 2 11 2 2 4_SSL" xfId="16379" xr:uid="{00000000-0005-0000-0000-00002B030000}"/>
    <cellStyle name="Normal 2 11 2 2 5" xfId="3597" xr:uid="{00000000-0005-0000-0000-00002C030000}"/>
    <cellStyle name="Normal 2 11 2 2 5 2" xfId="10237" xr:uid="{00000000-0005-0000-0000-00002D030000}"/>
    <cellStyle name="Normal 2 11 2 2 5_SSL" xfId="14733" xr:uid="{00000000-0005-0000-0000-00002E030000}"/>
    <cellStyle name="Normal 2 11 2 2 6" xfId="4408" xr:uid="{00000000-0005-0000-0000-00002F030000}"/>
    <cellStyle name="Normal 2 11 2 2 6 2" xfId="11047" xr:uid="{00000000-0005-0000-0000-000030030000}"/>
    <cellStyle name="Normal 2 11 2 2 6_SSL" xfId="13079" xr:uid="{00000000-0005-0000-0000-000031030000}"/>
    <cellStyle name="Normal 2 11 2 2 7" xfId="5218" xr:uid="{00000000-0005-0000-0000-000032030000}"/>
    <cellStyle name="Normal 2 11 2 2 7 2" xfId="11856" xr:uid="{00000000-0005-0000-0000-000033030000}"/>
    <cellStyle name="Normal 2 11 2 2 7_SSL" xfId="13790" xr:uid="{00000000-0005-0000-0000-000034030000}"/>
    <cellStyle name="Normal 2 11 2 2 8" xfId="7513" xr:uid="{00000000-0005-0000-0000-000035030000}"/>
    <cellStyle name="Normal 2 11 2 2 9" xfId="6135" xr:uid="{00000000-0005-0000-0000-000036030000}"/>
    <cellStyle name="Normal 2 11 2 2_SSL" xfId="17107" xr:uid="{00000000-0005-0000-0000-000037030000}"/>
    <cellStyle name="Normal 2 11 2 3" xfId="1136" xr:uid="{00000000-0005-0000-0000-000038030000}"/>
    <cellStyle name="Normal 2 11 2 3 2" xfId="7791" xr:uid="{00000000-0005-0000-0000-000039030000}"/>
    <cellStyle name="Normal 2 11 2 3_SSL" xfId="13232" xr:uid="{00000000-0005-0000-0000-00003A030000}"/>
    <cellStyle name="Normal 2 11 2 4" xfId="1956" xr:uid="{00000000-0005-0000-0000-00003B030000}"/>
    <cellStyle name="Normal 2 11 2 4 2" xfId="8604" xr:uid="{00000000-0005-0000-0000-00003C030000}"/>
    <cellStyle name="Normal 2 11 2 4_SSL" xfId="16382" xr:uid="{00000000-0005-0000-0000-00003D030000}"/>
    <cellStyle name="Normal 2 11 2 5" xfId="2775" xr:uid="{00000000-0005-0000-0000-00003E030000}"/>
    <cellStyle name="Normal 2 11 2 5 2" xfId="9420" xr:uid="{00000000-0005-0000-0000-00003F030000}"/>
    <cellStyle name="Normal 2 11 2 5_SSL" xfId="15272" xr:uid="{00000000-0005-0000-0000-000040030000}"/>
    <cellStyle name="Normal 2 11 2 6" xfId="3596" xr:uid="{00000000-0005-0000-0000-000041030000}"/>
    <cellStyle name="Normal 2 11 2 6 2" xfId="10236" xr:uid="{00000000-0005-0000-0000-000042030000}"/>
    <cellStyle name="Normal 2 11 2 6_SSL" xfId="17663" xr:uid="{00000000-0005-0000-0000-000043030000}"/>
    <cellStyle name="Normal 2 11 2 7" xfId="4407" xr:uid="{00000000-0005-0000-0000-000044030000}"/>
    <cellStyle name="Normal 2 11 2 7 2" xfId="11046" xr:uid="{00000000-0005-0000-0000-000045030000}"/>
    <cellStyle name="Normal 2 11 2 7_SSL" xfId="16039" xr:uid="{00000000-0005-0000-0000-000046030000}"/>
    <cellStyle name="Normal 2 11 2 8" xfId="5217" xr:uid="{00000000-0005-0000-0000-000047030000}"/>
    <cellStyle name="Normal 2 11 2 8 2" xfId="11855" xr:uid="{00000000-0005-0000-0000-000048030000}"/>
    <cellStyle name="Normal 2 11 2 8_SSL" xfId="12806" xr:uid="{00000000-0005-0000-0000-000049030000}"/>
    <cellStyle name="Normal 2 11 2 9" xfId="7129" xr:uid="{00000000-0005-0000-0000-00004A030000}"/>
    <cellStyle name="Normal 2 11 2_SSL" xfId="17299" xr:uid="{00000000-0005-0000-0000-00004B030000}"/>
    <cellStyle name="Normal 2 11 3" xfId="534" xr:uid="{00000000-0005-0000-0000-00004C030000}"/>
    <cellStyle name="Normal 2 11 3 2" xfId="1138" xr:uid="{00000000-0005-0000-0000-00004D030000}"/>
    <cellStyle name="Normal 2 11 3 2 2" xfId="7793" xr:uid="{00000000-0005-0000-0000-00004E030000}"/>
    <cellStyle name="Normal 2 11 3 2_SSL" xfId="17503" xr:uid="{00000000-0005-0000-0000-00004F030000}"/>
    <cellStyle name="Normal 2 11 3 3" xfId="1958" xr:uid="{00000000-0005-0000-0000-000050030000}"/>
    <cellStyle name="Normal 2 11 3 3 2" xfId="8606" xr:uid="{00000000-0005-0000-0000-000051030000}"/>
    <cellStyle name="Normal 2 11 3 3_SSL" xfId="16812" xr:uid="{00000000-0005-0000-0000-000052030000}"/>
    <cellStyle name="Normal 2 11 3 4" xfId="2777" xr:uid="{00000000-0005-0000-0000-000053030000}"/>
    <cellStyle name="Normal 2 11 3 4 2" xfId="9422" xr:uid="{00000000-0005-0000-0000-000054030000}"/>
    <cellStyle name="Normal 2 11 3 4_SSL" xfId="12768" xr:uid="{00000000-0005-0000-0000-000055030000}"/>
    <cellStyle name="Normal 2 11 3 5" xfId="3598" xr:uid="{00000000-0005-0000-0000-000056030000}"/>
    <cellStyle name="Normal 2 11 3 5 2" xfId="10238" xr:uid="{00000000-0005-0000-0000-000057030000}"/>
    <cellStyle name="Normal 2 11 3 5_SSL" xfId="18022" xr:uid="{00000000-0005-0000-0000-000058030000}"/>
    <cellStyle name="Normal 2 11 3 6" xfId="4409" xr:uid="{00000000-0005-0000-0000-000059030000}"/>
    <cellStyle name="Normal 2 11 3 6 2" xfId="11048" xr:uid="{00000000-0005-0000-0000-00005A030000}"/>
    <cellStyle name="Normal 2 11 3 6_SSL" xfId="16919" xr:uid="{00000000-0005-0000-0000-00005B030000}"/>
    <cellStyle name="Normal 2 11 3 7" xfId="5219" xr:uid="{00000000-0005-0000-0000-00005C030000}"/>
    <cellStyle name="Normal 2 11 3 7 2" xfId="11857" xr:uid="{00000000-0005-0000-0000-00005D030000}"/>
    <cellStyle name="Normal 2 11 3 7_SSL" xfId="16564" xr:uid="{00000000-0005-0000-0000-00005E030000}"/>
    <cellStyle name="Normal 2 11 3 8" xfId="7390" xr:uid="{00000000-0005-0000-0000-00005F030000}"/>
    <cellStyle name="Normal 2 11 3 9" xfId="6136" xr:uid="{00000000-0005-0000-0000-000060030000}"/>
    <cellStyle name="Normal 2 11 3_SSL" xfId="13882" xr:uid="{00000000-0005-0000-0000-000061030000}"/>
    <cellStyle name="Normal 2 11 4" xfId="1135" xr:uid="{00000000-0005-0000-0000-000062030000}"/>
    <cellStyle name="Normal 2 11 4 2" xfId="7790" xr:uid="{00000000-0005-0000-0000-000063030000}"/>
    <cellStyle name="Normal 2 11 4_SSL" xfId="17296" xr:uid="{00000000-0005-0000-0000-000064030000}"/>
    <cellStyle name="Normal 2 11 5" xfId="1955" xr:uid="{00000000-0005-0000-0000-000065030000}"/>
    <cellStyle name="Normal 2 11 5 2" xfId="8603" xr:uid="{00000000-0005-0000-0000-000066030000}"/>
    <cellStyle name="Normal 2 11 5_SSL" xfId="14562" xr:uid="{00000000-0005-0000-0000-000067030000}"/>
    <cellStyle name="Normal 2 11 6" xfId="2774" xr:uid="{00000000-0005-0000-0000-000068030000}"/>
    <cellStyle name="Normal 2 11 6 2" xfId="9419" xr:uid="{00000000-0005-0000-0000-000069030000}"/>
    <cellStyle name="Normal 2 11 6_SSL" xfId="16310" xr:uid="{00000000-0005-0000-0000-00006A030000}"/>
    <cellStyle name="Normal 2 11 7" xfId="3595" xr:uid="{00000000-0005-0000-0000-00006B030000}"/>
    <cellStyle name="Normal 2 11 7 2" xfId="10235" xr:uid="{00000000-0005-0000-0000-00006C030000}"/>
    <cellStyle name="Normal 2 11 7_SSL" xfId="6063" xr:uid="{00000000-0005-0000-0000-00006D030000}"/>
    <cellStyle name="Normal 2 11 8" xfId="4406" xr:uid="{00000000-0005-0000-0000-00006E030000}"/>
    <cellStyle name="Normal 2 11 8 2" xfId="11045" xr:uid="{00000000-0005-0000-0000-00006F030000}"/>
    <cellStyle name="Normal 2 11 8_SSL" xfId="12882" xr:uid="{00000000-0005-0000-0000-000070030000}"/>
    <cellStyle name="Normal 2 11 9" xfId="5216" xr:uid="{00000000-0005-0000-0000-000071030000}"/>
    <cellStyle name="Normal 2 11 9 2" xfId="11854" xr:uid="{00000000-0005-0000-0000-000072030000}"/>
    <cellStyle name="Normal 2 11 9_SSL" xfId="15800" xr:uid="{00000000-0005-0000-0000-000073030000}"/>
    <cellStyle name="Normal 2 11_SSL" xfId="13900" xr:uid="{00000000-0005-0000-0000-000074030000}"/>
    <cellStyle name="Normal 2 12" xfId="225" xr:uid="{00000000-0005-0000-0000-000075030000}"/>
    <cellStyle name="Normal 2 12 10" xfId="7102" xr:uid="{00000000-0005-0000-0000-000076030000}"/>
    <cellStyle name="Normal 2 12 11" xfId="6137" xr:uid="{00000000-0005-0000-0000-000077030000}"/>
    <cellStyle name="Normal 2 12 2" xfId="270" xr:uid="{00000000-0005-0000-0000-000078030000}"/>
    <cellStyle name="Normal 2 12 2 10" xfId="6138" xr:uid="{00000000-0005-0000-0000-000079030000}"/>
    <cellStyle name="Normal 2 12 2 2" xfId="658" xr:uid="{00000000-0005-0000-0000-00007A030000}"/>
    <cellStyle name="Normal 2 12 2 2 2" xfId="1141" xr:uid="{00000000-0005-0000-0000-00007B030000}"/>
    <cellStyle name="Normal 2 12 2 2 2 2" xfId="7796" xr:uid="{00000000-0005-0000-0000-00007C030000}"/>
    <cellStyle name="Normal 2 12 2 2 2_SSL" xfId="14010" xr:uid="{00000000-0005-0000-0000-00007D030000}"/>
    <cellStyle name="Normal 2 12 2 2 3" xfId="1961" xr:uid="{00000000-0005-0000-0000-00007E030000}"/>
    <cellStyle name="Normal 2 12 2 2 3 2" xfId="8609" xr:uid="{00000000-0005-0000-0000-00007F030000}"/>
    <cellStyle name="Normal 2 12 2 2 3_SSL" xfId="15248" xr:uid="{00000000-0005-0000-0000-000080030000}"/>
    <cellStyle name="Normal 2 12 2 2 4" xfId="2780" xr:uid="{00000000-0005-0000-0000-000081030000}"/>
    <cellStyle name="Normal 2 12 2 2 4 2" xfId="9425" xr:uid="{00000000-0005-0000-0000-000082030000}"/>
    <cellStyle name="Normal 2 12 2 2 4_SSL" xfId="13539" xr:uid="{00000000-0005-0000-0000-000083030000}"/>
    <cellStyle name="Normal 2 12 2 2 5" xfId="3601" xr:uid="{00000000-0005-0000-0000-000084030000}"/>
    <cellStyle name="Normal 2 12 2 2 5 2" xfId="10241" xr:uid="{00000000-0005-0000-0000-000085030000}"/>
    <cellStyle name="Normal 2 12 2 2 5_SSL" xfId="15806" xr:uid="{00000000-0005-0000-0000-000086030000}"/>
    <cellStyle name="Normal 2 12 2 2 6" xfId="4412" xr:uid="{00000000-0005-0000-0000-000087030000}"/>
    <cellStyle name="Normal 2 12 2 2 6 2" xfId="11051" xr:uid="{00000000-0005-0000-0000-000088030000}"/>
    <cellStyle name="Normal 2 12 2 2 6_SSL" xfId="12938" xr:uid="{00000000-0005-0000-0000-000089030000}"/>
    <cellStyle name="Normal 2 12 2 2 7" xfId="5222" xr:uid="{00000000-0005-0000-0000-00008A030000}"/>
    <cellStyle name="Normal 2 12 2 2 7 2" xfId="11860" xr:uid="{00000000-0005-0000-0000-00008B030000}"/>
    <cellStyle name="Normal 2 12 2 2 7_SSL" xfId="16238" xr:uid="{00000000-0005-0000-0000-00008C030000}"/>
    <cellStyle name="Normal 2 12 2 2 8" xfId="7514" xr:uid="{00000000-0005-0000-0000-00008D030000}"/>
    <cellStyle name="Normal 2 12 2 2 9" xfId="6139" xr:uid="{00000000-0005-0000-0000-00008E030000}"/>
    <cellStyle name="Normal 2 12 2 2_SSL" xfId="14252" xr:uid="{00000000-0005-0000-0000-00008F030000}"/>
    <cellStyle name="Normal 2 12 2 3" xfId="1140" xr:uid="{00000000-0005-0000-0000-000090030000}"/>
    <cellStyle name="Normal 2 12 2 3 2" xfId="7795" xr:uid="{00000000-0005-0000-0000-000091030000}"/>
    <cellStyle name="Normal 2 12 2 3_SSL" xfId="15520" xr:uid="{00000000-0005-0000-0000-000092030000}"/>
    <cellStyle name="Normal 2 12 2 4" xfId="1960" xr:uid="{00000000-0005-0000-0000-000093030000}"/>
    <cellStyle name="Normal 2 12 2 4 2" xfId="8608" xr:uid="{00000000-0005-0000-0000-000094030000}"/>
    <cellStyle name="Normal 2 12 2 4_SSL" xfId="13638" xr:uid="{00000000-0005-0000-0000-000095030000}"/>
    <cellStyle name="Normal 2 12 2 5" xfId="2779" xr:uid="{00000000-0005-0000-0000-000096030000}"/>
    <cellStyle name="Normal 2 12 2 5 2" xfId="9424" xr:uid="{00000000-0005-0000-0000-000097030000}"/>
    <cellStyle name="Normal 2 12 2 5_SSL" xfId="17767" xr:uid="{00000000-0005-0000-0000-000098030000}"/>
    <cellStyle name="Normal 2 12 2 6" xfId="3600" xr:uid="{00000000-0005-0000-0000-000099030000}"/>
    <cellStyle name="Normal 2 12 2 6 2" xfId="10240" xr:uid="{00000000-0005-0000-0000-00009A030000}"/>
    <cellStyle name="Normal 2 12 2 6_SSL" xfId="13706" xr:uid="{00000000-0005-0000-0000-00009B030000}"/>
    <cellStyle name="Normal 2 12 2 7" xfId="4411" xr:uid="{00000000-0005-0000-0000-00009C030000}"/>
    <cellStyle name="Normal 2 12 2 7 2" xfId="11050" xr:uid="{00000000-0005-0000-0000-00009D030000}"/>
    <cellStyle name="Normal 2 12 2 7_SSL" xfId="17899" xr:uid="{00000000-0005-0000-0000-00009E030000}"/>
    <cellStyle name="Normal 2 12 2 8" xfId="5221" xr:uid="{00000000-0005-0000-0000-00009F030000}"/>
    <cellStyle name="Normal 2 12 2 8 2" xfId="11859" xr:uid="{00000000-0005-0000-0000-0000A0030000}"/>
    <cellStyle name="Normal 2 12 2 8_SSL" xfId="14592" xr:uid="{00000000-0005-0000-0000-0000A1030000}"/>
    <cellStyle name="Normal 2 12 2 9" xfId="7130" xr:uid="{00000000-0005-0000-0000-0000A2030000}"/>
    <cellStyle name="Normal 2 12 2_SSL" xfId="13471" xr:uid="{00000000-0005-0000-0000-0000A3030000}"/>
    <cellStyle name="Normal 2 12 3" xfId="630" xr:uid="{00000000-0005-0000-0000-0000A4030000}"/>
    <cellStyle name="Normal 2 12 3 2" xfId="1142" xr:uid="{00000000-0005-0000-0000-0000A5030000}"/>
    <cellStyle name="Normal 2 12 3 2 2" xfId="7797" xr:uid="{00000000-0005-0000-0000-0000A6030000}"/>
    <cellStyle name="Normal 2 12 3 2_SSL" xfId="14523" xr:uid="{00000000-0005-0000-0000-0000A7030000}"/>
    <cellStyle name="Normal 2 12 3 3" xfId="1962" xr:uid="{00000000-0005-0000-0000-0000A8030000}"/>
    <cellStyle name="Normal 2 12 3 3 2" xfId="8610" xr:uid="{00000000-0005-0000-0000-0000A9030000}"/>
    <cellStyle name="Normal 2 12 3 3_SSL" xfId="16321" xr:uid="{00000000-0005-0000-0000-0000AA030000}"/>
    <cellStyle name="Normal 2 12 3 4" xfId="2781" xr:uid="{00000000-0005-0000-0000-0000AB030000}"/>
    <cellStyle name="Normal 2 12 3 4 2" xfId="9426" xr:uid="{00000000-0005-0000-0000-0000AC030000}"/>
    <cellStyle name="Normal 2 12 3 4_SSL" xfId="15844" xr:uid="{00000000-0005-0000-0000-0000AD030000}"/>
    <cellStyle name="Normal 2 12 3 5" xfId="3602" xr:uid="{00000000-0005-0000-0000-0000AE030000}"/>
    <cellStyle name="Normal 2 12 3 5 2" xfId="10242" xr:uid="{00000000-0005-0000-0000-0000AF030000}"/>
    <cellStyle name="Normal 2 12 3 5_SSL" xfId="17263" xr:uid="{00000000-0005-0000-0000-0000B0030000}"/>
    <cellStyle name="Normal 2 12 3 6" xfId="4413" xr:uid="{00000000-0005-0000-0000-0000B1030000}"/>
    <cellStyle name="Normal 2 12 3 6 2" xfId="11052" xr:uid="{00000000-0005-0000-0000-0000B2030000}"/>
    <cellStyle name="Normal 2 12 3 6_SSL" xfId="13089" xr:uid="{00000000-0005-0000-0000-0000B3030000}"/>
    <cellStyle name="Normal 2 12 3 7" xfId="5223" xr:uid="{00000000-0005-0000-0000-0000B4030000}"/>
    <cellStyle name="Normal 2 12 3 7 2" xfId="11861" xr:uid="{00000000-0005-0000-0000-0000B5030000}"/>
    <cellStyle name="Normal 2 12 3 7_SSL" xfId="16022" xr:uid="{00000000-0005-0000-0000-0000B6030000}"/>
    <cellStyle name="Normal 2 12 3 8" xfId="7486" xr:uid="{00000000-0005-0000-0000-0000B7030000}"/>
    <cellStyle name="Normal 2 12 3 9" xfId="6140" xr:uid="{00000000-0005-0000-0000-0000B8030000}"/>
    <cellStyle name="Normal 2 12 3_SSL" xfId="16498" xr:uid="{00000000-0005-0000-0000-0000B9030000}"/>
    <cellStyle name="Normal 2 12 4" xfId="1139" xr:uid="{00000000-0005-0000-0000-0000BA030000}"/>
    <cellStyle name="Normal 2 12 4 2" xfId="7794" xr:uid="{00000000-0005-0000-0000-0000BB030000}"/>
    <cellStyle name="Normal 2 12 4_SSL" xfId="17965" xr:uid="{00000000-0005-0000-0000-0000BC030000}"/>
    <cellStyle name="Normal 2 12 5" xfId="1959" xr:uid="{00000000-0005-0000-0000-0000BD030000}"/>
    <cellStyle name="Normal 2 12 5 2" xfId="8607" xr:uid="{00000000-0005-0000-0000-0000BE030000}"/>
    <cellStyle name="Normal 2 12 5_SSL" xfId="14539" xr:uid="{00000000-0005-0000-0000-0000BF030000}"/>
    <cellStyle name="Normal 2 12 6" xfId="2778" xr:uid="{00000000-0005-0000-0000-0000C0030000}"/>
    <cellStyle name="Normal 2 12 6 2" xfId="9423" xr:uid="{00000000-0005-0000-0000-0000C1030000}"/>
    <cellStyle name="Normal 2 12 6_SSL" xfId="13830" xr:uid="{00000000-0005-0000-0000-0000C2030000}"/>
    <cellStyle name="Normal 2 12 7" xfId="3599" xr:uid="{00000000-0005-0000-0000-0000C3030000}"/>
    <cellStyle name="Normal 2 12 7 2" xfId="10239" xr:uid="{00000000-0005-0000-0000-0000C4030000}"/>
    <cellStyle name="Normal 2 12 7_SSL" xfId="14431" xr:uid="{00000000-0005-0000-0000-0000C5030000}"/>
    <cellStyle name="Normal 2 12 8" xfId="4410" xr:uid="{00000000-0005-0000-0000-0000C6030000}"/>
    <cellStyle name="Normal 2 12 8 2" xfId="11049" xr:uid="{00000000-0005-0000-0000-0000C7030000}"/>
    <cellStyle name="Normal 2 12 8_SSL" xfId="13899" xr:uid="{00000000-0005-0000-0000-0000C8030000}"/>
    <cellStyle name="Normal 2 12 9" xfId="5220" xr:uid="{00000000-0005-0000-0000-0000C9030000}"/>
    <cellStyle name="Normal 2 12 9 2" xfId="11858" xr:uid="{00000000-0005-0000-0000-0000CA030000}"/>
    <cellStyle name="Normal 2 12 9_SSL" xfId="17948" xr:uid="{00000000-0005-0000-0000-0000CB030000}"/>
    <cellStyle name="Normal 2 12_SSL" xfId="16459" xr:uid="{00000000-0005-0000-0000-0000CC030000}"/>
    <cellStyle name="Normal 2 13" xfId="1042" xr:uid="{00000000-0005-0000-0000-0000CD030000}"/>
    <cellStyle name="Normal 2 13 2" xfId="1143" xr:uid="{00000000-0005-0000-0000-0000CE030000}"/>
    <cellStyle name="Normal 2 13 2 2" xfId="7798" xr:uid="{00000000-0005-0000-0000-0000CF030000}"/>
    <cellStyle name="Normal 2 13 2_SSL" xfId="17487" xr:uid="{00000000-0005-0000-0000-0000D0030000}"/>
    <cellStyle name="Normal 2 13 3" xfId="1963" xr:uid="{00000000-0005-0000-0000-0000D1030000}"/>
    <cellStyle name="Normal 2 13 3 2" xfId="8611" xr:uid="{00000000-0005-0000-0000-0000D2030000}"/>
    <cellStyle name="Normal 2 13 3_SSL" xfId="15567" xr:uid="{00000000-0005-0000-0000-0000D3030000}"/>
    <cellStyle name="Normal 2 13 4" xfId="2782" xr:uid="{00000000-0005-0000-0000-0000D4030000}"/>
    <cellStyle name="Normal 2 13 4 2" xfId="9427" xr:uid="{00000000-0005-0000-0000-0000D5030000}"/>
    <cellStyle name="Normal 2 13 4_SSL" xfId="14215" xr:uid="{00000000-0005-0000-0000-0000D6030000}"/>
    <cellStyle name="Normal 2 13 5" xfId="3603" xr:uid="{00000000-0005-0000-0000-0000D7030000}"/>
    <cellStyle name="Normal 2 13 5 2" xfId="10243" xr:uid="{00000000-0005-0000-0000-0000D8030000}"/>
    <cellStyle name="Normal 2 13 5_SSL" xfId="14489" xr:uid="{00000000-0005-0000-0000-0000D9030000}"/>
    <cellStyle name="Normal 2 13 6" xfId="4414" xr:uid="{00000000-0005-0000-0000-0000DA030000}"/>
    <cellStyle name="Normal 2 13 6 2" xfId="11053" xr:uid="{00000000-0005-0000-0000-0000DB030000}"/>
    <cellStyle name="Normal 2 13 6_SSL" xfId="16046" xr:uid="{00000000-0005-0000-0000-0000DC030000}"/>
    <cellStyle name="Normal 2 13 7" xfId="5224" xr:uid="{00000000-0005-0000-0000-0000DD030000}"/>
    <cellStyle name="Normal 2 13 7 2" xfId="11862" xr:uid="{00000000-0005-0000-0000-0000DE030000}"/>
    <cellStyle name="Normal 2 13 7_SSL" xfId="14055" xr:uid="{00000000-0005-0000-0000-0000DF030000}"/>
    <cellStyle name="Normal 2 13 8" xfId="7712" xr:uid="{00000000-0005-0000-0000-0000E0030000}"/>
    <cellStyle name="Normal 2 13 9" xfId="6141" xr:uid="{00000000-0005-0000-0000-0000E1030000}"/>
    <cellStyle name="Normal 2 13_SSL" xfId="14926" xr:uid="{00000000-0005-0000-0000-0000E2030000}"/>
    <cellStyle name="Normal 2 14" xfId="1064" xr:uid="{00000000-0005-0000-0000-0000E3030000}"/>
    <cellStyle name="Normal 2 14 2" xfId="1144" xr:uid="{00000000-0005-0000-0000-0000E4030000}"/>
    <cellStyle name="Normal 2 14 2 2" xfId="7799" xr:uid="{00000000-0005-0000-0000-0000E5030000}"/>
    <cellStyle name="Normal 2 14 2_SSL" xfId="16003" xr:uid="{00000000-0005-0000-0000-0000E6030000}"/>
    <cellStyle name="Normal 2 14 3" xfId="1964" xr:uid="{00000000-0005-0000-0000-0000E7030000}"/>
    <cellStyle name="Normal 2 14 3 2" xfId="8612" xr:uid="{00000000-0005-0000-0000-0000E8030000}"/>
    <cellStyle name="Normal 2 14 3_SSL" xfId="17677" xr:uid="{00000000-0005-0000-0000-0000E9030000}"/>
    <cellStyle name="Normal 2 14 4" xfId="2783" xr:uid="{00000000-0005-0000-0000-0000EA030000}"/>
    <cellStyle name="Normal 2 14 4 2" xfId="9428" xr:uid="{00000000-0005-0000-0000-0000EB030000}"/>
    <cellStyle name="Normal 2 14 4_SSL" xfId="12873" xr:uid="{00000000-0005-0000-0000-0000EC030000}"/>
    <cellStyle name="Normal 2 14 5" xfId="3604" xr:uid="{00000000-0005-0000-0000-0000ED030000}"/>
    <cellStyle name="Normal 2 14 5 2" xfId="10244" xr:uid="{00000000-0005-0000-0000-0000EE030000}"/>
    <cellStyle name="Normal 2 14 5_SSL" xfId="17575" xr:uid="{00000000-0005-0000-0000-0000EF030000}"/>
    <cellStyle name="Normal 2 14 6" xfId="4415" xr:uid="{00000000-0005-0000-0000-0000F0030000}"/>
    <cellStyle name="Normal 2 14 6 2" xfId="11054" xr:uid="{00000000-0005-0000-0000-0000F1030000}"/>
    <cellStyle name="Normal 2 14 6_SSL" xfId="15344" xr:uid="{00000000-0005-0000-0000-0000F2030000}"/>
    <cellStyle name="Normal 2 14 7" xfId="5225" xr:uid="{00000000-0005-0000-0000-0000F3030000}"/>
    <cellStyle name="Normal 2 14 7 2" xfId="11863" xr:uid="{00000000-0005-0000-0000-0000F4030000}"/>
    <cellStyle name="Normal 2 14 7_SSL" xfId="16599" xr:uid="{00000000-0005-0000-0000-0000F5030000}"/>
    <cellStyle name="Normal 2 14 8" xfId="7728" xr:uid="{00000000-0005-0000-0000-0000F6030000}"/>
    <cellStyle name="Normal 2 14 9" xfId="6142" xr:uid="{00000000-0005-0000-0000-0000F7030000}"/>
    <cellStyle name="Normal 2 14_SSL" xfId="15975" xr:uid="{00000000-0005-0000-0000-0000F8030000}"/>
    <cellStyle name="Normal 2 15" xfId="1094" xr:uid="{00000000-0005-0000-0000-0000F9030000}"/>
    <cellStyle name="Normal 2 15 2" xfId="7752" xr:uid="{00000000-0005-0000-0000-0000FA030000}"/>
    <cellStyle name="Normal 2 15_SSL" xfId="16558" xr:uid="{00000000-0005-0000-0000-0000FB030000}"/>
    <cellStyle name="Normal 2 16" xfId="1918" xr:uid="{00000000-0005-0000-0000-0000FC030000}"/>
    <cellStyle name="Normal 2 16 2" xfId="8566" xr:uid="{00000000-0005-0000-0000-0000FD030000}"/>
    <cellStyle name="Normal 2 16_SSL" xfId="16800" xr:uid="{00000000-0005-0000-0000-0000FE030000}"/>
    <cellStyle name="Normal 2 17" xfId="2736" xr:uid="{00000000-0005-0000-0000-0000FF030000}"/>
    <cellStyle name="Normal 2 17 2" xfId="9381" xr:uid="{00000000-0005-0000-0000-000000040000}"/>
    <cellStyle name="Normal 2 17_SSL" xfId="15126" xr:uid="{00000000-0005-0000-0000-000001040000}"/>
    <cellStyle name="Normal 2 18" xfId="3558" xr:uid="{00000000-0005-0000-0000-000002040000}"/>
    <cellStyle name="Normal 2 18 2" xfId="10199" xr:uid="{00000000-0005-0000-0000-000003040000}"/>
    <cellStyle name="Normal 2 18_SSL" xfId="13042" xr:uid="{00000000-0005-0000-0000-000004040000}"/>
    <cellStyle name="Normal 2 19" xfId="4370" xr:uid="{00000000-0005-0000-0000-000005040000}"/>
    <cellStyle name="Normal 2 19 2" xfId="11009" xr:uid="{00000000-0005-0000-0000-000006040000}"/>
    <cellStyle name="Normal 2 19_SSL" xfId="15821" xr:uid="{00000000-0005-0000-0000-000007040000}"/>
    <cellStyle name="Normal 2 2" xfId="11" xr:uid="{00000000-0005-0000-0000-000008040000}"/>
    <cellStyle name="Normal 2 2 2" xfId="31" xr:uid="{00000000-0005-0000-0000-000009040000}"/>
    <cellStyle name="Normal 2 2 2 10" xfId="467" xr:uid="{00000000-0005-0000-0000-00000A040000}"/>
    <cellStyle name="Normal 2 2 2 10 2" xfId="1146" xr:uid="{00000000-0005-0000-0000-00000B040000}"/>
    <cellStyle name="Normal 2 2 2 10 2 2" xfId="7801" xr:uid="{00000000-0005-0000-0000-00000C040000}"/>
    <cellStyle name="Normal 2 2 2 10 2_SSL" xfId="16713" xr:uid="{00000000-0005-0000-0000-00000D040000}"/>
    <cellStyle name="Normal 2 2 2 10 3" xfId="1966" xr:uid="{00000000-0005-0000-0000-00000E040000}"/>
    <cellStyle name="Normal 2 2 2 10 3 2" xfId="8614" xr:uid="{00000000-0005-0000-0000-00000F040000}"/>
    <cellStyle name="Normal 2 2 2 10 3_SSL" xfId="17186" xr:uid="{00000000-0005-0000-0000-000010040000}"/>
    <cellStyle name="Normal 2 2 2 10 4" xfId="2785" xr:uid="{00000000-0005-0000-0000-000011040000}"/>
    <cellStyle name="Normal 2 2 2 10 4 2" xfId="9430" xr:uid="{00000000-0005-0000-0000-000012040000}"/>
    <cellStyle name="Normal 2 2 2 10 4_SSL" xfId="13952" xr:uid="{00000000-0005-0000-0000-000013040000}"/>
    <cellStyle name="Normal 2 2 2 10 5" xfId="3606" xr:uid="{00000000-0005-0000-0000-000014040000}"/>
    <cellStyle name="Normal 2 2 2 10 5 2" xfId="10246" xr:uid="{00000000-0005-0000-0000-000015040000}"/>
    <cellStyle name="Normal 2 2 2 10 5_SSL" xfId="17619" xr:uid="{00000000-0005-0000-0000-000016040000}"/>
    <cellStyle name="Normal 2 2 2 10 6" xfId="4417" xr:uid="{00000000-0005-0000-0000-000017040000}"/>
    <cellStyle name="Normal 2 2 2 10 6 2" xfId="11056" xr:uid="{00000000-0005-0000-0000-000018040000}"/>
    <cellStyle name="Normal 2 2 2 10 6_SSL" xfId="16218" xr:uid="{00000000-0005-0000-0000-000019040000}"/>
    <cellStyle name="Normal 2 2 2 10 7" xfId="5227" xr:uid="{00000000-0005-0000-0000-00001A040000}"/>
    <cellStyle name="Normal 2 2 2 10 7 2" xfId="11865" xr:uid="{00000000-0005-0000-0000-00001B040000}"/>
    <cellStyle name="Normal 2 2 2 10 7_SSL" xfId="17201" xr:uid="{00000000-0005-0000-0000-00001C040000}"/>
    <cellStyle name="Normal 2 2 2 10 8" xfId="7323" xr:uid="{00000000-0005-0000-0000-00001D040000}"/>
    <cellStyle name="Normal 2 2 2 10 9" xfId="6144" xr:uid="{00000000-0005-0000-0000-00001E040000}"/>
    <cellStyle name="Normal 2 2 2 10_SSL" xfId="15503" xr:uid="{00000000-0005-0000-0000-00001F040000}"/>
    <cellStyle name="Normal 2 2 2 11" xfId="1145" xr:uid="{00000000-0005-0000-0000-000020040000}"/>
    <cellStyle name="Normal 2 2 2 11 2" xfId="7800" xr:uid="{00000000-0005-0000-0000-000021040000}"/>
    <cellStyle name="Normal 2 2 2 11_SSL" xfId="16771" xr:uid="{00000000-0005-0000-0000-000022040000}"/>
    <cellStyle name="Normal 2 2 2 12" xfId="1965" xr:uid="{00000000-0005-0000-0000-000023040000}"/>
    <cellStyle name="Normal 2 2 2 12 2" xfId="8613" xr:uid="{00000000-0005-0000-0000-000024040000}"/>
    <cellStyle name="Normal 2 2 2 12_SSL" xfId="16093" xr:uid="{00000000-0005-0000-0000-000025040000}"/>
    <cellStyle name="Normal 2 2 2 13" xfId="2784" xr:uid="{00000000-0005-0000-0000-000026040000}"/>
    <cellStyle name="Normal 2 2 2 13 2" xfId="9429" xr:uid="{00000000-0005-0000-0000-000027040000}"/>
    <cellStyle name="Normal 2 2 2 13_SSL" xfId="16954" xr:uid="{00000000-0005-0000-0000-000028040000}"/>
    <cellStyle name="Normal 2 2 2 14" xfId="3605" xr:uid="{00000000-0005-0000-0000-000029040000}"/>
    <cellStyle name="Normal 2 2 2 14 2" xfId="10245" xr:uid="{00000000-0005-0000-0000-00002A040000}"/>
    <cellStyle name="Normal 2 2 2 14_SSL" xfId="17195" xr:uid="{00000000-0005-0000-0000-00002B040000}"/>
    <cellStyle name="Normal 2 2 2 15" xfId="4416" xr:uid="{00000000-0005-0000-0000-00002C040000}"/>
    <cellStyle name="Normal 2 2 2 15 2" xfId="11055" xr:uid="{00000000-0005-0000-0000-00002D040000}"/>
    <cellStyle name="Normal 2 2 2 15_SSL" xfId="13707" xr:uid="{00000000-0005-0000-0000-00002E040000}"/>
    <cellStyle name="Normal 2 2 2 16" xfId="5226" xr:uid="{00000000-0005-0000-0000-00002F040000}"/>
    <cellStyle name="Normal 2 2 2 16 2" xfId="11864" xr:uid="{00000000-0005-0000-0000-000030040000}"/>
    <cellStyle name="Normal 2 2 2 16_SSL" xfId="16689" xr:uid="{00000000-0005-0000-0000-000031040000}"/>
    <cellStyle name="Normal 2 2 2 17" xfId="6937" xr:uid="{00000000-0005-0000-0000-000032040000}"/>
    <cellStyle name="Normal 2 2 2 18" xfId="6143" xr:uid="{00000000-0005-0000-0000-000033040000}"/>
    <cellStyle name="Normal 2 2 2 2" xfId="39" xr:uid="{00000000-0005-0000-0000-000034040000}"/>
    <cellStyle name="Normal 2 2 2 2 10" xfId="1147" xr:uid="{00000000-0005-0000-0000-000035040000}"/>
    <cellStyle name="Normal 2 2 2 2 10 2" xfId="7802" xr:uid="{00000000-0005-0000-0000-000036040000}"/>
    <cellStyle name="Normal 2 2 2 2 10_SSL" xfId="13528" xr:uid="{00000000-0005-0000-0000-000037040000}"/>
    <cellStyle name="Normal 2 2 2 2 11" xfId="1967" xr:uid="{00000000-0005-0000-0000-000038040000}"/>
    <cellStyle name="Normal 2 2 2 2 11 2" xfId="8615" xr:uid="{00000000-0005-0000-0000-000039040000}"/>
    <cellStyle name="Normal 2 2 2 2 11_SSL" xfId="15053" xr:uid="{00000000-0005-0000-0000-00003A040000}"/>
    <cellStyle name="Normal 2 2 2 2 12" xfId="2786" xr:uid="{00000000-0005-0000-0000-00003B040000}"/>
    <cellStyle name="Normal 2 2 2 2 12 2" xfId="9431" xr:uid="{00000000-0005-0000-0000-00003C040000}"/>
    <cellStyle name="Normal 2 2 2 2 12_SSL" xfId="17588" xr:uid="{00000000-0005-0000-0000-00003D040000}"/>
    <cellStyle name="Normal 2 2 2 2 13" xfId="3607" xr:uid="{00000000-0005-0000-0000-00003E040000}"/>
    <cellStyle name="Normal 2 2 2 2 13 2" xfId="10247" xr:uid="{00000000-0005-0000-0000-00003F040000}"/>
    <cellStyle name="Normal 2 2 2 2 13_SSL" xfId="16759" xr:uid="{00000000-0005-0000-0000-000040040000}"/>
    <cellStyle name="Normal 2 2 2 2 14" xfId="4418" xr:uid="{00000000-0005-0000-0000-000041040000}"/>
    <cellStyle name="Normal 2 2 2 2 14 2" xfId="11057" xr:uid="{00000000-0005-0000-0000-000042040000}"/>
    <cellStyle name="Normal 2 2 2 2 14_SSL" xfId="13673" xr:uid="{00000000-0005-0000-0000-000043040000}"/>
    <cellStyle name="Normal 2 2 2 2 15" xfId="5228" xr:uid="{00000000-0005-0000-0000-000044040000}"/>
    <cellStyle name="Normal 2 2 2 2 15 2" xfId="11866" xr:uid="{00000000-0005-0000-0000-000045040000}"/>
    <cellStyle name="Normal 2 2 2 2 15_SSL" xfId="14002" xr:uid="{00000000-0005-0000-0000-000046040000}"/>
    <cellStyle name="Normal 2 2 2 2 16" xfId="6940" xr:uid="{00000000-0005-0000-0000-000047040000}"/>
    <cellStyle name="Normal 2 2 2 2 17" xfId="6145" xr:uid="{00000000-0005-0000-0000-000048040000}"/>
    <cellStyle name="Normal 2 2 2 2 2" xfId="69" xr:uid="{00000000-0005-0000-0000-000049040000}"/>
    <cellStyle name="Normal 2 2 2 2 2 10" xfId="1968" xr:uid="{00000000-0005-0000-0000-00004A040000}"/>
    <cellStyle name="Normal 2 2 2 2 2 10 2" xfId="8616" xr:uid="{00000000-0005-0000-0000-00004B040000}"/>
    <cellStyle name="Normal 2 2 2 2 2 10_SSL" xfId="14244" xr:uid="{00000000-0005-0000-0000-00004C040000}"/>
    <cellStyle name="Normal 2 2 2 2 2 11" xfId="2787" xr:uid="{00000000-0005-0000-0000-00004D040000}"/>
    <cellStyle name="Normal 2 2 2 2 2 11 2" xfId="9432" xr:uid="{00000000-0005-0000-0000-00004E040000}"/>
    <cellStyle name="Normal 2 2 2 2 2 11_SSL" xfId="12892" xr:uid="{00000000-0005-0000-0000-00004F040000}"/>
    <cellStyle name="Normal 2 2 2 2 2 12" xfId="3608" xr:uid="{00000000-0005-0000-0000-000050040000}"/>
    <cellStyle name="Normal 2 2 2 2 2 12 2" xfId="10248" xr:uid="{00000000-0005-0000-0000-000051040000}"/>
    <cellStyle name="Normal 2 2 2 2 2 12_SSL" xfId="17721" xr:uid="{00000000-0005-0000-0000-000052040000}"/>
    <cellStyle name="Normal 2 2 2 2 2 13" xfId="4419" xr:uid="{00000000-0005-0000-0000-000053040000}"/>
    <cellStyle name="Normal 2 2 2 2 2 13 2" xfId="11058" xr:uid="{00000000-0005-0000-0000-000054040000}"/>
    <cellStyle name="Normal 2 2 2 2 2 13_SSL" xfId="17904" xr:uid="{00000000-0005-0000-0000-000055040000}"/>
    <cellStyle name="Normal 2 2 2 2 2 14" xfId="5229" xr:uid="{00000000-0005-0000-0000-000056040000}"/>
    <cellStyle name="Normal 2 2 2 2 2 14 2" xfId="11867" xr:uid="{00000000-0005-0000-0000-000057040000}"/>
    <cellStyle name="Normal 2 2 2 2 2 14_SSL" xfId="16847" xr:uid="{00000000-0005-0000-0000-000058040000}"/>
    <cellStyle name="Normal 2 2 2 2 2 15" xfId="6954" xr:uid="{00000000-0005-0000-0000-000059040000}"/>
    <cellStyle name="Normal 2 2 2 2 2 16" xfId="6146" xr:uid="{00000000-0005-0000-0000-00005A040000}"/>
    <cellStyle name="Normal 2 2 2 2 2 2" xfId="98" xr:uid="{00000000-0005-0000-0000-00005B040000}"/>
    <cellStyle name="Normal 2 2 2 2 2 2 10" xfId="5230" xr:uid="{00000000-0005-0000-0000-00005C040000}"/>
    <cellStyle name="Normal 2 2 2 2 2 2 10 2" xfId="11868" xr:uid="{00000000-0005-0000-0000-00005D040000}"/>
    <cellStyle name="Normal 2 2 2 2 2 2 10_SSL" xfId="16515" xr:uid="{00000000-0005-0000-0000-00005E040000}"/>
    <cellStyle name="Normal 2 2 2 2 2 2 11" xfId="6977" xr:uid="{00000000-0005-0000-0000-00005F040000}"/>
    <cellStyle name="Normal 2 2 2 2 2 2 12" xfId="6147" xr:uid="{00000000-0005-0000-0000-000060040000}"/>
    <cellStyle name="Normal 2 2 2 2 2 2 2" xfId="196" xr:uid="{00000000-0005-0000-0000-000061040000}"/>
    <cellStyle name="Normal 2 2 2 2 2 2 2 10" xfId="7073" xr:uid="{00000000-0005-0000-0000-000062040000}"/>
    <cellStyle name="Normal 2 2 2 2 2 2 2 11" xfId="6148" xr:uid="{00000000-0005-0000-0000-000063040000}"/>
    <cellStyle name="Normal 2 2 2 2 2 2 2 2" xfId="275" xr:uid="{00000000-0005-0000-0000-000064040000}"/>
    <cellStyle name="Normal 2 2 2 2 2 2 2 2 10" xfId="6149" xr:uid="{00000000-0005-0000-0000-000065040000}"/>
    <cellStyle name="Normal 2 2 2 2 2 2 2 2 2" xfId="663" xr:uid="{00000000-0005-0000-0000-000066040000}"/>
    <cellStyle name="Normal 2 2 2 2 2 2 2 2 2 2" xfId="1152" xr:uid="{00000000-0005-0000-0000-000067040000}"/>
    <cellStyle name="Normal 2 2 2 2 2 2 2 2 2 2 2" xfId="7807" xr:uid="{00000000-0005-0000-0000-000068040000}"/>
    <cellStyle name="Normal 2 2 2 2 2 2 2 2 2 2_SSL" xfId="15977" xr:uid="{00000000-0005-0000-0000-000069040000}"/>
    <cellStyle name="Normal 2 2 2 2 2 2 2 2 2 3" xfId="1972" xr:uid="{00000000-0005-0000-0000-00006A040000}"/>
    <cellStyle name="Normal 2 2 2 2 2 2 2 2 2 3 2" xfId="8620" xr:uid="{00000000-0005-0000-0000-00006B040000}"/>
    <cellStyle name="Normal 2 2 2 2 2 2 2 2 2 3_SSL" xfId="17332" xr:uid="{00000000-0005-0000-0000-00006C040000}"/>
    <cellStyle name="Normal 2 2 2 2 2 2 2 2 2 4" xfId="2791" xr:uid="{00000000-0005-0000-0000-00006D040000}"/>
    <cellStyle name="Normal 2 2 2 2 2 2 2 2 2 4 2" xfId="9436" xr:uid="{00000000-0005-0000-0000-00006E040000}"/>
    <cellStyle name="Normal 2 2 2 2 2 2 2 2 2 4_SSL" xfId="16644" xr:uid="{00000000-0005-0000-0000-00006F040000}"/>
    <cellStyle name="Normal 2 2 2 2 2 2 2 2 2 5" xfId="3612" xr:uid="{00000000-0005-0000-0000-000070040000}"/>
    <cellStyle name="Normal 2 2 2 2 2 2 2 2 2 5 2" xfId="10252" xr:uid="{00000000-0005-0000-0000-000071040000}"/>
    <cellStyle name="Normal 2 2 2 2 2 2 2 2 2 5_SSL" xfId="13682" xr:uid="{00000000-0005-0000-0000-000072040000}"/>
    <cellStyle name="Normal 2 2 2 2 2 2 2 2 2 6" xfId="4423" xr:uid="{00000000-0005-0000-0000-000073040000}"/>
    <cellStyle name="Normal 2 2 2 2 2 2 2 2 2 6 2" xfId="11062" xr:uid="{00000000-0005-0000-0000-000074040000}"/>
    <cellStyle name="Normal 2 2 2 2 2 2 2 2 2 6_SSL" xfId="14172" xr:uid="{00000000-0005-0000-0000-000075040000}"/>
    <cellStyle name="Normal 2 2 2 2 2 2 2 2 2 7" xfId="5233" xr:uid="{00000000-0005-0000-0000-000076040000}"/>
    <cellStyle name="Normal 2 2 2 2 2 2 2 2 2 7 2" xfId="11871" xr:uid="{00000000-0005-0000-0000-000077040000}"/>
    <cellStyle name="Normal 2 2 2 2 2 2 2 2 2 7_SSL" xfId="12652" xr:uid="{00000000-0005-0000-0000-000078040000}"/>
    <cellStyle name="Normal 2 2 2 2 2 2 2 2 2 8" xfId="7519" xr:uid="{00000000-0005-0000-0000-000079040000}"/>
    <cellStyle name="Normal 2 2 2 2 2 2 2 2 2 9" xfId="6150" xr:uid="{00000000-0005-0000-0000-00007A040000}"/>
    <cellStyle name="Normal 2 2 2 2 2 2 2 2 2_SSL" xfId="13462" xr:uid="{00000000-0005-0000-0000-00007B040000}"/>
    <cellStyle name="Normal 2 2 2 2 2 2 2 2 3" xfId="1151" xr:uid="{00000000-0005-0000-0000-00007C040000}"/>
    <cellStyle name="Normal 2 2 2 2 2 2 2 2 3 2" xfId="7806" xr:uid="{00000000-0005-0000-0000-00007D040000}"/>
    <cellStyle name="Normal 2 2 2 2 2 2 2 2 3_SSL" xfId="16280" xr:uid="{00000000-0005-0000-0000-00007E040000}"/>
    <cellStyle name="Normal 2 2 2 2 2 2 2 2 4" xfId="1971" xr:uid="{00000000-0005-0000-0000-00007F040000}"/>
    <cellStyle name="Normal 2 2 2 2 2 2 2 2 4 2" xfId="8619" xr:uid="{00000000-0005-0000-0000-000080040000}"/>
    <cellStyle name="Normal 2 2 2 2 2 2 2 2 4_SSL" xfId="14937" xr:uid="{00000000-0005-0000-0000-000081040000}"/>
    <cellStyle name="Normal 2 2 2 2 2 2 2 2 5" xfId="2790" xr:uid="{00000000-0005-0000-0000-000082040000}"/>
    <cellStyle name="Normal 2 2 2 2 2 2 2 2 5 2" xfId="9435" xr:uid="{00000000-0005-0000-0000-000083040000}"/>
    <cellStyle name="Normal 2 2 2 2 2 2 2 2 5_SSL" xfId="15997" xr:uid="{00000000-0005-0000-0000-000084040000}"/>
    <cellStyle name="Normal 2 2 2 2 2 2 2 2 6" xfId="3611" xr:uid="{00000000-0005-0000-0000-000085040000}"/>
    <cellStyle name="Normal 2 2 2 2 2 2 2 2 6 2" xfId="10251" xr:uid="{00000000-0005-0000-0000-000086040000}"/>
    <cellStyle name="Normal 2 2 2 2 2 2 2 2 6_SSL" xfId="15598" xr:uid="{00000000-0005-0000-0000-000087040000}"/>
    <cellStyle name="Normal 2 2 2 2 2 2 2 2 7" xfId="4422" xr:uid="{00000000-0005-0000-0000-000088040000}"/>
    <cellStyle name="Normal 2 2 2 2 2 2 2 2 7 2" xfId="11061" xr:uid="{00000000-0005-0000-0000-000089040000}"/>
    <cellStyle name="Normal 2 2 2 2 2 2 2 2 7_SSL" xfId="13188" xr:uid="{00000000-0005-0000-0000-00008A040000}"/>
    <cellStyle name="Normal 2 2 2 2 2 2 2 2 8" xfId="5232" xr:uid="{00000000-0005-0000-0000-00008B040000}"/>
    <cellStyle name="Normal 2 2 2 2 2 2 2 2 8 2" xfId="11870" xr:uid="{00000000-0005-0000-0000-00008C040000}"/>
    <cellStyle name="Normal 2 2 2 2 2 2 2 2 8_SSL" xfId="15438" xr:uid="{00000000-0005-0000-0000-00008D040000}"/>
    <cellStyle name="Normal 2 2 2 2 2 2 2 2 9" xfId="7135" xr:uid="{00000000-0005-0000-0000-00008E040000}"/>
    <cellStyle name="Normal 2 2 2 2 2 2 2 2_SSL" xfId="17429" xr:uid="{00000000-0005-0000-0000-00008F040000}"/>
    <cellStyle name="Normal 2 2 2 2 2 2 2 3" xfId="601" xr:uid="{00000000-0005-0000-0000-000090040000}"/>
    <cellStyle name="Normal 2 2 2 2 2 2 2 3 2" xfId="1153" xr:uid="{00000000-0005-0000-0000-000091040000}"/>
    <cellStyle name="Normal 2 2 2 2 2 2 2 3 2 2" xfId="7808" xr:uid="{00000000-0005-0000-0000-000092040000}"/>
    <cellStyle name="Normal 2 2 2 2 2 2 2 3 2_SSL" xfId="13780" xr:uid="{00000000-0005-0000-0000-000093040000}"/>
    <cellStyle name="Normal 2 2 2 2 2 2 2 3 3" xfId="1973" xr:uid="{00000000-0005-0000-0000-000094040000}"/>
    <cellStyle name="Normal 2 2 2 2 2 2 2 3 3 2" xfId="8621" xr:uid="{00000000-0005-0000-0000-000095040000}"/>
    <cellStyle name="Normal 2 2 2 2 2 2 2 3 3_SSL" xfId="17133" xr:uid="{00000000-0005-0000-0000-000096040000}"/>
    <cellStyle name="Normal 2 2 2 2 2 2 2 3 4" xfId="2792" xr:uid="{00000000-0005-0000-0000-000097040000}"/>
    <cellStyle name="Normal 2 2 2 2 2 2 2 3 4 2" xfId="9437" xr:uid="{00000000-0005-0000-0000-000098040000}"/>
    <cellStyle name="Normal 2 2 2 2 2 2 2 3 4_SSL" xfId="14273" xr:uid="{00000000-0005-0000-0000-000099040000}"/>
    <cellStyle name="Normal 2 2 2 2 2 2 2 3 5" xfId="3613" xr:uid="{00000000-0005-0000-0000-00009A040000}"/>
    <cellStyle name="Normal 2 2 2 2 2 2 2 3 5 2" xfId="10253" xr:uid="{00000000-0005-0000-0000-00009B040000}"/>
    <cellStyle name="Normal 2 2 2 2 2 2 2 3 5_SSL" xfId="14181" xr:uid="{00000000-0005-0000-0000-00009C040000}"/>
    <cellStyle name="Normal 2 2 2 2 2 2 2 3 6" xfId="4424" xr:uid="{00000000-0005-0000-0000-00009D040000}"/>
    <cellStyle name="Normal 2 2 2 2 2 2 2 3 6 2" xfId="11063" xr:uid="{00000000-0005-0000-0000-00009E040000}"/>
    <cellStyle name="Normal 2 2 2 2 2 2 2 3 6_SSL" xfId="15583" xr:uid="{00000000-0005-0000-0000-00009F040000}"/>
    <cellStyle name="Normal 2 2 2 2 2 2 2 3 7" xfId="5234" xr:uid="{00000000-0005-0000-0000-0000A0040000}"/>
    <cellStyle name="Normal 2 2 2 2 2 2 2 3 7 2" xfId="11872" xr:uid="{00000000-0005-0000-0000-0000A1040000}"/>
    <cellStyle name="Normal 2 2 2 2 2 2 2 3 7_SSL" xfId="14096" xr:uid="{00000000-0005-0000-0000-0000A2040000}"/>
    <cellStyle name="Normal 2 2 2 2 2 2 2 3 8" xfId="7457" xr:uid="{00000000-0005-0000-0000-0000A3040000}"/>
    <cellStyle name="Normal 2 2 2 2 2 2 2 3 9" xfId="6151" xr:uid="{00000000-0005-0000-0000-0000A4040000}"/>
    <cellStyle name="Normal 2 2 2 2 2 2 2 3_SSL" xfId="12879" xr:uid="{00000000-0005-0000-0000-0000A5040000}"/>
    <cellStyle name="Normal 2 2 2 2 2 2 2 4" xfId="1150" xr:uid="{00000000-0005-0000-0000-0000A6040000}"/>
    <cellStyle name="Normal 2 2 2 2 2 2 2 4 2" xfId="7805" xr:uid="{00000000-0005-0000-0000-0000A7040000}"/>
    <cellStyle name="Normal 2 2 2 2 2 2 2 4_SSL" xfId="14741" xr:uid="{00000000-0005-0000-0000-0000A8040000}"/>
    <cellStyle name="Normal 2 2 2 2 2 2 2 5" xfId="1970" xr:uid="{00000000-0005-0000-0000-0000A9040000}"/>
    <cellStyle name="Normal 2 2 2 2 2 2 2 5 2" xfId="8618" xr:uid="{00000000-0005-0000-0000-0000AA040000}"/>
    <cellStyle name="Normal 2 2 2 2 2 2 2 5_SSL" xfId="13444" xr:uid="{00000000-0005-0000-0000-0000AB040000}"/>
    <cellStyle name="Normal 2 2 2 2 2 2 2 6" xfId="2789" xr:uid="{00000000-0005-0000-0000-0000AC040000}"/>
    <cellStyle name="Normal 2 2 2 2 2 2 2 6 2" xfId="9434" xr:uid="{00000000-0005-0000-0000-0000AD040000}"/>
    <cellStyle name="Normal 2 2 2 2 2 2 2 6_SSL" xfId="15202" xr:uid="{00000000-0005-0000-0000-0000AE040000}"/>
    <cellStyle name="Normal 2 2 2 2 2 2 2 7" xfId="3610" xr:uid="{00000000-0005-0000-0000-0000AF040000}"/>
    <cellStyle name="Normal 2 2 2 2 2 2 2 7 2" xfId="10250" xr:uid="{00000000-0005-0000-0000-0000B0040000}"/>
    <cellStyle name="Normal 2 2 2 2 2 2 2 7_SSL" xfId="16612" xr:uid="{00000000-0005-0000-0000-0000B1040000}"/>
    <cellStyle name="Normal 2 2 2 2 2 2 2 8" xfId="4421" xr:uid="{00000000-0005-0000-0000-0000B2040000}"/>
    <cellStyle name="Normal 2 2 2 2 2 2 2 8 2" xfId="11060" xr:uid="{00000000-0005-0000-0000-0000B3040000}"/>
    <cellStyle name="Normal 2 2 2 2 2 2 2 8_SSL" xfId="14306" xr:uid="{00000000-0005-0000-0000-0000B4040000}"/>
    <cellStyle name="Normal 2 2 2 2 2 2 2 9" xfId="5231" xr:uid="{00000000-0005-0000-0000-0000B5040000}"/>
    <cellStyle name="Normal 2 2 2 2 2 2 2 9 2" xfId="11869" xr:uid="{00000000-0005-0000-0000-0000B6040000}"/>
    <cellStyle name="Normal 2 2 2 2 2 2 2 9_SSL" xfId="14074" xr:uid="{00000000-0005-0000-0000-0000B7040000}"/>
    <cellStyle name="Normal 2 2 2 2 2 2 2_SSL" xfId="14822" xr:uid="{00000000-0005-0000-0000-0000B8040000}"/>
    <cellStyle name="Normal 2 2 2 2 2 2 3" xfId="274" xr:uid="{00000000-0005-0000-0000-0000B9040000}"/>
    <cellStyle name="Normal 2 2 2 2 2 2 3 10" xfId="6152" xr:uid="{00000000-0005-0000-0000-0000BA040000}"/>
    <cellStyle name="Normal 2 2 2 2 2 2 3 2" xfId="662" xr:uid="{00000000-0005-0000-0000-0000BB040000}"/>
    <cellStyle name="Normal 2 2 2 2 2 2 3 2 2" xfId="1155" xr:uid="{00000000-0005-0000-0000-0000BC040000}"/>
    <cellStyle name="Normal 2 2 2 2 2 2 3 2 2 2" xfId="7810" xr:uid="{00000000-0005-0000-0000-0000BD040000}"/>
    <cellStyle name="Normal 2 2 2 2 2 2 3 2 2_SSL" xfId="17910" xr:uid="{00000000-0005-0000-0000-0000BE040000}"/>
    <cellStyle name="Normal 2 2 2 2 2 2 3 2 3" xfId="1975" xr:uid="{00000000-0005-0000-0000-0000BF040000}"/>
    <cellStyle name="Normal 2 2 2 2 2 2 3 2 3 2" xfId="8623" xr:uid="{00000000-0005-0000-0000-0000C0040000}"/>
    <cellStyle name="Normal 2 2 2 2 2 2 3 2 3_SSL" xfId="13239" xr:uid="{00000000-0005-0000-0000-0000C1040000}"/>
    <cellStyle name="Normal 2 2 2 2 2 2 3 2 4" xfId="2794" xr:uid="{00000000-0005-0000-0000-0000C2040000}"/>
    <cellStyle name="Normal 2 2 2 2 2 2 3 2 4 2" xfId="9439" xr:uid="{00000000-0005-0000-0000-0000C3040000}"/>
    <cellStyle name="Normal 2 2 2 2 2 2 3 2 4_SSL" xfId="17852" xr:uid="{00000000-0005-0000-0000-0000C4040000}"/>
    <cellStyle name="Normal 2 2 2 2 2 2 3 2 5" xfId="3615" xr:uid="{00000000-0005-0000-0000-0000C5040000}"/>
    <cellStyle name="Normal 2 2 2 2 2 2 3 2 5 2" xfId="10255" xr:uid="{00000000-0005-0000-0000-0000C6040000}"/>
    <cellStyle name="Normal 2 2 2 2 2 2 3 2 5_SSL" xfId="15955" xr:uid="{00000000-0005-0000-0000-0000C7040000}"/>
    <cellStyle name="Normal 2 2 2 2 2 2 3 2 6" xfId="4426" xr:uid="{00000000-0005-0000-0000-0000C8040000}"/>
    <cellStyle name="Normal 2 2 2 2 2 2 3 2 6 2" xfId="11065" xr:uid="{00000000-0005-0000-0000-0000C9040000}"/>
    <cellStyle name="Normal 2 2 2 2 2 2 3 2 6_SSL" xfId="13092" xr:uid="{00000000-0005-0000-0000-0000CA040000}"/>
    <cellStyle name="Normal 2 2 2 2 2 2 3 2 7" xfId="5236" xr:uid="{00000000-0005-0000-0000-0000CB040000}"/>
    <cellStyle name="Normal 2 2 2 2 2 2 3 2 7 2" xfId="11874" xr:uid="{00000000-0005-0000-0000-0000CC040000}"/>
    <cellStyle name="Normal 2 2 2 2 2 2 3 2 7_SSL" xfId="16970" xr:uid="{00000000-0005-0000-0000-0000CD040000}"/>
    <cellStyle name="Normal 2 2 2 2 2 2 3 2 8" xfId="7518" xr:uid="{00000000-0005-0000-0000-0000CE040000}"/>
    <cellStyle name="Normal 2 2 2 2 2 2 3 2 9" xfId="6153" xr:uid="{00000000-0005-0000-0000-0000CF040000}"/>
    <cellStyle name="Normal 2 2 2 2 2 2 3 2_SSL" xfId="17067" xr:uid="{00000000-0005-0000-0000-0000D0040000}"/>
    <cellStyle name="Normal 2 2 2 2 2 2 3 3" xfId="1154" xr:uid="{00000000-0005-0000-0000-0000D1040000}"/>
    <cellStyle name="Normal 2 2 2 2 2 2 3 3 2" xfId="7809" xr:uid="{00000000-0005-0000-0000-0000D2040000}"/>
    <cellStyle name="Normal 2 2 2 2 2 2 3 3_SSL" xfId="17828" xr:uid="{00000000-0005-0000-0000-0000D3040000}"/>
    <cellStyle name="Normal 2 2 2 2 2 2 3 4" xfId="1974" xr:uid="{00000000-0005-0000-0000-0000D4040000}"/>
    <cellStyle name="Normal 2 2 2 2 2 2 3 4 2" xfId="8622" xr:uid="{00000000-0005-0000-0000-0000D5040000}"/>
    <cellStyle name="Normal 2 2 2 2 2 2 3 4_SSL" xfId="12643" xr:uid="{00000000-0005-0000-0000-0000D6040000}"/>
    <cellStyle name="Normal 2 2 2 2 2 2 3 5" xfId="2793" xr:uid="{00000000-0005-0000-0000-0000D7040000}"/>
    <cellStyle name="Normal 2 2 2 2 2 2 3 5 2" xfId="9438" xr:uid="{00000000-0005-0000-0000-0000D8040000}"/>
    <cellStyle name="Normal 2 2 2 2 2 2 3 5_SSL" xfId="12802" xr:uid="{00000000-0005-0000-0000-0000D9040000}"/>
    <cellStyle name="Normal 2 2 2 2 2 2 3 6" xfId="3614" xr:uid="{00000000-0005-0000-0000-0000DA040000}"/>
    <cellStyle name="Normal 2 2 2 2 2 2 3 6 2" xfId="10254" xr:uid="{00000000-0005-0000-0000-0000DB040000}"/>
    <cellStyle name="Normal 2 2 2 2 2 2 3 6_SSL" xfId="16368" xr:uid="{00000000-0005-0000-0000-0000DC040000}"/>
    <cellStyle name="Normal 2 2 2 2 2 2 3 7" xfId="4425" xr:uid="{00000000-0005-0000-0000-0000DD040000}"/>
    <cellStyle name="Normal 2 2 2 2 2 2 3 7 2" xfId="11064" xr:uid="{00000000-0005-0000-0000-0000DE040000}"/>
    <cellStyle name="Normal 2 2 2 2 2 2 3 7_SSL" xfId="15960" xr:uid="{00000000-0005-0000-0000-0000DF040000}"/>
    <cellStyle name="Normal 2 2 2 2 2 2 3 8" xfId="5235" xr:uid="{00000000-0005-0000-0000-0000E0040000}"/>
    <cellStyle name="Normal 2 2 2 2 2 2 3 8 2" xfId="11873" xr:uid="{00000000-0005-0000-0000-0000E1040000}"/>
    <cellStyle name="Normal 2 2 2 2 2 2 3 8_SSL" xfId="15593" xr:uid="{00000000-0005-0000-0000-0000E2040000}"/>
    <cellStyle name="Normal 2 2 2 2 2 2 3 9" xfId="7134" xr:uid="{00000000-0005-0000-0000-0000E3040000}"/>
    <cellStyle name="Normal 2 2 2 2 2 2 3_SSL" xfId="13007" xr:uid="{00000000-0005-0000-0000-0000E4040000}"/>
    <cellStyle name="Normal 2 2 2 2 2 2 4" xfId="505" xr:uid="{00000000-0005-0000-0000-0000E5040000}"/>
    <cellStyle name="Normal 2 2 2 2 2 2 4 2" xfId="1156" xr:uid="{00000000-0005-0000-0000-0000E6040000}"/>
    <cellStyle name="Normal 2 2 2 2 2 2 4 2 2" xfId="7811" xr:uid="{00000000-0005-0000-0000-0000E7040000}"/>
    <cellStyle name="Normal 2 2 2 2 2 2 4 2_SSL" xfId="12901" xr:uid="{00000000-0005-0000-0000-0000E8040000}"/>
    <cellStyle name="Normal 2 2 2 2 2 2 4 3" xfId="1976" xr:uid="{00000000-0005-0000-0000-0000E9040000}"/>
    <cellStyle name="Normal 2 2 2 2 2 2 4 3 2" xfId="8624" xr:uid="{00000000-0005-0000-0000-0000EA040000}"/>
    <cellStyle name="Normal 2 2 2 2 2 2 4 3_SSL" xfId="14877" xr:uid="{00000000-0005-0000-0000-0000EB040000}"/>
    <cellStyle name="Normal 2 2 2 2 2 2 4 4" xfId="2795" xr:uid="{00000000-0005-0000-0000-0000EC040000}"/>
    <cellStyle name="Normal 2 2 2 2 2 2 4 4 2" xfId="9440" xr:uid="{00000000-0005-0000-0000-0000ED040000}"/>
    <cellStyle name="Normal 2 2 2 2 2 2 4 4_SSL" xfId="13332" xr:uid="{00000000-0005-0000-0000-0000EE040000}"/>
    <cellStyle name="Normal 2 2 2 2 2 2 4 5" xfId="3616" xr:uid="{00000000-0005-0000-0000-0000EF040000}"/>
    <cellStyle name="Normal 2 2 2 2 2 2 4 5 2" xfId="10256" xr:uid="{00000000-0005-0000-0000-0000F0040000}"/>
    <cellStyle name="Normal 2 2 2 2 2 2 4 5_SSL" xfId="14098" xr:uid="{00000000-0005-0000-0000-0000F1040000}"/>
    <cellStyle name="Normal 2 2 2 2 2 2 4 6" xfId="4427" xr:uid="{00000000-0005-0000-0000-0000F2040000}"/>
    <cellStyle name="Normal 2 2 2 2 2 2 4 6 2" xfId="11066" xr:uid="{00000000-0005-0000-0000-0000F3040000}"/>
    <cellStyle name="Normal 2 2 2 2 2 2 4 6_SSL" xfId="16226" xr:uid="{00000000-0005-0000-0000-0000F4040000}"/>
    <cellStyle name="Normal 2 2 2 2 2 2 4 7" xfId="5237" xr:uid="{00000000-0005-0000-0000-0000F5040000}"/>
    <cellStyle name="Normal 2 2 2 2 2 2 4 7 2" xfId="11875" xr:uid="{00000000-0005-0000-0000-0000F6040000}"/>
    <cellStyle name="Normal 2 2 2 2 2 2 4 7_SSL" xfId="17471" xr:uid="{00000000-0005-0000-0000-0000F7040000}"/>
    <cellStyle name="Normal 2 2 2 2 2 2 4 8" xfId="7361" xr:uid="{00000000-0005-0000-0000-0000F8040000}"/>
    <cellStyle name="Normal 2 2 2 2 2 2 4 9" xfId="6154" xr:uid="{00000000-0005-0000-0000-0000F9040000}"/>
    <cellStyle name="Normal 2 2 2 2 2 2 4_SSL" xfId="15762" xr:uid="{00000000-0005-0000-0000-0000FA040000}"/>
    <cellStyle name="Normal 2 2 2 2 2 2 5" xfId="1149" xr:uid="{00000000-0005-0000-0000-0000FB040000}"/>
    <cellStyle name="Normal 2 2 2 2 2 2 5 2" xfId="7804" xr:uid="{00000000-0005-0000-0000-0000FC040000}"/>
    <cellStyle name="Normal 2 2 2 2 2 2 5_SSL" xfId="15978" xr:uid="{00000000-0005-0000-0000-0000FD040000}"/>
    <cellStyle name="Normal 2 2 2 2 2 2 6" xfId="1969" xr:uid="{00000000-0005-0000-0000-0000FE040000}"/>
    <cellStyle name="Normal 2 2 2 2 2 2 6 2" xfId="8617" xr:uid="{00000000-0005-0000-0000-0000FF040000}"/>
    <cellStyle name="Normal 2 2 2 2 2 2 6_SSL" xfId="12935" xr:uid="{00000000-0005-0000-0000-000000050000}"/>
    <cellStyle name="Normal 2 2 2 2 2 2 7" xfId="2788" xr:uid="{00000000-0005-0000-0000-000001050000}"/>
    <cellStyle name="Normal 2 2 2 2 2 2 7 2" xfId="9433" xr:uid="{00000000-0005-0000-0000-000002050000}"/>
    <cellStyle name="Normal 2 2 2 2 2 2 7_SSL" xfId="12943" xr:uid="{00000000-0005-0000-0000-000003050000}"/>
    <cellStyle name="Normal 2 2 2 2 2 2 8" xfId="3609" xr:uid="{00000000-0005-0000-0000-000004050000}"/>
    <cellStyle name="Normal 2 2 2 2 2 2 8 2" xfId="10249" xr:uid="{00000000-0005-0000-0000-000005050000}"/>
    <cellStyle name="Normal 2 2 2 2 2 2 8_SSL" xfId="13514" xr:uid="{00000000-0005-0000-0000-000006050000}"/>
    <cellStyle name="Normal 2 2 2 2 2 2 9" xfId="4420" xr:uid="{00000000-0005-0000-0000-000007050000}"/>
    <cellStyle name="Normal 2 2 2 2 2 2 9 2" xfId="11059" xr:uid="{00000000-0005-0000-0000-000008050000}"/>
    <cellStyle name="Normal 2 2 2 2 2 2 9_SSL" xfId="12928" xr:uid="{00000000-0005-0000-0000-000009050000}"/>
    <cellStyle name="Normal 2 2 2 2 2 2_SSL" xfId="14094" xr:uid="{00000000-0005-0000-0000-00000A050000}"/>
    <cellStyle name="Normal 2 2 2 2 2 3" xfId="123" xr:uid="{00000000-0005-0000-0000-00000B050000}"/>
    <cellStyle name="Normal 2 2 2 2 2 3 10" xfId="5238" xr:uid="{00000000-0005-0000-0000-00000C050000}"/>
    <cellStyle name="Normal 2 2 2 2 2 3 10 2" xfId="11876" xr:uid="{00000000-0005-0000-0000-00000D050000}"/>
    <cellStyle name="Normal 2 2 2 2 2 3 10_SSL" xfId="17403" xr:uid="{00000000-0005-0000-0000-00000E050000}"/>
    <cellStyle name="Normal 2 2 2 2 2 3 11" xfId="7000" xr:uid="{00000000-0005-0000-0000-00000F050000}"/>
    <cellStyle name="Normal 2 2 2 2 2 3 12" xfId="6155" xr:uid="{00000000-0005-0000-0000-000010050000}"/>
    <cellStyle name="Normal 2 2 2 2 2 3 2" xfId="219" xr:uid="{00000000-0005-0000-0000-000011050000}"/>
    <cellStyle name="Normal 2 2 2 2 2 3 2 10" xfId="7096" xr:uid="{00000000-0005-0000-0000-000012050000}"/>
    <cellStyle name="Normal 2 2 2 2 2 3 2 11" xfId="6156" xr:uid="{00000000-0005-0000-0000-000013050000}"/>
    <cellStyle name="Normal 2 2 2 2 2 3 2 2" xfId="277" xr:uid="{00000000-0005-0000-0000-000014050000}"/>
    <cellStyle name="Normal 2 2 2 2 2 3 2 2 10" xfId="6157" xr:uid="{00000000-0005-0000-0000-000015050000}"/>
    <cellStyle name="Normal 2 2 2 2 2 3 2 2 2" xfId="665" xr:uid="{00000000-0005-0000-0000-000016050000}"/>
    <cellStyle name="Normal 2 2 2 2 2 3 2 2 2 2" xfId="1160" xr:uid="{00000000-0005-0000-0000-000017050000}"/>
    <cellStyle name="Normal 2 2 2 2 2 3 2 2 2 2 2" xfId="7815" xr:uid="{00000000-0005-0000-0000-000018050000}"/>
    <cellStyle name="Normal 2 2 2 2 2 3 2 2 2 2_SSL" xfId="13985" xr:uid="{00000000-0005-0000-0000-000019050000}"/>
    <cellStyle name="Normal 2 2 2 2 2 3 2 2 2 3" xfId="1980" xr:uid="{00000000-0005-0000-0000-00001A050000}"/>
    <cellStyle name="Normal 2 2 2 2 2 3 2 2 2 3 2" xfId="8628" xr:uid="{00000000-0005-0000-0000-00001B050000}"/>
    <cellStyle name="Normal 2 2 2 2 2 3 2 2 2 3_SSL" xfId="14243" xr:uid="{00000000-0005-0000-0000-00001C050000}"/>
    <cellStyle name="Normal 2 2 2 2 2 3 2 2 2 4" xfId="2799" xr:uid="{00000000-0005-0000-0000-00001D050000}"/>
    <cellStyle name="Normal 2 2 2 2 2 3 2 2 2 4 2" xfId="9444" xr:uid="{00000000-0005-0000-0000-00001E050000}"/>
    <cellStyle name="Normal 2 2 2 2 2 3 2 2 2 4_SSL" xfId="17964" xr:uid="{00000000-0005-0000-0000-00001F050000}"/>
    <cellStyle name="Normal 2 2 2 2 2 3 2 2 2 5" xfId="3620" xr:uid="{00000000-0005-0000-0000-000020050000}"/>
    <cellStyle name="Normal 2 2 2 2 2 3 2 2 2 5 2" xfId="10260" xr:uid="{00000000-0005-0000-0000-000021050000}"/>
    <cellStyle name="Normal 2 2 2 2 2 3 2 2 2 5_SSL" xfId="17165" xr:uid="{00000000-0005-0000-0000-000022050000}"/>
    <cellStyle name="Normal 2 2 2 2 2 3 2 2 2 6" xfId="4431" xr:uid="{00000000-0005-0000-0000-000023050000}"/>
    <cellStyle name="Normal 2 2 2 2 2 3 2 2 2 6 2" xfId="11070" xr:uid="{00000000-0005-0000-0000-000024050000}"/>
    <cellStyle name="Normal 2 2 2 2 2 3 2 2 2 6_SSL" xfId="15778" xr:uid="{00000000-0005-0000-0000-000025050000}"/>
    <cellStyle name="Normal 2 2 2 2 2 3 2 2 2 7" xfId="5241" xr:uid="{00000000-0005-0000-0000-000026050000}"/>
    <cellStyle name="Normal 2 2 2 2 2 3 2 2 2 7 2" xfId="11879" xr:uid="{00000000-0005-0000-0000-000027050000}"/>
    <cellStyle name="Normal 2 2 2 2 2 3 2 2 2 7_SSL" xfId="17702" xr:uid="{00000000-0005-0000-0000-000028050000}"/>
    <cellStyle name="Normal 2 2 2 2 2 3 2 2 2 8" xfId="7521" xr:uid="{00000000-0005-0000-0000-000029050000}"/>
    <cellStyle name="Normal 2 2 2 2 2 3 2 2 2 9" xfId="6158" xr:uid="{00000000-0005-0000-0000-00002A050000}"/>
    <cellStyle name="Normal 2 2 2 2 2 3 2 2 2_SSL" xfId="13949" xr:uid="{00000000-0005-0000-0000-00002B050000}"/>
    <cellStyle name="Normal 2 2 2 2 2 3 2 2 3" xfId="1159" xr:uid="{00000000-0005-0000-0000-00002C050000}"/>
    <cellStyle name="Normal 2 2 2 2 2 3 2 2 3 2" xfId="7814" xr:uid="{00000000-0005-0000-0000-00002D050000}"/>
    <cellStyle name="Normal 2 2 2 2 2 3 2 2 3_SSL" xfId="13534" xr:uid="{00000000-0005-0000-0000-00002E050000}"/>
    <cellStyle name="Normal 2 2 2 2 2 3 2 2 4" xfId="1979" xr:uid="{00000000-0005-0000-0000-00002F050000}"/>
    <cellStyle name="Normal 2 2 2 2 2 3 2 2 4 2" xfId="8627" xr:uid="{00000000-0005-0000-0000-000030050000}"/>
    <cellStyle name="Normal 2 2 2 2 2 3 2 2 4_SSL" xfId="15255" xr:uid="{00000000-0005-0000-0000-000031050000}"/>
    <cellStyle name="Normal 2 2 2 2 2 3 2 2 5" xfId="2798" xr:uid="{00000000-0005-0000-0000-000032050000}"/>
    <cellStyle name="Normal 2 2 2 2 2 3 2 2 5 2" xfId="9443" xr:uid="{00000000-0005-0000-0000-000033050000}"/>
    <cellStyle name="Normal 2 2 2 2 2 3 2 2 5_SSL" xfId="17063" xr:uid="{00000000-0005-0000-0000-000034050000}"/>
    <cellStyle name="Normal 2 2 2 2 2 3 2 2 6" xfId="3619" xr:uid="{00000000-0005-0000-0000-000035050000}"/>
    <cellStyle name="Normal 2 2 2 2 2 3 2 2 6 2" xfId="10259" xr:uid="{00000000-0005-0000-0000-000036050000}"/>
    <cellStyle name="Normal 2 2 2 2 2 3 2 2 6_SSL" xfId="17042" xr:uid="{00000000-0005-0000-0000-000037050000}"/>
    <cellStyle name="Normal 2 2 2 2 2 3 2 2 7" xfId="4430" xr:uid="{00000000-0005-0000-0000-000038050000}"/>
    <cellStyle name="Normal 2 2 2 2 2 3 2 2 7 2" xfId="11069" xr:uid="{00000000-0005-0000-0000-000039050000}"/>
    <cellStyle name="Normal 2 2 2 2 2 3 2 2 7_SSL" xfId="16577" xr:uid="{00000000-0005-0000-0000-00003A050000}"/>
    <cellStyle name="Normal 2 2 2 2 2 3 2 2 8" xfId="5240" xr:uid="{00000000-0005-0000-0000-00003B050000}"/>
    <cellStyle name="Normal 2 2 2 2 2 3 2 2 8 2" xfId="11878" xr:uid="{00000000-0005-0000-0000-00003C050000}"/>
    <cellStyle name="Normal 2 2 2 2 2 3 2 2 8_SSL" xfId="17438" xr:uid="{00000000-0005-0000-0000-00003D050000}"/>
    <cellStyle name="Normal 2 2 2 2 2 3 2 2 9" xfId="7137" xr:uid="{00000000-0005-0000-0000-00003E050000}"/>
    <cellStyle name="Normal 2 2 2 2 2 3 2 2_SSL" xfId="13535" xr:uid="{00000000-0005-0000-0000-00003F050000}"/>
    <cellStyle name="Normal 2 2 2 2 2 3 2 3" xfId="624" xr:uid="{00000000-0005-0000-0000-000040050000}"/>
    <cellStyle name="Normal 2 2 2 2 2 3 2 3 2" xfId="1161" xr:uid="{00000000-0005-0000-0000-000041050000}"/>
    <cellStyle name="Normal 2 2 2 2 2 3 2 3 2 2" xfId="7816" xr:uid="{00000000-0005-0000-0000-000042050000}"/>
    <cellStyle name="Normal 2 2 2 2 2 3 2 3 2_SSL" xfId="14426" xr:uid="{00000000-0005-0000-0000-000043050000}"/>
    <cellStyle name="Normal 2 2 2 2 2 3 2 3 3" xfId="1981" xr:uid="{00000000-0005-0000-0000-000044050000}"/>
    <cellStyle name="Normal 2 2 2 2 2 3 2 3 3 2" xfId="8629" xr:uid="{00000000-0005-0000-0000-000045050000}"/>
    <cellStyle name="Normal 2 2 2 2 2 3 2 3 3_SSL" xfId="12647" xr:uid="{00000000-0005-0000-0000-000046050000}"/>
    <cellStyle name="Normal 2 2 2 2 2 3 2 3 4" xfId="2800" xr:uid="{00000000-0005-0000-0000-000047050000}"/>
    <cellStyle name="Normal 2 2 2 2 2 3 2 3 4 2" xfId="9445" xr:uid="{00000000-0005-0000-0000-000048050000}"/>
    <cellStyle name="Normal 2 2 2 2 2 3 2 3 4_SSL" xfId="13584" xr:uid="{00000000-0005-0000-0000-000049050000}"/>
    <cellStyle name="Normal 2 2 2 2 2 3 2 3 5" xfId="3621" xr:uid="{00000000-0005-0000-0000-00004A050000}"/>
    <cellStyle name="Normal 2 2 2 2 2 3 2 3 5 2" xfId="10261" xr:uid="{00000000-0005-0000-0000-00004B050000}"/>
    <cellStyle name="Normal 2 2 2 2 2 3 2 3 5_SSL" xfId="17661" xr:uid="{00000000-0005-0000-0000-00004C050000}"/>
    <cellStyle name="Normal 2 2 2 2 2 3 2 3 6" xfId="4432" xr:uid="{00000000-0005-0000-0000-00004D050000}"/>
    <cellStyle name="Normal 2 2 2 2 2 3 2 3 6 2" xfId="11071" xr:uid="{00000000-0005-0000-0000-00004E050000}"/>
    <cellStyle name="Normal 2 2 2 2 2 3 2 3 6_SSL" xfId="14133" xr:uid="{00000000-0005-0000-0000-00004F050000}"/>
    <cellStyle name="Normal 2 2 2 2 2 3 2 3 7" xfId="5242" xr:uid="{00000000-0005-0000-0000-000050050000}"/>
    <cellStyle name="Normal 2 2 2 2 2 3 2 3 7 2" xfId="11880" xr:uid="{00000000-0005-0000-0000-000051050000}"/>
    <cellStyle name="Normal 2 2 2 2 2 3 2 3 7_SSL" xfId="16623" xr:uid="{00000000-0005-0000-0000-000052050000}"/>
    <cellStyle name="Normal 2 2 2 2 2 3 2 3 8" xfId="7480" xr:uid="{00000000-0005-0000-0000-000053050000}"/>
    <cellStyle name="Normal 2 2 2 2 2 3 2 3 9" xfId="6159" xr:uid="{00000000-0005-0000-0000-000054050000}"/>
    <cellStyle name="Normal 2 2 2 2 2 3 2 3_SSL" xfId="16154" xr:uid="{00000000-0005-0000-0000-000055050000}"/>
    <cellStyle name="Normal 2 2 2 2 2 3 2 4" xfId="1158" xr:uid="{00000000-0005-0000-0000-000056050000}"/>
    <cellStyle name="Normal 2 2 2 2 2 3 2 4 2" xfId="7813" xr:uid="{00000000-0005-0000-0000-000057050000}"/>
    <cellStyle name="Normal 2 2 2 2 2 3 2 4_SSL" xfId="15443" xr:uid="{00000000-0005-0000-0000-000058050000}"/>
    <cellStyle name="Normal 2 2 2 2 2 3 2 5" xfId="1978" xr:uid="{00000000-0005-0000-0000-000059050000}"/>
    <cellStyle name="Normal 2 2 2 2 2 3 2 5 2" xfId="8626" xr:uid="{00000000-0005-0000-0000-00005A050000}"/>
    <cellStyle name="Normal 2 2 2 2 2 3 2 5_SSL" xfId="13467" xr:uid="{00000000-0005-0000-0000-00005B050000}"/>
    <cellStyle name="Normal 2 2 2 2 2 3 2 6" xfId="2797" xr:uid="{00000000-0005-0000-0000-00005C050000}"/>
    <cellStyle name="Normal 2 2 2 2 2 3 2 6 2" xfId="9442" xr:uid="{00000000-0005-0000-0000-00005D050000}"/>
    <cellStyle name="Normal 2 2 2 2 2 3 2 6_SSL" xfId="13955" xr:uid="{00000000-0005-0000-0000-00005E050000}"/>
    <cellStyle name="Normal 2 2 2 2 2 3 2 7" xfId="3618" xr:uid="{00000000-0005-0000-0000-00005F050000}"/>
    <cellStyle name="Normal 2 2 2 2 2 3 2 7 2" xfId="10258" xr:uid="{00000000-0005-0000-0000-000060050000}"/>
    <cellStyle name="Normal 2 2 2 2 2 3 2 7_SSL" xfId="6705" xr:uid="{00000000-0005-0000-0000-000061050000}"/>
    <cellStyle name="Normal 2 2 2 2 2 3 2 8" xfId="4429" xr:uid="{00000000-0005-0000-0000-000062050000}"/>
    <cellStyle name="Normal 2 2 2 2 2 3 2 8 2" xfId="11068" xr:uid="{00000000-0005-0000-0000-000063050000}"/>
    <cellStyle name="Normal 2 2 2 2 2 3 2 8_SSL" xfId="16020" xr:uid="{00000000-0005-0000-0000-000064050000}"/>
    <cellStyle name="Normal 2 2 2 2 2 3 2 9" xfId="5239" xr:uid="{00000000-0005-0000-0000-000065050000}"/>
    <cellStyle name="Normal 2 2 2 2 2 3 2 9 2" xfId="11877" xr:uid="{00000000-0005-0000-0000-000066050000}"/>
    <cellStyle name="Normal 2 2 2 2 2 3 2 9_SSL" xfId="14403" xr:uid="{00000000-0005-0000-0000-000067050000}"/>
    <cellStyle name="Normal 2 2 2 2 2 3 2_SSL" xfId="6052" xr:uid="{00000000-0005-0000-0000-000068050000}"/>
    <cellStyle name="Normal 2 2 2 2 2 3 3" xfId="276" xr:uid="{00000000-0005-0000-0000-000069050000}"/>
    <cellStyle name="Normal 2 2 2 2 2 3 3 10" xfId="6160" xr:uid="{00000000-0005-0000-0000-00006A050000}"/>
    <cellStyle name="Normal 2 2 2 2 2 3 3 2" xfId="664" xr:uid="{00000000-0005-0000-0000-00006B050000}"/>
    <cellStyle name="Normal 2 2 2 2 2 3 3 2 2" xfId="1163" xr:uid="{00000000-0005-0000-0000-00006C050000}"/>
    <cellStyle name="Normal 2 2 2 2 2 3 3 2 2 2" xfId="7818" xr:uid="{00000000-0005-0000-0000-00006D050000}"/>
    <cellStyle name="Normal 2 2 2 2 2 3 3 2 2_SSL" xfId="17671" xr:uid="{00000000-0005-0000-0000-00006E050000}"/>
    <cellStyle name="Normal 2 2 2 2 2 3 3 2 3" xfId="1983" xr:uid="{00000000-0005-0000-0000-00006F050000}"/>
    <cellStyle name="Normal 2 2 2 2 2 3 3 2 3 2" xfId="8631" xr:uid="{00000000-0005-0000-0000-000070050000}"/>
    <cellStyle name="Normal 2 2 2 2 2 3 3 2 3_SSL" xfId="17872" xr:uid="{00000000-0005-0000-0000-000071050000}"/>
    <cellStyle name="Normal 2 2 2 2 2 3 3 2 4" xfId="2802" xr:uid="{00000000-0005-0000-0000-000072050000}"/>
    <cellStyle name="Normal 2 2 2 2 2 3 3 2 4 2" xfId="9447" xr:uid="{00000000-0005-0000-0000-000073050000}"/>
    <cellStyle name="Normal 2 2 2 2 2 3 3 2 4_SSL" xfId="16566" xr:uid="{00000000-0005-0000-0000-000074050000}"/>
    <cellStyle name="Normal 2 2 2 2 2 3 3 2 5" xfId="3623" xr:uid="{00000000-0005-0000-0000-000075050000}"/>
    <cellStyle name="Normal 2 2 2 2 2 3 3 2 5 2" xfId="10263" xr:uid="{00000000-0005-0000-0000-000076050000}"/>
    <cellStyle name="Normal 2 2 2 2 2 3 3 2 5_SSL" xfId="16614" xr:uid="{00000000-0005-0000-0000-000077050000}"/>
    <cellStyle name="Normal 2 2 2 2 2 3 3 2 6" xfId="4434" xr:uid="{00000000-0005-0000-0000-000078050000}"/>
    <cellStyle name="Normal 2 2 2 2 2 3 3 2 6 2" xfId="11073" xr:uid="{00000000-0005-0000-0000-000079050000}"/>
    <cellStyle name="Normal 2 2 2 2 2 3 3 2 6_SSL" xfId="6061" xr:uid="{00000000-0005-0000-0000-00007A050000}"/>
    <cellStyle name="Normal 2 2 2 2 2 3 3 2 7" xfId="5244" xr:uid="{00000000-0005-0000-0000-00007B050000}"/>
    <cellStyle name="Normal 2 2 2 2 2 3 3 2 7 2" xfId="11882" xr:uid="{00000000-0005-0000-0000-00007C050000}"/>
    <cellStyle name="Normal 2 2 2 2 2 3 3 2 7_SSL" xfId="13703" xr:uid="{00000000-0005-0000-0000-00007D050000}"/>
    <cellStyle name="Normal 2 2 2 2 2 3 3 2 8" xfId="7520" xr:uid="{00000000-0005-0000-0000-00007E050000}"/>
    <cellStyle name="Normal 2 2 2 2 2 3 3 2 9" xfId="6161" xr:uid="{00000000-0005-0000-0000-00007F050000}"/>
    <cellStyle name="Normal 2 2 2 2 2 3 3 2_SSL" xfId="14629" xr:uid="{00000000-0005-0000-0000-000080050000}"/>
    <cellStyle name="Normal 2 2 2 2 2 3 3 3" xfId="1162" xr:uid="{00000000-0005-0000-0000-000081050000}"/>
    <cellStyle name="Normal 2 2 2 2 2 3 3 3 2" xfId="7817" xr:uid="{00000000-0005-0000-0000-000082050000}"/>
    <cellStyle name="Normal 2 2 2 2 2 3 3 3_SSL" xfId="14190" xr:uid="{00000000-0005-0000-0000-000083050000}"/>
    <cellStyle name="Normal 2 2 2 2 2 3 3 4" xfId="1982" xr:uid="{00000000-0005-0000-0000-000084050000}"/>
    <cellStyle name="Normal 2 2 2 2 2 3 3 4 2" xfId="8630" xr:uid="{00000000-0005-0000-0000-000085050000}"/>
    <cellStyle name="Normal 2 2 2 2 2 3 3 4_SSL" xfId="13647" xr:uid="{00000000-0005-0000-0000-000086050000}"/>
    <cellStyle name="Normal 2 2 2 2 2 3 3 5" xfId="2801" xr:uid="{00000000-0005-0000-0000-000087050000}"/>
    <cellStyle name="Normal 2 2 2 2 2 3 3 5 2" xfId="9446" xr:uid="{00000000-0005-0000-0000-000088050000}"/>
    <cellStyle name="Normal 2 2 2 2 2 3 3 5_SSL" xfId="15258" xr:uid="{00000000-0005-0000-0000-000089050000}"/>
    <cellStyle name="Normal 2 2 2 2 2 3 3 6" xfId="3622" xr:uid="{00000000-0005-0000-0000-00008A050000}"/>
    <cellStyle name="Normal 2 2 2 2 2 3 3 6 2" xfId="10262" xr:uid="{00000000-0005-0000-0000-00008B050000}"/>
    <cellStyle name="Normal 2 2 2 2 2 3 3 6_SSL" xfId="13724" xr:uid="{00000000-0005-0000-0000-00008C050000}"/>
    <cellStyle name="Normal 2 2 2 2 2 3 3 7" xfId="4433" xr:uid="{00000000-0005-0000-0000-00008D050000}"/>
    <cellStyle name="Normal 2 2 2 2 2 3 3 7 2" xfId="11072" xr:uid="{00000000-0005-0000-0000-00008E050000}"/>
    <cellStyle name="Normal 2 2 2 2 2 3 3 7_SSL" xfId="14086" xr:uid="{00000000-0005-0000-0000-00008F050000}"/>
    <cellStyle name="Normal 2 2 2 2 2 3 3 8" xfId="5243" xr:uid="{00000000-0005-0000-0000-000090050000}"/>
    <cellStyle name="Normal 2 2 2 2 2 3 3 8 2" xfId="11881" xr:uid="{00000000-0005-0000-0000-000091050000}"/>
    <cellStyle name="Normal 2 2 2 2 2 3 3 8_SSL" xfId="15805" xr:uid="{00000000-0005-0000-0000-000092050000}"/>
    <cellStyle name="Normal 2 2 2 2 2 3 3 9" xfId="7136" xr:uid="{00000000-0005-0000-0000-000093050000}"/>
    <cellStyle name="Normal 2 2 2 2 2 3 3_SSL" xfId="12638" xr:uid="{00000000-0005-0000-0000-000094050000}"/>
    <cellStyle name="Normal 2 2 2 2 2 3 4" xfId="528" xr:uid="{00000000-0005-0000-0000-000095050000}"/>
    <cellStyle name="Normal 2 2 2 2 2 3 4 2" xfId="1164" xr:uid="{00000000-0005-0000-0000-000096050000}"/>
    <cellStyle name="Normal 2 2 2 2 2 3 4 2 2" xfId="7819" xr:uid="{00000000-0005-0000-0000-000097050000}"/>
    <cellStyle name="Normal 2 2 2 2 2 3 4 2_SSL" xfId="14660" xr:uid="{00000000-0005-0000-0000-000098050000}"/>
    <cellStyle name="Normal 2 2 2 2 2 3 4 3" xfId="1984" xr:uid="{00000000-0005-0000-0000-000099050000}"/>
    <cellStyle name="Normal 2 2 2 2 2 3 4 3 2" xfId="8632" xr:uid="{00000000-0005-0000-0000-00009A050000}"/>
    <cellStyle name="Normal 2 2 2 2 2 3 4 3_SSL" xfId="15777" xr:uid="{00000000-0005-0000-0000-00009B050000}"/>
    <cellStyle name="Normal 2 2 2 2 2 3 4 4" xfId="2803" xr:uid="{00000000-0005-0000-0000-00009C050000}"/>
    <cellStyle name="Normal 2 2 2 2 2 3 4 4 2" xfId="9448" xr:uid="{00000000-0005-0000-0000-00009D050000}"/>
    <cellStyle name="Normal 2 2 2 2 2 3 4 4_SSL" xfId="14915" xr:uid="{00000000-0005-0000-0000-00009E050000}"/>
    <cellStyle name="Normal 2 2 2 2 2 3 4 5" xfId="3624" xr:uid="{00000000-0005-0000-0000-00009F050000}"/>
    <cellStyle name="Normal 2 2 2 2 2 3 4 5 2" xfId="10264" xr:uid="{00000000-0005-0000-0000-0000A0050000}"/>
    <cellStyle name="Normal 2 2 2 2 2 3 4 5_SSL" xfId="17791" xr:uid="{00000000-0005-0000-0000-0000A1050000}"/>
    <cellStyle name="Normal 2 2 2 2 2 3 4 6" xfId="4435" xr:uid="{00000000-0005-0000-0000-0000A2050000}"/>
    <cellStyle name="Normal 2 2 2 2 2 3 4 6 2" xfId="11074" xr:uid="{00000000-0005-0000-0000-0000A3050000}"/>
    <cellStyle name="Normal 2 2 2 2 2 3 4 6_SSL" xfId="17977" xr:uid="{00000000-0005-0000-0000-0000A4050000}"/>
    <cellStyle name="Normal 2 2 2 2 2 3 4 7" xfId="5245" xr:uid="{00000000-0005-0000-0000-0000A5050000}"/>
    <cellStyle name="Normal 2 2 2 2 2 3 4 7 2" xfId="11883" xr:uid="{00000000-0005-0000-0000-0000A6050000}"/>
    <cellStyle name="Normal 2 2 2 2 2 3 4 7_SSL" xfId="13627" xr:uid="{00000000-0005-0000-0000-0000A7050000}"/>
    <cellStyle name="Normal 2 2 2 2 2 3 4 8" xfId="7384" xr:uid="{00000000-0005-0000-0000-0000A8050000}"/>
    <cellStyle name="Normal 2 2 2 2 2 3 4 9" xfId="6162" xr:uid="{00000000-0005-0000-0000-0000A9050000}"/>
    <cellStyle name="Normal 2 2 2 2 2 3 4_SSL" xfId="14756" xr:uid="{00000000-0005-0000-0000-0000AA050000}"/>
    <cellStyle name="Normal 2 2 2 2 2 3 5" xfId="1157" xr:uid="{00000000-0005-0000-0000-0000AB050000}"/>
    <cellStyle name="Normal 2 2 2 2 2 3 5 2" xfId="7812" xr:uid="{00000000-0005-0000-0000-0000AC050000}"/>
    <cellStyle name="Normal 2 2 2 2 2 3 5_SSL" xfId="15271" xr:uid="{00000000-0005-0000-0000-0000AD050000}"/>
    <cellStyle name="Normal 2 2 2 2 2 3 6" xfId="1977" xr:uid="{00000000-0005-0000-0000-0000AE050000}"/>
    <cellStyle name="Normal 2 2 2 2 2 3 6 2" xfId="8625" xr:uid="{00000000-0005-0000-0000-0000AF050000}"/>
    <cellStyle name="Normal 2 2 2 2 2 3 6_SSL" xfId="13653" xr:uid="{00000000-0005-0000-0000-0000B0050000}"/>
    <cellStyle name="Normal 2 2 2 2 2 3 7" xfId="2796" xr:uid="{00000000-0005-0000-0000-0000B1050000}"/>
    <cellStyle name="Normal 2 2 2 2 2 3 7 2" xfId="9441" xr:uid="{00000000-0005-0000-0000-0000B2050000}"/>
    <cellStyle name="Normal 2 2 2 2 2 3 7_SSL" xfId="13010" xr:uid="{00000000-0005-0000-0000-0000B3050000}"/>
    <cellStyle name="Normal 2 2 2 2 2 3 8" xfId="3617" xr:uid="{00000000-0005-0000-0000-0000B4050000}"/>
    <cellStyle name="Normal 2 2 2 2 2 3 8 2" xfId="10257" xr:uid="{00000000-0005-0000-0000-0000B5050000}"/>
    <cellStyle name="Normal 2 2 2 2 2 3 8_SSL" xfId="12969" xr:uid="{00000000-0005-0000-0000-0000B6050000}"/>
    <cellStyle name="Normal 2 2 2 2 2 3 9" xfId="4428" xr:uid="{00000000-0005-0000-0000-0000B7050000}"/>
    <cellStyle name="Normal 2 2 2 2 2 3 9 2" xfId="11067" xr:uid="{00000000-0005-0000-0000-0000B8050000}"/>
    <cellStyle name="Normal 2 2 2 2 2 3 9_SSL" xfId="16095" xr:uid="{00000000-0005-0000-0000-0000B9050000}"/>
    <cellStyle name="Normal 2 2 2 2 2 3_SSL" xfId="17235" xr:uid="{00000000-0005-0000-0000-0000BA050000}"/>
    <cellStyle name="Normal 2 2 2 2 2 4" xfId="148" xr:uid="{00000000-0005-0000-0000-0000BB050000}"/>
    <cellStyle name="Normal 2 2 2 2 2 4 10" xfId="7025" xr:uid="{00000000-0005-0000-0000-0000BC050000}"/>
    <cellStyle name="Normal 2 2 2 2 2 4 11" xfId="6163" xr:uid="{00000000-0005-0000-0000-0000BD050000}"/>
    <cellStyle name="Normal 2 2 2 2 2 4 2" xfId="278" xr:uid="{00000000-0005-0000-0000-0000BE050000}"/>
    <cellStyle name="Normal 2 2 2 2 2 4 2 10" xfId="6164" xr:uid="{00000000-0005-0000-0000-0000BF050000}"/>
    <cellStyle name="Normal 2 2 2 2 2 4 2 2" xfId="666" xr:uid="{00000000-0005-0000-0000-0000C0050000}"/>
    <cellStyle name="Normal 2 2 2 2 2 4 2 2 2" xfId="1167" xr:uid="{00000000-0005-0000-0000-0000C1050000}"/>
    <cellStyle name="Normal 2 2 2 2 2 4 2 2 2 2" xfId="7822" xr:uid="{00000000-0005-0000-0000-0000C2050000}"/>
    <cellStyle name="Normal 2 2 2 2 2 4 2 2 2_SSL" xfId="14054" xr:uid="{00000000-0005-0000-0000-0000C3050000}"/>
    <cellStyle name="Normal 2 2 2 2 2 4 2 2 3" xfId="1987" xr:uid="{00000000-0005-0000-0000-0000C4050000}"/>
    <cellStyle name="Normal 2 2 2 2 2 4 2 2 3 2" xfId="8635" xr:uid="{00000000-0005-0000-0000-0000C5050000}"/>
    <cellStyle name="Normal 2 2 2 2 2 4 2 2 3_SSL" xfId="12911" xr:uid="{00000000-0005-0000-0000-0000C6050000}"/>
    <cellStyle name="Normal 2 2 2 2 2 4 2 2 4" xfId="2806" xr:uid="{00000000-0005-0000-0000-0000C7050000}"/>
    <cellStyle name="Normal 2 2 2 2 2 4 2 2 4 2" xfId="9451" xr:uid="{00000000-0005-0000-0000-0000C8050000}"/>
    <cellStyle name="Normal 2 2 2 2 2 4 2 2 4_SSL" xfId="12655" xr:uid="{00000000-0005-0000-0000-0000C9050000}"/>
    <cellStyle name="Normal 2 2 2 2 2 4 2 2 5" xfId="3627" xr:uid="{00000000-0005-0000-0000-0000CA050000}"/>
    <cellStyle name="Normal 2 2 2 2 2 4 2 2 5 2" xfId="10267" xr:uid="{00000000-0005-0000-0000-0000CB050000}"/>
    <cellStyle name="Normal 2 2 2 2 2 4 2 2 5_SSL" xfId="14485" xr:uid="{00000000-0005-0000-0000-0000CC050000}"/>
    <cellStyle name="Normal 2 2 2 2 2 4 2 2 6" xfId="4438" xr:uid="{00000000-0005-0000-0000-0000CD050000}"/>
    <cellStyle name="Normal 2 2 2 2 2 4 2 2 6 2" xfId="11077" xr:uid="{00000000-0005-0000-0000-0000CE050000}"/>
    <cellStyle name="Normal 2 2 2 2 2 4 2 2 6_SSL" xfId="15128" xr:uid="{00000000-0005-0000-0000-0000CF050000}"/>
    <cellStyle name="Normal 2 2 2 2 2 4 2 2 7" xfId="5248" xr:uid="{00000000-0005-0000-0000-0000D0050000}"/>
    <cellStyle name="Normal 2 2 2 2 2 4 2 2 7 2" xfId="11886" xr:uid="{00000000-0005-0000-0000-0000D1050000}"/>
    <cellStyle name="Normal 2 2 2 2 2 4 2 2 7_SSL" xfId="13788" xr:uid="{00000000-0005-0000-0000-0000D2050000}"/>
    <cellStyle name="Normal 2 2 2 2 2 4 2 2 8" xfId="7522" xr:uid="{00000000-0005-0000-0000-0000D3050000}"/>
    <cellStyle name="Normal 2 2 2 2 2 4 2 2 9" xfId="6165" xr:uid="{00000000-0005-0000-0000-0000D4050000}"/>
    <cellStyle name="Normal 2 2 2 2 2 4 2 2_SSL" xfId="12951" xr:uid="{00000000-0005-0000-0000-0000D5050000}"/>
    <cellStyle name="Normal 2 2 2 2 2 4 2 3" xfId="1166" xr:uid="{00000000-0005-0000-0000-0000D6050000}"/>
    <cellStyle name="Normal 2 2 2 2 2 4 2 3 2" xfId="7821" xr:uid="{00000000-0005-0000-0000-0000D7050000}"/>
    <cellStyle name="Normal 2 2 2 2 2 4 2 3_SSL" xfId="15524" xr:uid="{00000000-0005-0000-0000-0000D8050000}"/>
    <cellStyle name="Normal 2 2 2 2 2 4 2 4" xfId="1986" xr:uid="{00000000-0005-0000-0000-0000D9050000}"/>
    <cellStyle name="Normal 2 2 2 2 2 4 2 4 2" xfId="8634" xr:uid="{00000000-0005-0000-0000-0000DA050000}"/>
    <cellStyle name="Normal 2 2 2 2 2 4 2 4_SSL" xfId="12644" xr:uid="{00000000-0005-0000-0000-0000DB050000}"/>
    <cellStyle name="Normal 2 2 2 2 2 4 2 5" xfId="2805" xr:uid="{00000000-0005-0000-0000-0000DC050000}"/>
    <cellStyle name="Normal 2 2 2 2 2 4 2 5 2" xfId="9450" xr:uid="{00000000-0005-0000-0000-0000DD050000}"/>
    <cellStyle name="Normal 2 2 2 2 2 4 2 5_SSL" xfId="17442" xr:uid="{00000000-0005-0000-0000-0000DE050000}"/>
    <cellStyle name="Normal 2 2 2 2 2 4 2 6" xfId="3626" xr:uid="{00000000-0005-0000-0000-0000DF050000}"/>
    <cellStyle name="Normal 2 2 2 2 2 4 2 6 2" xfId="10266" xr:uid="{00000000-0005-0000-0000-0000E0050000}"/>
    <cellStyle name="Normal 2 2 2 2 2 4 2 6_SSL" xfId="13198" xr:uid="{00000000-0005-0000-0000-0000E1050000}"/>
    <cellStyle name="Normal 2 2 2 2 2 4 2 7" xfId="4437" xr:uid="{00000000-0005-0000-0000-0000E2050000}"/>
    <cellStyle name="Normal 2 2 2 2 2 4 2 7 2" xfId="11076" xr:uid="{00000000-0005-0000-0000-0000E3050000}"/>
    <cellStyle name="Normal 2 2 2 2 2 4 2 7_SSL" xfId="16294" xr:uid="{00000000-0005-0000-0000-0000E4050000}"/>
    <cellStyle name="Normal 2 2 2 2 2 4 2 8" xfId="5247" xr:uid="{00000000-0005-0000-0000-0000E5050000}"/>
    <cellStyle name="Normal 2 2 2 2 2 4 2 8 2" xfId="11885" xr:uid="{00000000-0005-0000-0000-0000E6050000}"/>
    <cellStyle name="Normal 2 2 2 2 2 4 2 8_SSL" xfId="12922" xr:uid="{00000000-0005-0000-0000-0000E7050000}"/>
    <cellStyle name="Normal 2 2 2 2 2 4 2 9" xfId="7138" xr:uid="{00000000-0005-0000-0000-0000E8050000}"/>
    <cellStyle name="Normal 2 2 2 2 2 4 2_SSL" xfId="14717" xr:uid="{00000000-0005-0000-0000-0000E9050000}"/>
    <cellStyle name="Normal 2 2 2 2 2 4 3" xfId="553" xr:uid="{00000000-0005-0000-0000-0000EA050000}"/>
    <cellStyle name="Normal 2 2 2 2 2 4 3 2" xfId="1168" xr:uid="{00000000-0005-0000-0000-0000EB050000}"/>
    <cellStyle name="Normal 2 2 2 2 2 4 3 2 2" xfId="7823" xr:uid="{00000000-0005-0000-0000-0000EC050000}"/>
    <cellStyle name="Normal 2 2 2 2 2 4 3 2_SSL" xfId="13134" xr:uid="{00000000-0005-0000-0000-0000ED050000}"/>
    <cellStyle name="Normal 2 2 2 2 2 4 3 3" xfId="1988" xr:uid="{00000000-0005-0000-0000-0000EE050000}"/>
    <cellStyle name="Normal 2 2 2 2 2 4 3 3 2" xfId="8636" xr:uid="{00000000-0005-0000-0000-0000EF050000}"/>
    <cellStyle name="Normal 2 2 2 2 2 4 3 3_SSL" xfId="6123" xr:uid="{00000000-0005-0000-0000-0000F0050000}"/>
    <cellStyle name="Normal 2 2 2 2 2 4 3 4" xfId="2807" xr:uid="{00000000-0005-0000-0000-0000F1050000}"/>
    <cellStyle name="Normal 2 2 2 2 2 4 3 4 2" xfId="9452" xr:uid="{00000000-0005-0000-0000-0000F2050000}"/>
    <cellStyle name="Normal 2 2 2 2 2 4 3 4_SSL" xfId="13478" xr:uid="{00000000-0005-0000-0000-0000F3050000}"/>
    <cellStyle name="Normal 2 2 2 2 2 4 3 5" xfId="3628" xr:uid="{00000000-0005-0000-0000-0000F4050000}"/>
    <cellStyle name="Normal 2 2 2 2 2 4 3 5 2" xfId="10268" xr:uid="{00000000-0005-0000-0000-0000F5050000}"/>
    <cellStyle name="Normal 2 2 2 2 2 4 3 5_SSL" xfId="12885" xr:uid="{00000000-0005-0000-0000-0000F6050000}"/>
    <cellStyle name="Normal 2 2 2 2 2 4 3 6" xfId="4439" xr:uid="{00000000-0005-0000-0000-0000F7050000}"/>
    <cellStyle name="Normal 2 2 2 2 2 4 3 6 2" xfId="11078" xr:uid="{00000000-0005-0000-0000-0000F8050000}"/>
    <cellStyle name="Normal 2 2 2 2 2 4 3 6_SSL" xfId="13297" xr:uid="{00000000-0005-0000-0000-0000F9050000}"/>
    <cellStyle name="Normal 2 2 2 2 2 4 3 7" xfId="5249" xr:uid="{00000000-0005-0000-0000-0000FA050000}"/>
    <cellStyle name="Normal 2 2 2 2 2 4 3 7 2" xfId="11887" xr:uid="{00000000-0005-0000-0000-0000FB050000}"/>
    <cellStyle name="Normal 2 2 2 2 2 4 3 7_SSL" xfId="16540" xr:uid="{00000000-0005-0000-0000-0000FC050000}"/>
    <cellStyle name="Normal 2 2 2 2 2 4 3 8" xfId="7409" xr:uid="{00000000-0005-0000-0000-0000FD050000}"/>
    <cellStyle name="Normal 2 2 2 2 2 4 3 9" xfId="6166" xr:uid="{00000000-0005-0000-0000-0000FE050000}"/>
    <cellStyle name="Normal 2 2 2 2 2 4 3_SSL" xfId="15603" xr:uid="{00000000-0005-0000-0000-0000FF050000}"/>
    <cellStyle name="Normal 2 2 2 2 2 4 4" xfId="1165" xr:uid="{00000000-0005-0000-0000-000000060000}"/>
    <cellStyle name="Normal 2 2 2 2 2 4 4 2" xfId="7820" xr:uid="{00000000-0005-0000-0000-000001060000}"/>
    <cellStyle name="Normal 2 2 2 2 2 4 4_SSL" xfId="14751" xr:uid="{00000000-0005-0000-0000-000002060000}"/>
    <cellStyle name="Normal 2 2 2 2 2 4 5" xfId="1985" xr:uid="{00000000-0005-0000-0000-000003060000}"/>
    <cellStyle name="Normal 2 2 2 2 2 4 5 2" xfId="8633" xr:uid="{00000000-0005-0000-0000-000004060000}"/>
    <cellStyle name="Normal 2 2 2 2 2 4 5_SSL" xfId="15063" xr:uid="{00000000-0005-0000-0000-000005060000}"/>
    <cellStyle name="Normal 2 2 2 2 2 4 6" xfId="2804" xr:uid="{00000000-0005-0000-0000-000006060000}"/>
    <cellStyle name="Normal 2 2 2 2 2 4 6 2" xfId="9449" xr:uid="{00000000-0005-0000-0000-000007060000}"/>
    <cellStyle name="Normal 2 2 2 2 2 4 6_SSL" xfId="6107" xr:uid="{00000000-0005-0000-0000-000008060000}"/>
    <cellStyle name="Normal 2 2 2 2 2 4 7" xfId="3625" xr:uid="{00000000-0005-0000-0000-000009060000}"/>
    <cellStyle name="Normal 2 2 2 2 2 4 7 2" xfId="10265" xr:uid="{00000000-0005-0000-0000-00000A060000}"/>
    <cellStyle name="Normal 2 2 2 2 2 4 7_SSL" xfId="17346" xr:uid="{00000000-0005-0000-0000-00000B060000}"/>
    <cellStyle name="Normal 2 2 2 2 2 4 8" xfId="4436" xr:uid="{00000000-0005-0000-0000-00000C060000}"/>
    <cellStyle name="Normal 2 2 2 2 2 4 8 2" xfId="11075" xr:uid="{00000000-0005-0000-0000-00000D060000}"/>
    <cellStyle name="Normal 2 2 2 2 2 4 8_SSL" xfId="12770" xr:uid="{00000000-0005-0000-0000-00000E060000}"/>
    <cellStyle name="Normal 2 2 2 2 2 4 9" xfId="5246" xr:uid="{00000000-0005-0000-0000-00000F060000}"/>
    <cellStyle name="Normal 2 2 2 2 2 4 9 2" xfId="11884" xr:uid="{00000000-0005-0000-0000-000010060000}"/>
    <cellStyle name="Normal 2 2 2 2 2 4 9_SSL" xfId="13691" xr:uid="{00000000-0005-0000-0000-000011060000}"/>
    <cellStyle name="Normal 2 2 2 2 2 4_SSL" xfId="14179" xr:uid="{00000000-0005-0000-0000-000012060000}"/>
    <cellStyle name="Normal 2 2 2 2 2 5" xfId="173" xr:uid="{00000000-0005-0000-0000-000013060000}"/>
    <cellStyle name="Normal 2 2 2 2 2 5 10" xfId="7050" xr:uid="{00000000-0005-0000-0000-000014060000}"/>
    <cellStyle name="Normal 2 2 2 2 2 5 11" xfId="6167" xr:uid="{00000000-0005-0000-0000-000015060000}"/>
    <cellStyle name="Normal 2 2 2 2 2 5 2" xfId="279" xr:uid="{00000000-0005-0000-0000-000016060000}"/>
    <cellStyle name="Normal 2 2 2 2 2 5 2 10" xfId="6168" xr:uid="{00000000-0005-0000-0000-000017060000}"/>
    <cellStyle name="Normal 2 2 2 2 2 5 2 2" xfId="667" xr:uid="{00000000-0005-0000-0000-000018060000}"/>
    <cellStyle name="Normal 2 2 2 2 2 5 2 2 2" xfId="1171" xr:uid="{00000000-0005-0000-0000-000019060000}"/>
    <cellStyle name="Normal 2 2 2 2 2 5 2 2 2 2" xfId="7826" xr:uid="{00000000-0005-0000-0000-00001A060000}"/>
    <cellStyle name="Normal 2 2 2 2 2 5 2 2 2_SSL" xfId="12905" xr:uid="{00000000-0005-0000-0000-00001B060000}"/>
    <cellStyle name="Normal 2 2 2 2 2 5 2 2 3" xfId="1991" xr:uid="{00000000-0005-0000-0000-00001C060000}"/>
    <cellStyle name="Normal 2 2 2 2 2 5 2 2 3 2" xfId="8639" xr:uid="{00000000-0005-0000-0000-00001D060000}"/>
    <cellStyle name="Normal 2 2 2 2 2 5 2 2 3_SSL" xfId="15489" xr:uid="{00000000-0005-0000-0000-00001E060000}"/>
    <cellStyle name="Normal 2 2 2 2 2 5 2 2 4" xfId="2810" xr:uid="{00000000-0005-0000-0000-00001F060000}"/>
    <cellStyle name="Normal 2 2 2 2 2 5 2 2 4 2" xfId="9455" xr:uid="{00000000-0005-0000-0000-000020060000}"/>
    <cellStyle name="Normal 2 2 2 2 2 5 2 2 4_SSL" xfId="17045" xr:uid="{00000000-0005-0000-0000-000021060000}"/>
    <cellStyle name="Normal 2 2 2 2 2 5 2 2 5" xfId="3631" xr:uid="{00000000-0005-0000-0000-000022060000}"/>
    <cellStyle name="Normal 2 2 2 2 2 5 2 2 5 2" xfId="10271" xr:uid="{00000000-0005-0000-0000-000023060000}"/>
    <cellStyle name="Normal 2 2 2 2 2 5 2 2 5_SSL" xfId="14182" xr:uid="{00000000-0005-0000-0000-000024060000}"/>
    <cellStyle name="Normal 2 2 2 2 2 5 2 2 6" xfId="4442" xr:uid="{00000000-0005-0000-0000-000025060000}"/>
    <cellStyle name="Normal 2 2 2 2 2 5 2 2 6 2" xfId="11081" xr:uid="{00000000-0005-0000-0000-000026060000}"/>
    <cellStyle name="Normal 2 2 2 2 2 5 2 2 6_SSL" xfId="14003" xr:uid="{00000000-0005-0000-0000-000027060000}"/>
    <cellStyle name="Normal 2 2 2 2 2 5 2 2 7" xfId="5252" xr:uid="{00000000-0005-0000-0000-000028060000}"/>
    <cellStyle name="Normal 2 2 2 2 2 5 2 2 7 2" xfId="11890" xr:uid="{00000000-0005-0000-0000-000029060000}"/>
    <cellStyle name="Normal 2 2 2 2 2 5 2 2 7_SSL" xfId="13199" xr:uid="{00000000-0005-0000-0000-00002A060000}"/>
    <cellStyle name="Normal 2 2 2 2 2 5 2 2 8" xfId="7523" xr:uid="{00000000-0005-0000-0000-00002B060000}"/>
    <cellStyle name="Normal 2 2 2 2 2 5 2 2 9" xfId="6169" xr:uid="{00000000-0005-0000-0000-00002C060000}"/>
    <cellStyle name="Normal 2 2 2 2 2 5 2 2_SSL" xfId="12721" xr:uid="{00000000-0005-0000-0000-00002D060000}"/>
    <cellStyle name="Normal 2 2 2 2 2 5 2 3" xfId="1170" xr:uid="{00000000-0005-0000-0000-00002E060000}"/>
    <cellStyle name="Normal 2 2 2 2 2 5 2 3 2" xfId="7825" xr:uid="{00000000-0005-0000-0000-00002F060000}"/>
    <cellStyle name="Normal 2 2 2 2 2 5 2 3_SSL" xfId="10198" xr:uid="{00000000-0005-0000-0000-000030060000}"/>
    <cellStyle name="Normal 2 2 2 2 2 5 2 4" xfId="1990" xr:uid="{00000000-0005-0000-0000-000031060000}"/>
    <cellStyle name="Normal 2 2 2 2 2 5 2 4 2" xfId="8638" xr:uid="{00000000-0005-0000-0000-000032060000}"/>
    <cellStyle name="Normal 2 2 2 2 2 5 2 4_SSL" xfId="13822" xr:uid="{00000000-0005-0000-0000-000033060000}"/>
    <cellStyle name="Normal 2 2 2 2 2 5 2 5" xfId="2809" xr:uid="{00000000-0005-0000-0000-000034060000}"/>
    <cellStyle name="Normal 2 2 2 2 2 5 2 5 2" xfId="9454" xr:uid="{00000000-0005-0000-0000-000035060000}"/>
    <cellStyle name="Normal 2 2 2 2 2 5 2 5_SSL" xfId="12875" xr:uid="{00000000-0005-0000-0000-000036060000}"/>
    <cellStyle name="Normal 2 2 2 2 2 5 2 6" xfId="3630" xr:uid="{00000000-0005-0000-0000-000037060000}"/>
    <cellStyle name="Normal 2 2 2 2 2 5 2 6 2" xfId="10270" xr:uid="{00000000-0005-0000-0000-000038060000}"/>
    <cellStyle name="Normal 2 2 2 2 2 5 2 6_SSL" xfId="12820" xr:uid="{00000000-0005-0000-0000-000039060000}"/>
    <cellStyle name="Normal 2 2 2 2 2 5 2 7" xfId="4441" xr:uid="{00000000-0005-0000-0000-00003A060000}"/>
    <cellStyle name="Normal 2 2 2 2 2 5 2 7 2" xfId="11080" xr:uid="{00000000-0005-0000-0000-00003B060000}"/>
    <cellStyle name="Normal 2 2 2 2 2 5 2 7_SSL" xfId="15007" xr:uid="{00000000-0005-0000-0000-00003C060000}"/>
    <cellStyle name="Normal 2 2 2 2 2 5 2 8" xfId="5251" xr:uid="{00000000-0005-0000-0000-00003D060000}"/>
    <cellStyle name="Normal 2 2 2 2 2 5 2 8 2" xfId="11889" xr:uid="{00000000-0005-0000-0000-00003E060000}"/>
    <cellStyle name="Normal 2 2 2 2 2 5 2 8_SSL" xfId="14418" xr:uid="{00000000-0005-0000-0000-00003F060000}"/>
    <cellStyle name="Normal 2 2 2 2 2 5 2 9" xfId="7139" xr:uid="{00000000-0005-0000-0000-000040060000}"/>
    <cellStyle name="Normal 2 2 2 2 2 5 2_SSL" xfId="18002" xr:uid="{00000000-0005-0000-0000-000041060000}"/>
    <cellStyle name="Normal 2 2 2 2 2 5 3" xfId="578" xr:uid="{00000000-0005-0000-0000-000042060000}"/>
    <cellStyle name="Normal 2 2 2 2 2 5 3 2" xfId="1172" xr:uid="{00000000-0005-0000-0000-000043060000}"/>
    <cellStyle name="Normal 2 2 2 2 2 5 3 2 2" xfId="7827" xr:uid="{00000000-0005-0000-0000-000044060000}"/>
    <cellStyle name="Normal 2 2 2 2 2 5 3 2_SSL" xfId="15845" xr:uid="{00000000-0005-0000-0000-000045060000}"/>
    <cellStyle name="Normal 2 2 2 2 2 5 3 3" xfId="1992" xr:uid="{00000000-0005-0000-0000-000046060000}"/>
    <cellStyle name="Normal 2 2 2 2 2 5 3 3 2" xfId="8640" xr:uid="{00000000-0005-0000-0000-000047060000}"/>
    <cellStyle name="Normal 2 2 2 2 2 5 3 3_SSL" xfId="14561" xr:uid="{00000000-0005-0000-0000-000048060000}"/>
    <cellStyle name="Normal 2 2 2 2 2 5 3 4" xfId="2811" xr:uid="{00000000-0005-0000-0000-000049060000}"/>
    <cellStyle name="Normal 2 2 2 2 2 5 3 4 2" xfId="9456" xr:uid="{00000000-0005-0000-0000-00004A060000}"/>
    <cellStyle name="Normal 2 2 2 2 2 5 3 4_SSL" xfId="15456" xr:uid="{00000000-0005-0000-0000-00004B060000}"/>
    <cellStyle name="Normal 2 2 2 2 2 5 3 5" xfId="3632" xr:uid="{00000000-0005-0000-0000-00004C060000}"/>
    <cellStyle name="Normal 2 2 2 2 2 5 3 5 2" xfId="10272" xr:uid="{00000000-0005-0000-0000-00004D060000}"/>
    <cellStyle name="Normal 2 2 2 2 2 5 3 5_SSL" xfId="13305" xr:uid="{00000000-0005-0000-0000-00004E060000}"/>
    <cellStyle name="Normal 2 2 2 2 2 5 3 6" xfId="4443" xr:uid="{00000000-0005-0000-0000-00004F060000}"/>
    <cellStyle name="Normal 2 2 2 2 2 5 3 6 2" xfId="11082" xr:uid="{00000000-0005-0000-0000-000050060000}"/>
    <cellStyle name="Normal 2 2 2 2 2 5 3 6_SSL" xfId="17508" xr:uid="{00000000-0005-0000-0000-000051060000}"/>
    <cellStyle name="Normal 2 2 2 2 2 5 3 7" xfId="5253" xr:uid="{00000000-0005-0000-0000-000052060000}"/>
    <cellStyle name="Normal 2 2 2 2 2 5 3 7 2" xfId="11891" xr:uid="{00000000-0005-0000-0000-000053060000}"/>
    <cellStyle name="Normal 2 2 2 2 2 5 3 7_SSL" xfId="13138" xr:uid="{00000000-0005-0000-0000-000054060000}"/>
    <cellStyle name="Normal 2 2 2 2 2 5 3 8" xfId="7434" xr:uid="{00000000-0005-0000-0000-000055060000}"/>
    <cellStyle name="Normal 2 2 2 2 2 5 3 9" xfId="6170" xr:uid="{00000000-0005-0000-0000-000056060000}"/>
    <cellStyle name="Normal 2 2 2 2 2 5 3_SSL" xfId="17787" xr:uid="{00000000-0005-0000-0000-000057060000}"/>
    <cellStyle name="Normal 2 2 2 2 2 5 4" xfId="1169" xr:uid="{00000000-0005-0000-0000-000058060000}"/>
    <cellStyle name="Normal 2 2 2 2 2 5 4 2" xfId="7824" xr:uid="{00000000-0005-0000-0000-000059060000}"/>
    <cellStyle name="Normal 2 2 2 2 2 5 4_SSL" xfId="13483" xr:uid="{00000000-0005-0000-0000-00005A060000}"/>
    <cellStyle name="Normal 2 2 2 2 2 5 5" xfId="1989" xr:uid="{00000000-0005-0000-0000-00005B060000}"/>
    <cellStyle name="Normal 2 2 2 2 2 5 5 2" xfId="8637" xr:uid="{00000000-0005-0000-0000-00005C060000}"/>
    <cellStyle name="Normal 2 2 2 2 2 5 5_SSL" xfId="17618" xr:uid="{00000000-0005-0000-0000-00005D060000}"/>
    <cellStyle name="Normal 2 2 2 2 2 5 6" xfId="2808" xr:uid="{00000000-0005-0000-0000-00005E060000}"/>
    <cellStyle name="Normal 2 2 2 2 2 5 6 2" xfId="9453" xr:uid="{00000000-0005-0000-0000-00005F060000}"/>
    <cellStyle name="Normal 2 2 2 2 2 5 6_SSL" xfId="14916" xr:uid="{00000000-0005-0000-0000-000060060000}"/>
    <cellStyle name="Normal 2 2 2 2 2 5 7" xfId="3629" xr:uid="{00000000-0005-0000-0000-000061060000}"/>
    <cellStyle name="Normal 2 2 2 2 2 5 7 2" xfId="10269" xr:uid="{00000000-0005-0000-0000-000062060000}"/>
    <cellStyle name="Normal 2 2 2 2 2 5 7_SSL" xfId="17629" xr:uid="{00000000-0005-0000-0000-000063060000}"/>
    <cellStyle name="Normal 2 2 2 2 2 5 8" xfId="4440" xr:uid="{00000000-0005-0000-0000-000064060000}"/>
    <cellStyle name="Normal 2 2 2 2 2 5 8 2" xfId="11079" xr:uid="{00000000-0005-0000-0000-000065060000}"/>
    <cellStyle name="Normal 2 2 2 2 2 5 8_SSL" xfId="12819" xr:uid="{00000000-0005-0000-0000-000066060000}"/>
    <cellStyle name="Normal 2 2 2 2 2 5 9" xfId="5250" xr:uid="{00000000-0005-0000-0000-000067060000}"/>
    <cellStyle name="Normal 2 2 2 2 2 5 9 2" xfId="11888" xr:uid="{00000000-0005-0000-0000-000068060000}"/>
    <cellStyle name="Normal 2 2 2 2 2 5 9_SSL" xfId="16161" xr:uid="{00000000-0005-0000-0000-000069060000}"/>
    <cellStyle name="Normal 2 2 2 2 2 5_SSL" xfId="16923" xr:uid="{00000000-0005-0000-0000-00006A060000}"/>
    <cellStyle name="Normal 2 2 2 2 2 6" xfId="244" xr:uid="{00000000-0005-0000-0000-00006B060000}"/>
    <cellStyle name="Normal 2 2 2 2 2 6 10" xfId="7121" xr:uid="{00000000-0005-0000-0000-00006C060000}"/>
    <cellStyle name="Normal 2 2 2 2 2 6 11" xfId="6171" xr:uid="{00000000-0005-0000-0000-00006D060000}"/>
    <cellStyle name="Normal 2 2 2 2 2 6 2" xfId="280" xr:uid="{00000000-0005-0000-0000-00006E060000}"/>
    <cellStyle name="Normal 2 2 2 2 2 6 2 10" xfId="6172" xr:uid="{00000000-0005-0000-0000-00006F060000}"/>
    <cellStyle name="Normal 2 2 2 2 2 6 2 2" xfId="668" xr:uid="{00000000-0005-0000-0000-000070060000}"/>
    <cellStyle name="Normal 2 2 2 2 2 6 2 2 2" xfId="1175" xr:uid="{00000000-0005-0000-0000-000071060000}"/>
    <cellStyle name="Normal 2 2 2 2 2 6 2 2 2 2" xfId="7830" xr:uid="{00000000-0005-0000-0000-000072060000}"/>
    <cellStyle name="Normal 2 2 2 2 2 6 2 2 2_SSL" xfId="14329" xr:uid="{00000000-0005-0000-0000-000073060000}"/>
    <cellStyle name="Normal 2 2 2 2 2 6 2 2 3" xfId="1995" xr:uid="{00000000-0005-0000-0000-000074060000}"/>
    <cellStyle name="Normal 2 2 2 2 2 6 2 2 3 2" xfId="8643" xr:uid="{00000000-0005-0000-0000-000075060000}"/>
    <cellStyle name="Normal 2 2 2 2 2 6 2 2 3_SSL" xfId="15973" xr:uid="{00000000-0005-0000-0000-000076060000}"/>
    <cellStyle name="Normal 2 2 2 2 2 6 2 2 4" xfId="2814" xr:uid="{00000000-0005-0000-0000-000077060000}"/>
    <cellStyle name="Normal 2 2 2 2 2 6 2 2 4 2" xfId="9459" xr:uid="{00000000-0005-0000-0000-000078060000}"/>
    <cellStyle name="Normal 2 2 2 2 2 6 2 2 4_SSL" xfId="14466" xr:uid="{00000000-0005-0000-0000-000079060000}"/>
    <cellStyle name="Normal 2 2 2 2 2 6 2 2 5" xfId="3635" xr:uid="{00000000-0005-0000-0000-00007A060000}"/>
    <cellStyle name="Normal 2 2 2 2 2 6 2 2 5 2" xfId="10275" xr:uid="{00000000-0005-0000-0000-00007B060000}"/>
    <cellStyle name="Normal 2 2 2 2 2 6 2 2 5_SSL" xfId="15252" xr:uid="{00000000-0005-0000-0000-00007C060000}"/>
    <cellStyle name="Normal 2 2 2 2 2 6 2 2 6" xfId="4446" xr:uid="{00000000-0005-0000-0000-00007D060000}"/>
    <cellStyle name="Normal 2 2 2 2 2 6 2 2 6 2" xfId="11085" xr:uid="{00000000-0005-0000-0000-00007E060000}"/>
    <cellStyle name="Normal 2 2 2 2 2 6 2 2 6_SSL" xfId="17434" xr:uid="{00000000-0005-0000-0000-00007F060000}"/>
    <cellStyle name="Normal 2 2 2 2 2 6 2 2 7" xfId="5256" xr:uid="{00000000-0005-0000-0000-000080060000}"/>
    <cellStyle name="Normal 2 2 2 2 2 6 2 2 7 2" xfId="11894" xr:uid="{00000000-0005-0000-0000-000081060000}"/>
    <cellStyle name="Normal 2 2 2 2 2 6 2 2 7_SSL" xfId="16565" xr:uid="{00000000-0005-0000-0000-000082060000}"/>
    <cellStyle name="Normal 2 2 2 2 2 6 2 2 8" xfId="7524" xr:uid="{00000000-0005-0000-0000-000083060000}"/>
    <cellStyle name="Normal 2 2 2 2 2 6 2 2 9" xfId="6173" xr:uid="{00000000-0005-0000-0000-000084060000}"/>
    <cellStyle name="Normal 2 2 2 2 2 6 2 2_SSL" xfId="12939" xr:uid="{00000000-0005-0000-0000-000085060000}"/>
    <cellStyle name="Normal 2 2 2 2 2 6 2 3" xfId="1174" xr:uid="{00000000-0005-0000-0000-000086060000}"/>
    <cellStyle name="Normal 2 2 2 2 2 6 2 3 2" xfId="7829" xr:uid="{00000000-0005-0000-0000-000087060000}"/>
    <cellStyle name="Normal 2 2 2 2 2 6 2 3_SSL" xfId="17812" xr:uid="{00000000-0005-0000-0000-000088060000}"/>
    <cellStyle name="Normal 2 2 2 2 2 6 2 4" xfId="1994" xr:uid="{00000000-0005-0000-0000-000089060000}"/>
    <cellStyle name="Normal 2 2 2 2 2 6 2 4 2" xfId="8642" xr:uid="{00000000-0005-0000-0000-00008A060000}"/>
    <cellStyle name="Normal 2 2 2 2 2 6 2 4_SSL" xfId="13475" xr:uid="{00000000-0005-0000-0000-00008B060000}"/>
    <cellStyle name="Normal 2 2 2 2 2 6 2 5" xfId="2813" xr:uid="{00000000-0005-0000-0000-00008C060000}"/>
    <cellStyle name="Normal 2 2 2 2 2 6 2 5 2" xfId="9458" xr:uid="{00000000-0005-0000-0000-00008D060000}"/>
    <cellStyle name="Normal 2 2 2 2 2 6 2 5_SSL" xfId="13920" xr:uid="{00000000-0005-0000-0000-00008E060000}"/>
    <cellStyle name="Normal 2 2 2 2 2 6 2 6" xfId="3634" xr:uid="{00000000-0005-0000-0000-00008F060000}"/>
    <cellStyle name="Normal 2 2 2 2 2 6 2 6 2" xfId="10274" xr:uid="{00000000-0005-0000-0000-000090060000}"/>
    <cellStyle name="Normal 2 2 2 2 2 6 2 6_SSL" xfId="17829" xr:uid="{00000000-0005-0000-0000-000091060000}"/>
    <cellStyle name="Normal 2 2 2 2 2 6 2 7" xfId="4445" xr:uid="{00000000-0005-0000-0000-000092060000}"/>
    <cellStyle name="Normal 2 2 2 2 2 6 2 7 2" xfId="11084" xr:uid="{00000000-0005-0000-0000-000093060000}"/>
    <cellStyle name="Normal 2 2 2 2 2 6 2 7_SSL" xfId="17422" xr:uid="{00000000-0005-0000-0000-000094060000}"/>
    <cellStyle name="Normal 2 2 2 2 2 6 2 8" xfId="5255" xr:uid="{00000000-0005-0000-0000-000095060000}"/>
    <cellStyle name="Normal 2 2 2 2 2 6 2 8 2" xfId="11893" xr:uid="{00000000-0005-0000-0000-000096060000}"/>
    <cellStyle name="Normal 2 2 2 2 2 6 2 8_SSL" xfId="14502" xr:uid="{00000000-0005-0000-0000-000097060000}"/>
    <cellStyle name="Normal 2 2 2 2 2 6 2 9" xfId="7140" xr:uid="{00000000-0005-0000-0000-000098060000}"/>
    <cellStyle name="Normal 2 2 2 2 2 6 2_SSL" xfId="17896" xr:uid="{00000000-0005-0000-0000-000099060000}"/>
    <cellStyle name="Normal 2 2 2 2 2 6 3" xfId="649" xr:uid="{00000000-0005-0000-0000-00009A060000}"/>
    <cellStyle name="Normal 2 2 2 2 2 6 3 2" xfId="1176" xr:uid="{00000000-0005-0000-0000-00009B060000}"/>
    <cellStyle name="Normal 2 2 2 2 2 6 3 2 2" xfId="7831" xr:uid="{00000000-0005-0000-0000-00009C060000}"/>
    <cellStyle name="Normal 2 2 2 2 2 6 3 2_SSL" xfId="16435" xr:uid="{00000000-0005-0000-0000-00009D060000}"/>
    <cellStyle name="Normal 2 2 2 2 2 6 3 3" xfId="1996" xr:uid="{00000000-0005-0000-0000-00009E060000}"/>
    <cellStyle name="Normal 2 2 2 2 2 6 3 3 2" xfId="8644" xr:uid="{00000000-0005-0000-0000-00009F060000}"/>
    <cellStyle name="Normal 2 2 2 2 2 6 3 3_SSL" xfId="12724" xr:uid="{00000000-0005-0000-0000-0000A0060000}"/>
    <cellStyle name="Normal 2 2 2 2 2 6 3 4" xfId="2815" xr:uid="{00000000-0005-0000-0000-0000A1060000}"/>
    <cellStyle name="Normal 2 2 2 2 2 6 3 4 2" xfId="9460" xr:uid="{00000000-0005-0000-0000-0000A2060000}"/>
    <cellStyle name="Normal 2 2 2 2 2 6 3 4_SSL" xfId="13491" xr:uid="{00000000-0005-0000-0000-0000A3060000}"/>
    <cellStyle name="Normal 2 2 2 2 2 6 3 5" xfId="3636" xr:uid="{00000000-0005-0000-0000-0000A4060000}"/>
    <cellStyle name="Normal 2 2 2 2 2 6 3 5 2" xfId="10276" xr:uid="{00000000-0005-0000-0000-0000A5060000}"/>
    <cellStyle name="Normal 2 2 2 2 2 6 3 5_SSL" xfId="13894" xr:uid="{00000000-0005-0000-0000-0000A6060000}"/>
    <cellStyle name="Normal 2 2 2 2 2 6 3 6" xfId="4447" xr:uid="{00000000-0005-0000-0000-0000A7060000}"/>
    <cellStyle name="Normal 2 2 2 2 2 6 3 6 2" xfId="11086" xr:uid="{00000000-0005-0000-0000-0000A8060000}"/>
    <cellStyle name="Normal 2 2 2 2 2 6 3 6_SSL" xfId="15596" xr:uid="{00000000-0005-0000-0000-0000A9060000}"/>
    <cellStyle name="Normal 2 2 2 2 2 6 3 7" xfId="5257" xr:uid="{00000000-0005-0000-0000-0000AA060000}"/>
    <cellStyle name="Normal 2 2 2 2 2 6 3 7 2" xfId="11895" xr:uid="{00000000-0005-0000-0000-0000AB060000}"/>
    <cellStyle name="Normal 2 2 2 2 2 6 3 7_SSL" xfId="15880" xr:uid="{00000000-0005-0000-0000-0000AC060000}"/>
    <cellStyle name="Normal 2 2 2 2 2 6 3 8" xfId="7505" xr:uid="{00000000-0005-0000-0000-0000AD060000}"/>
    <cellStyle name="Normal 2 2 2 2 2 6 3 9" xfId="6174" xr:uid="{00000000-0005-0000-0000-0000AE060000}"/>
    <cellStyle name="Normal 2 2 2 2 2 6 3_SSL" xfId="17003" xr:uid="{00000000-0005-0000-0000-0000AF060000}"/>
    <cellStyle name="Normal 2 2 2 2 2 6 4" xfId="1173" xr:uid="{00000000-0005-0000-0000-0000B0060000}"/>
    <cellStyle name="Normal 2 2 2 2 2 6 4 2" xfId="7828" xr:uid="{00000000-0005-0000-0000-0000B1060000}"/>
    <cellStyle name="Normal 2 2 2 2 2 6 4_SSL" xfId="6047" xr:uid="{00000000-0005-0000-0000-0000B2060000}"/>
    <cellStyle name="Normal 2 2 2 2 2 6 5" xfId="1993" xr:uid="{00000000-0005-0000-0000-0000B3060000}"/>
    <cellStyle name="Normal 2 2 2 2 2 6 5 2" xfId="8641" xr:uid="{00000000-0005-0000-0000-0000B4060000}"/>
    <cellStyle name="Normal 2 2 2 2 2 6 5_SSL" xfId="13388" xr:uid="{00000000-0005-0000-0000-0000B5060000}"/>
    <cellStyle name="Normal 2 2 2 2 2 6 6" xfId="2812" xr:uid="{00000000-0005-0000-0000-0000B6060000}"/>
    <cellStyle name="Normal 2 2 2 2 2 6 6 2" xfId="9457" xr:uid="{00000000-0005-0000-0000-0000B7060000}"/>
    <cellStyle name="Normal 2 2 2 2 2 6 6_SSL" xfId="14367" xr:uid="{00000000-0005-0000-0000-0000B8060000}"/>
    <cellStyle name="Normal 2 2 2 2 2 6 7" xfId="3633" xr:uid="{00000000-0005-0000-0000-0000B9060000}"/>
    <cellStyle name="Normal 2 2 2 2 2 6 7 2" xfId="10273" xr:uid="{00000000-0005-0000-0000-0000BA060000}"/>
    <cellStyle name="Normal 2 2 2 2 2 6 7_SSL" xfId="14251" xr:uid="{00000000-0005-0000-0000-0000BB060000}"/>
    <cellStyle name="Normal 2 2 2 2 2 6 8" xfId="4444" xr:uid="{00000000-0005-0000-0000-0000BC060000}"/>
    <cellStyle name="Normal 2 2 2 2 2 6 8 2" xfId="11083" xr:uid="{00000000-0005-0000-0000-0000BD060000}"/>
    <cellStyle name="Normal 2 2 2 2 2 6 8_SSL" xfId="17427" xr:uid="{00000000-0005-0000-0000-0000BE060000}"/>
    <cellStyle name="Normal 2 2 2 2 2 6 9" xfId="5254" xr:uid="{00000000-0005-0000-0000-0000BF060000}"/>
    <cellStyle name="Normal 2 2 2 2 2 6 9 2" xfId="11892" xr:uid="{00000000-0005-0000-0000-0000C0060000}"/>
    <cellStyle name="Normal 2 2 2 2 2 6 9_SSL" xfId="15968" xr:uid="{00000000-0005-0000-0000-0000C1060000}"/>
    <cellStyle name="Normal 2 2 2 2 2 6_SSL" xfId="15230" xr:uid="{00000000-0005-0000-0000-0000C2060000}"/>
    <cellStyle name="Normal 2 2 2 2 2 7" xfId="273" xr:uid="{00000000-0005-0000-0000-0000C3060000}"/>
    <cellStyle name="Normal 2 2 2 2 2 7 10" xfId="6175" xr:uid="{00000000-0005-0000-0000-0000C4060000}"/>
    <cellStyle name="Normal 2 2 2 2 2 7 2" xfId="661" xr:uid="{00000000-0005-0000-0000-0000C5060000}"/>
    <cellStyle name="Normal 2 2 2 2 2 7 2 2" xfId="1178" xr:uid="{00000000-0005-0000-0000-0000C6060000}"/>
    <cellStyle name="Normal 2 2 2 2 2 7 2 2 2" xfId="7833" xr:uid="{00000000-0005-0000-0000-0000C7060000}"/>
    <cellStyle name="Normal 2 2 2 2 2 7 2 2_SSL" xfId="15796" xr:uid="{00000000-0005-0000-0000-0000C8060000}"/>
    <cellStyle name="Normal 2 2 2 2 2 7 2 3" xfId="1998" xr:uid="{00000000-0005-0000-0000-0000C9060000}"/>
    <cellStyle name="Normal 2 2 2 2 2 7 2 3 2" xfId="8646" xr:uid="{00000000-0005-0000-0000-0000CA060000}"/>
    <cellStyle name="Normal 2 2 2 2 2 7 2 3_SSL" xfId="12853" xr:uid="{00000000-0005-0000-0000-0000CB060000}"/>
    <cellStyle name="Normal 2 2 2 2 2 7 2 4" xfId="2817" xr:uid="{00000000-0005-0000-0000-0000CC060000}"/>
    <cellStyle name="Normal 2 2 2 2 2 7 2 4 2" xfId="9462" xr:uid="{00000000-0005-0000-0000-0000CD060000}"/>
    <cellStyle name="Normal 2 2 2 2 2 7 2 4_SSL" xfId="17155" xr:uid="{00000000-0005-0000-0000-0000CE060000}"/>
    <cellStyle name="Normal 2 2 2 2 2 7 2 5" xfId="3638" xr:uid="{00000000-0005-0000-0000-0000CF060000}"/>
    <cellStyle name="Normal 2 2 2 2 2 7 2 5 2" xfId="10278" xr:uid="{00000000-0005-0000-0000-0000D0060000}"/>
    <cellStyle name="Normal 2 2 2 2 2 7 2 5_SSL" xfId="13309" xr:uid="{00000000-0005-0000-0000-0000D1060000}"/>
    <cellStyle name="Normal 2 2 2 2 2 7 2 6" xfId="4449" xr:uid="{00000000-0005-0000-0000-0000D2060000}"/>
    <cellStyle name="Normal 2 2 2 2 2 7 2 6 2" xfId="11088" xr:uid="{00000000-0005-0000-0000-0000D3060000}"/>
    <cellStyle name="Normal 2 2 2 2 2 7 2 6_SSL" xfId="13621" xr:uid="{00000000-0005-0000-0000-0000D4060000}"/>
    <cellStyle name="Normal 2 2 2 2 2 7 2 7" xfId="5259" xr:uid="{00000000-0005-0000-0000-0000D5060000}"/>
    <cellStyle name="Normal 2 2 2 2 2 7 2 7 2" xfId="11897" xr:uid="{00000000-0005-0000-0000-0000D6060000}"/>
    <cellStyle name="Normal 2 2 2 2 2 7 2 7_SSL" xfId="13875" xr:uid="{00000000-0005-0000-0000-0000D7060000}"/>
    <cellStyle name="Normal 2 2 2 2 2 7 2 8" xfId="7517" xr:uid="{00000000-0005-0000-0000-0000D8060000}"/>
    <cellStyle name="Normal 2 2 2 2 2 7 2 9" xfId="6176" xr:uid="{00000000-0005-0000-0000-0000D9060000}"/>
    <cellStyle name="Normal 2 2 2 2 2 7 2_SSL" xfId="17154" xr:uid="{00000000-0005-0000-0000-0000DA060000}"/>
    <cellStyle name="Normal 2 2 2 2 2 7 3" xfId="1177" xr:uid="{00000000-0005-0000-0000-0000DB060000}"/>
    <cellStyle name="Normal 2 2 2 2 2 7 3 2" xfId="7832" xr:uid="{00000000-0005-0000-0000-0000DC060000}"/>
    <cellStyle name="Normal 2 2 2 2 2 7 3_SSL" xfId="14230" xr:uid="{00000000-0005-0000-0000-0000DD060000}"/>
    <cellStyle name="Normal 2 2 2 2 2 7 4" xfId="1997" xr:uid="{00000000-0005-0000-0000-0000DE060000}"/>
    <cellStyle name="Normal 2 2 2 2 2 7 4 2" xfId="8645" xr:uid="{00000000-0005-0000-0000-0000DF060000}"/>
    <cellStyle name="Normal 2 2 2 2 2 7 4_SSL" xfId="14895" xr:uid="{00000000-0005-0000-0000-0000E0060000}"/>
    <cellStyle name="Normal 2 2 2 2 2 7 5" xfId="2816" xr:uid="{00000000-0005-0000-0000-0000E1060000}"/>
    <cellStyle name="Normal 2 2 2 2 2 7 5 2" xfId="9461" xr:uid="{00000000-0005-0000-0000-0000E2060000}"/>
    <cellStyle name="Normal 2 2 2 2 2 7 5_SSL" xfId="14652" xr:uid="{00000000-0005-0000-0000-0000E3060000}"/>
    <cellStyle name="Normal 2 2 2 2 2 7 6" xfId="3637" xr:uid="{00000000-0005-0000-0000-0000E4060000}"/>
    <cellStyle name="Normal 2 2 2 2 2 7 6 2" xfId="10277" xr:uid="{00000000-0005-0000-0000-0000E5060000}"/>
    <cellStyle name="Normal 2 2 2 2 2 7 6_SSL" xfId="15733" xr:uid="{00000000-0005-0000-0000-0000E6060000}"/>
    <cellStyle name="Normal 2 2 2 2 2 7 7" xfId="4448" xr:uid="{00000000-0005-0000-0000-0000E7060000}"/>
    <cellStyle name="Normal 2 2 2 2 2 7 7 2" xfId="11087" xr:uid="{00000000-0005-0000-0000-0000E8060000}"/>
    <cellStyle name="Normal 2 2 2 2 2 7 7_SSL" xfId="12659" xr:uid="{00000000-0005-0000-0000-0000E9060000}"/>
    <cellStyle name="Normal 2 2 2 2 2 7 8" xfId="5258" xr:uid="{00000000-0005-0000-0000-0000EA060000}"/>
    <cellStyle name="Normal 2 2 2 2 2 7 8 2" xfId="11896" xr:uid="{00000000-0005-0000-0000-0000EB060000}"/>
    <cellStyle name="Normal 2 2 2 2 2 7 8_SSL" xfId="15576" xr:uid="{00000000-0005-0000-0000-0000EC060000}"/>
    <cellStyle name="Normal 2 2 2 2 2 7 9" xfId="7133" xr:uid="{00000000-0005-0000-0000-0000ED060000}"/>
    <cellStyle name="Normal 2 2 2 2 2 7_SSL" xfId="15346" xr:uid="{00000000-0005-0000-0000-0000EE060000}"/>
    <cellStyle name="Normal 2 2 2 2 2 8" xfId="482" xr:uid="{00000000-0005-0000-0000-0000EF060000}"/>
    <cellStyle name="Normal 2 2 2 2 2 8 2" xfId="1179" xr:uid="{00000000-0005-0000-0000-0000F0060000}"/>
    <cellStyle name="Normal 2 2 2 2 2 8 2 2" xfId="7834" xr:uid="{00000000-0005-0000-0000-0000F1060000}"/>
    <cellStyle name="Normal 2 2 2 2 2 8 2_SSL" xfId="16699" xr:uid="{00000000-0005-0000-0000-0000F2060000}"/>
    <cellStyle name="Normal 2 2 2 2 2 8 3" xfId="1999" xr:uid="{00000000-0005-0000-0000-0000F3060000}"/>
    <cellStyle name="Normal 2 2 2 2 2 8 3 2" xfId="8647" xr:uid="{00000000-0005-0000-0000-0000F4060000}"/>
    <cellStyle name="Normal 2 2 2 2 2 8 3_SSL" xfId="15158" xr:uid="{00000000-0005-0000-0000-0000F5060000}"/>
    <cellStyle name="Normal 2 2 2 2 2 8 4" xfId="2818" xr:uid="{00000000-0005-0000-0000-0000F6060000}"/>
    <cellStyle name="Normal 2 2 2 2 2 8 4 2" xfId="9463" xr:uid="{00000000-0005-0000-0000-0000F7060000}"/>
    <cellStyle name="Normal 2 2 2 2 2 8 4_SSL" xfId="13466" xr:uid="{00000000-0005-0000-0000-0000F8060000}"/>
    <cellStyle name="Normal 2 2 2 2 2 8 5" xfId="3639" xr:uid="{00000000-0005-0000-0000-0000F9060000}"/>
    <cellStyle name="Normal 2 2 2 2 2 8 5 2" xfId="10279" xr:uid="{00000000-0005-0000-0000-0000FA060000}"/>
    <cellStyle name="Normal 2 2 2 2 2 8 5_SSL" xfId="12761" xr:uid="{00000000-0005-0000-0000-0000FB060000}"/>
    <cellStyle name="Normal 2 2 2 2 2 8 6" xfId="4450" xr:uid="{00000000-0005-0000-0000-0000FC060000}"/>
    <cellStyle name="Normal 2 2 2 2 2 8 6 2" xfId="11089" xr:uid="{00000000-0005-0000-0000-0000FD060000}"/>
    <cellStyle name="Normal 2 2 2 2 2 8 6_SSL" xfId="15817" xr:uid="{00000000-0005-0000-0000-0000FE060000}"/>
    <cellStyle name="Normal 2 2 2 2 2 8 7" xfId="5260" xr:uid="{00000000-0005-0000-0000-0000FF060000}"/>
    <cellStyle name="Normal 2 2 2 2 2 8 7 2" xfId="11898" xr:uid="{00000000-0005-0000-0000-000000070000}"/>
    <cellStyle name="Normal 2 2 2 2 2 8 7_SSL" xfId="14047" xr:uid="{00000000-0005-0000-0000-000001070000}"/>
    <cellStyle name="Normal 2 2 2 2 2 8 8" xfId="7338" xr:uid="{00000000-0005-0000-0000-000002070000}"/>
    <cellStyle name="Normal 2 2 2 2 2 8 9" xfId="6177" xr:uid="{00000000-0005-0000-0000-000003070000}"/>
    <cellStyle name="Normal 2 2 2 2 2 8_SSL" xfId="14336" xr:uid="{00000000-0005-0000-0000-000004070000}"/>
    <cellStyle name="Normal 2 2 2 2 2 9" xfId="1148" xr:uid="{00000000-0005-0000-0000-000005070000}"/>
    <cellStyle name="Normal 2 2 2 2 2 9 2" xfId="7803" xr:uid="{00000000-0005-0000-0000-000006070000}"/>
    <cellStyle name="Normal 2 2 2 2 2 9_SSL" xfId="13307" xr:uid="{00000000-0005-0000-0000-000007070000}"/>
    <cellStyle name="Normal 2 2 2 2 2_SSL" xfId="15725" xr:uid="{00000000-0005-0000-0000-000008070000}"/>
    <cellStyle name="Normal 2 2 2 2 3" xfId="84" xr:uid="{00000000-0005-0000-0000-000009070000}"/>
    <cellStyle name="Normal 2 2 2 2 3 10" xfId="5261" xr:uid="{00000000-0005-0000-0000-00000A070000}"/>
    <cellStyle name="Normal 2 2 2 2 3 10 2" xfId="11899" xr:uid="{00000000-0005-0000-0000-00000B070000}"/>
    <cellStyle name="Normal 2 2 2 2 3 10_SSL" xfId="17093" xr:uid="{00000000-0005-0000-0000-00000C070000}"/>
    <cellStyle name="Normal 2 2 2 2 3 11" xfId="6965" xr:uid="{00000000-0005-0000-0000-00000D070000}"/>
    <cellStyle name="Normal 2 2 2 2 3 12" xfId="6178" xr:uid="{00000000-0005-0000-0000-00000E070000}"/>
    <cellStyle name="Normal 2 2 2 2 3 2" xfId="184" xr:uid="{00000000-0005-0000-0000-00000F070000}"/>
    <cellStyle name="Normal 2 2 2 2 3 2 10" xfId="7061" xr:uid="{00000000-0005-0000-0000-000010070000}"/>
    <cellStyle name="Normal 2 2 2 2 3 2 11" xfId="6179" xr:uid="{00000000-0005-0000-0000-000011070000}"/>
    <cellStyle name="Normal 2 2 2 2 3 2 2" xfId="282" xr:uid="{00000000-0005-0000-0000-000012070000}"/>
    <cellStyle name="Normal 2 2 2 2 3 2 2 10" xfId="6180" xr:uid="{00000000-0005-0000-0000-000013070000}"/>
    <cellStyle name="Normal 2 2 2 2 3 2 2 2" xfId="670" xr:uid="{00000000-0005-0000-0000-000014070000}"/>
    <cellStyle name="Normal 2 2 2 2 3 2 2 2 2" xfId="1183" xr:uid="{00000000-0005-0000-0000-000015070000}"/>
    <cellStyle name="Normal 2 2 2 2 3 2 2 2 2 2" xfId="7838" xr:uid="{00000000-0005-0000-0000-000016070000}"/>
    <cellStyle name="Normal 2 2 2 2 3 2 2 2 2_SSL" xfId="6046" xr:uid="{00000000-0005-0000-0000-000017070000}"/>
    <cellStyle name="Normal 2 2 2 2 3 2 2 2 3" xfId="2003" xr:uid="{00000000-0005-0000-0000-000018070000}"/>
    <cellStyle name="Normal 2 2 2 2 3 2 2 2 3 2" xfId="8651" xr:uid="{00000000-0005-0000-0000-000019070000}"/>
    <cellStyle name="Normal 2 2 2 2 3 2 2 2 3_SSL" xfId="16116" xr:uid="{00000000-0005-0000-0000-00001A070000}"/>
    <cellStyle name="Normal 2 2 2 2 3 2 2 2 4" xfId="2822" xr:uid="{00000000-0005-0000-0000-00001B070000}"/>
    <cellStyle name="Normal 2 2 2 2 3 2 2 2 4 2" xfId="9467" xr:uid="{00000000-0005-0000-0000-00001C070000}"/>
    <cellStyle name="Normal 2 2 2 2 3 2 2 2 4_SSL" xfId="15037" xr:uid="{00000000-0005-0000-0000-00001D070000}"/>
    <cellStyle name="Normal 2 2 2 2 3 2 2 2 5" xfId="3643" xr:uid="{00000000-0005-0000-0000-00001E070000}"/>
    <cellStyle name="Normal 2 2 2 2 3 2 2 2 5 2" xfId="10283" xr:uid="{00000000-0005-0000-0000-00001F070000}"/>
    <cellStyle name="Normal 2 2 2 2 3 2 2 2 5_SSL" xfId="15574" xr:uid="{00000000-0005-0000-0000-000020070000}"/>
    <cellStyle name="Normal 2 2 2 2 3 2 2 2 6" xfId="4454" xr:uid="{00000000-0005-0000-0000-000021070000}"/>
    <cellStyle name="Normal 2 2 2 2 3 2 2 2 6 2" xfId="11093" xr:uid="{00000000-0005-0000-0000-000022070000}"/>
    <cellStyle name="Normal 2 2 2 2 3 2 2 2 6_SSL" xfId="14900" xr:uid="{00000000-0005-0000-0000-000023070000}"/>
    <cellStyle name="Normal 2 2 2 2 3 2 2 2 7" xfId="5264" xr:uid="{00000000-0005-0000-0000-000024070000}"/>
    <cellStyle name="Normal 2 2 2 2 3 2 2 2 7 2" xfId="11902" xr:uid="{00000000-0005-0000-0000-000025070000}"/>
    <cellStyle name="Normal 2 2 2 2 3 2 2 2 7_SSL" xfId="17141" xr:uid="{00000000-0005-0000-0000-000026070000}"/>
    <cellStyle name="Normal 2 2 2 2 3 2 2 2 8" xfId="7526" xr:uid="{00000000-0005-0000-0000-000027070000}"/>
    <cellStyle name="Normal 2 2 2 2 3 2 2 2 9" xfId="6181" xr:uid="{00000000-0005-0000-0000-000028070000}"/>
    <cellStyle name="Normal 2 2 2 2 3 2 2 2_SSL" xfId="13370" xr:uid="{00000000-0005-0000-0000-000029070000}"/>
    <cellStyle name="Normal 2 2 2 2 3 2 2 3" xfId="1182" xr:uid="{00000000-0005-0000-0000-00002A070000}"/>
    <cellStyle name="Normal 2 2 2 2 3 2 2 3 2" xfId="7837" xr:uid="{00000000-0005-0000-0000-00002B070000}"/>
    <cellStyle name="Normal 2 2 2 2 3 2 2 3_SSL" xfId="16462" xr:uid="{00000000-0005-0000-0000-00002C070000}"/>
    <cellStyle name="Normal 2 2 2 2 3 2 2 4" xfId="2002" xr:uid="{00000000-0005-0000-0000-00002D070000}"/>
    <cellStyle name="Normal 2 2 2 2 3 2 2 4 2" xfId="8650" xr:uid="{00000000-0005-0000-0000-00002E070000}"/>
    <cellStyle name="Normal 2 2 2 2 3 2 2 4_SSL" xfId="12740" xr:uid="{00000000-0005-0000-0000-00002F070000}"/>
    <cellStyle name="Normal 2 2 2 2 3 2 2 5" xfId="2821" xr:uid="{00000000-0005-0000-0000-000030070000}"/>
    <cellStyle name="Normal 2 2 2 2 3 2 2 5 2" xfId="9466" xr:uid="{00000000-0005-0000-0000-000031070000}"/>
    <cellStyle name="Normal 2 2 2 2 3 2 2 5_SSL" xfId="17087" xr:uid="{00000000-0005-0000-0000-000032070000}"/>
    <cellStyle name="Normal 2 2 2 2 3 2 2 6" xfId="3642" xr:uid="{00000000-0005-0000-0000-000033070000}"/>
    <cellStyle name="Normal 2 2 2 2 3 2 2 6 2" xfId="10282" xr:uid="{00000000-0005-0000-0000-000034070000}"/>
    <cellStyle name="Normal 2 2 2 2 3 2 2 6_SSL" xfId="12883" xr:uid="{00000000-0005-0000-0000-000035070000}"/>
    <cellStyle name="Normal 2 2 2 2 3 2 2 7" xfId="4453" xr:uid="{00000000-0005-0000-0000-000036070000}"/>
    <cellStyle name="Normal 2 2 2 2 3 2 2 7 2" xfId="11092" xr:uid="{00000000-0005-0000-0000-000037070000}"/>
    <cellStyle name="Normal 2 2 2 2 3 2 2 7_SSL" xfId="17364" xr:uid="{00000000-0005-0000-0000-000038070000}"/>
    <cellStyle name="Normal 2 2 2 2 3 2 2 8" xfId="5263" xr:uid="{00000000-0005-0000-0000-000039070000}"/>
    <cellStyle name="Normal 2 2 2 2 3 2 2 8 2" xfId="11901" xr:uid="{00000000-0005-0000-0000-00003A070000}"/>
    <cellStyle name="Normal 2 2 2 2 3 2 2 8_SSL" xfId="17951" xr:uid="{00000000-0005-0000-0000-00003B070000}"/>
    <cellStyle name="Normal 2 2 2 2 3 2 2 9" xfId="7142" xr:uid="{00000000-0005-0000-0000-00003C070000}"/>
    <cellStyle name="Normal 2 2 2 2 3 2 2_SSL" xfId="14208" xr:uid="{00000000-0005-0000-0000-00003D070000}"/>
    <cellStyle name="Normal 2 2 2 2 3 2 3" xfId="589" xr:uid="{00000000-0005-0000-0000-00003E070000}"/>
    <cellStyle name="Normal 2 2 2 2 3 2 3 2" xfId="1184" xr:uid="{00000000-0005-0000-0000-00003F070000}"/>
    <cellStyle name="Normal 2 2 2 2 3 2 3 2 2" xfId="7839" xr:uid="{00000000-0005-0000-0000-000040070000}"/>
    <cellStyle name="Normal 2 2 2 2 3 2 3 2_SSL" xfId="15661" xr:uid="{00000000-0005-0000-0000-000041070000}"/>
    <cellStyle name="Normal 2 2 2 2 3 2 3 3" xfId="2004" xr:uid="{00000000-0005-0000-0000-000042070000}"/>
    <cellStyle name="Normal 2 2 2 2 3 2 3 3 2" xfId="8652" xr:uid="{00000000-0005-0000-0000-000043070000}"/>
    <cellStyle name="Normal 2 2 2 2 3 2 3 3_SSL" xfId="15890" xr:uid="{00000000-0005-0000-0000-000044070000}"/>
    <cellStyle name="Normal 2 2 2 2 3 2 3 4" xfId="2823" xr:uid="{00000000-0005-0000-0000-000045070000}"/>
    <cellStyle name="Normal 2 2 2 2 3 2 3 4 2" xfId="9468" xr:uid="{00000000-0005-0000-0000-000046070000}"/>
    <cellStyle name="Normal 2 2 2 2 3 2 3 4_SSL" xfId="14598" xr:uid="{00000000-0005-0000-0000-000047070000}"/>
    <cellStyle name="Normal 2 2 2 2 3 2 3 5" xfId="3644" xr:uid="{00000000-0005-0000-0000-000048070000}"/>
    <cellStyle name="Normal 2 2 2 2 3 2 3 5 2" xfId="10284" xr:uid="{00000000-0005-0000-0000-000049070000}"/>
    <cellStyle name="Normal 2 2 2 2 3 2 3 5_SSL" xfId="15006" xr:uid="{00000000-0005-0000-0000-00004A070000}"/>
    <cellStyle name="Normal 2 2 2 2 3 2 3 6" xfId="4455" xr:uid="{00000000-0005-0000-0000-00004B070000}"/>
    <cellStyle name="Normal 2 2 2 2 3 2 3 6 2" xfId="11094" xr:uid="{00000000-0005-0000-0000-00004C070000}"/>
    <cellStyle name="Normal 2 2 2 2 3 2 3 6_SSL" xfId="12818" xr:uid="{00000000-0005-0000-0000-00004D070000}"/>
    <cellStyle name="Normal 2 2 2 2 3 2 3 7" xfId="5265" xr:uid="{00000000-0005-0000-0000-00004E070000}"/>
    <cellStyle name="Normal 2 2 2 2 3 2 3 7 2" xfId="11903" xr:uid="{00000000-0005-0000-0000-00004F070000}"/>
    <cellStyle name="Normal 2 2 2 2 3 2 3 7_SSL" xfId="15774" xr:uid="{00000000-0005-0000-0000-000050070000}"/>
    <cellStyle name="Normal 2 2 2 2 3 2 3 8" xfId="7445" xr:uid="{00000000-0005-0000-0000-000051070000}"/>
    <cellStyle name="Normal 2 2 2 2 3 2 3 9" xfId="6182" xr:uid="{00000000-0005-0000-0000-000052070000}"/>
    <cellStyle name="Normal 2 2 2 2 3 2 3_SSL" xfId="15732" xr:uid="{00000000-0005-0000-0000-000053070000}"/>
    <cellStyle name="Normal 2 2 2 2 3 2 4" xfId="1181" xr:uid="{00000000-0005-0000-0000-000054070000}"/>
    <cellStyle name="Normal 2 2 2 2 3 2 4 2" xfId="7836" xr:uid="{00000000-0005-0000-0000-000055070000}"/>
    <cellStyle name="Normal 2 2 2 2 3 2 4_SSL" xfId="13267" xr:uid="{00000000-0005-0000-0000-000056070000}"/>
    <cellStyle name="Normal 2 2 2 2 3 2 5" xfId="2001" xr:uid="{00000000-0005-0000-0000-000057070000}"/>
    <cellStyle name="Normal 2 2 2 2 3 2 5 2" xfId="8649" xr:uid="{00000000-0005-0000-0000-000058070000}"/>
    <cellStyle name="Normal 2 2 2 2 3 2 5_SSL" xfId="16336" xr:uid="{00000000-0005-0000-0000-000059070000}"/>
    <cellStyle name="Normal 2 2 2 2 3 2 6" xfId="2820" xr:uid="{00000000-0005-0000-0000-00005A070000}"/>
    <cellStyle name="Normal 2 2 2 2 3 2 6 2" xfId="9465" xr:uid="{00000000-0005-0000-0000-00005B070000}"/>
    <cellStyle name="Normal 2 2 2 2 3 2 6_SSL" xfId="14166" xr:uid="{00000000-0005-0000-0000-00005C070000}"/>
    <cellStyle name="Normal 2 2 2 2 3 2 7" xfId="3641" xr:uid="{00000000-0005-0000-0000-00005D070000}"/>
    <cellStyle name="Normal 2 2 2 2 3 2 7 2" xfId="10281" xr:uid="{00000000-0005-0000-0000-00005E070000}"/>
    <cellStyle name="Normal 2 2 2 2 3 2 7_SSL" xfId="12899" xr:uid="{00000000-0005-0000-0000-00005F070000}"/>
    <cellStyle name="Normal 2 2 2 2 3 2 8" xfId="4452" xr:uid="{00000000-0005-0000-0000-000060070000}"/>
    <cellStyle name="Normal 2 2 2 2 3 2 8 2" xfId="11091" xr:uid="{00000000-0005-0000-0000-000061070000}"/>
    <cellStyle name="Normal 2 2 2 2 3 2 8_SSL" xfId="17922" xr:uid="{00000000-0005-0000-0000-000062070000}"/>
    <cellStyle name="Normal 2 2 2 2 3 2 9" xfId="5262" xr:uid="{00000000-0005-0000-0000-000063070000}"/>
    <cellStyle name="Normal 2 2 2 2 3 2 9 2" xfId="11900" xr:uid="{00000000-0005-0000-0000-000064070000}"/>
    <cellStyle name="Normal 2 2 2 2 3 2 9_SSL" xfId="16073" xr:uid="{00000000-0005-0000-0000-000065070000}"/>
    <cellStyle name="Normal 2 2 2 2 3 2_SSL" xfId="15854" xr:uid="{00000000-0005-0000-0000-000066070000}"/>
    <cellStyle name="Normal 2 2 2 2 3 3" xfId="281" xr:uid="{00000000-0005-0000-0000-000067070000}"/>
    <cellStyle name="Normal 2 2 2 2 3 3 10" xfId="6183" xr:uid="{00000000-0005-0000-0000-000068070000}"/>
    <cellStyle name="Normal 2 2 2 2 3 3 2" xfId="669" xr:uid="{00000000-0005-0000-0000-000069070000}"/>
    <cellStyle name="Normal 2 2 2 2 3 3 2 2" xfId="1186" xr:uid="{00000000-0005-0000-0000-00006A070000}"/>
    <cellStyle name="Normal 2 2 2 2 3 3 2 2 2" xfId="7841" xr:uid="{00000000-0005-0000-0000-00006B070000}"/>
    <cellStyle name="Normal 2 2 2 2 3 3 2 2_SSL" xfId="12964" xr:uid="{00000000-0005-0000-0000-00006C070000}"/>
    <cellStyle name="Normal 2 2 2 2 3 3 2 3" xfId="2006" xr:uid="{00000000-0005-0000-0000-00006D070000}"/>
    <cellStyle name="Normal 2 2 2 2 3 3 2 3 2" xfId="8654" xr:uid="{00000000-0005-0000-0000-00006E070000}"/>
    <cellStyle name="Normal 2 2 2 2 3 3 2 3_SSL" xfId="14987" xr:uid="{00000000-0005-0000-0000-00006F070000}"/>
    <cellStyle name="Normal 2 2 2 2 3 3 2 4" xfId="2825" xr:uid="{00000000-0005-0000-0000-000070070000}"/>
    <cellStyle name="Normal 2 2 2 2 3 3 2 4 2" xfId="9470" xr:uid="{00000000-0005-0000-0000-000071070000}"/>
    <cellStyle name="Normal 2 2 2 2 3 3 2 4_SSL" xfId="13287" xr:uid="{00000000-0005-0000-0000-000072070000}"/>
    <cellStyle name="Normal 2 2 2 2 3 3 2 5" xfId="3646" xr:uid="{00000000-0005-0000-0000-000073070000}"/>
    <cellStyle name="Normal 2 2 2 2 3 3 2 5 2" xfId="10286" xr:uid="{00000000-0005-0000-0000-000074070000}"/>
    <cellStyle name="Normal 2 2 2 2 3 3 2 5_SSL" xfId="17219" xr:uid="{00000000-0005-0000-0000-000075070000}"/>
    <cellStyle name="Normal 2 2 2 2 3 3 2 6" xfId="4457" xr:uid="{00000000-0005-0000-0000-000076070000}"/>
    <cellStyle name="Normal 2 2 2 2 3 3 2 6 2" xfId="11096" xr:uid="{00000000-0005-0000-0000-000077070000}"/>
    <cellStyle name="Normal 2 2 2 2 3 3 2 6_SSL" xfId="14771" xr:uid="{00000000-0005-0000-0000-000078070000}"/>
    <cellStyle name="Normal 2 2 2 2 3 3 2 7" xfId="5267" xr:uid="{00000000-0005-0000-0000-000079070000}"/>
    <cellStyle name="Normal 2 2 2 2 3 3 2 7 2" xfId="11905" xr:uid="{00000000-0005-0000-0000-00007A070000}"/>
    <cellStyle name="Normal 2 2 2 2 3 3 2 7_SSL" xfId="17327" xr:uid="{00000000-0005-0000-0000-00007B070000}"/>
    <cellStyle name="Normal 2 2 2 2 3 3 2 8" xfId="7525" xr:uid="{00000000-0005-0000-0000-00007C070000}"/>
    <cellStyle name="Normal 2 2 2 2 3 3 2 9" xfId="6184" xr:uid="{00000000-0005-0000-0000-00007D070000}"/>
    <cellStyle name="Normal 2 2 2 2 3 3 2_SSL" xfId="12787" xr:uid="{00000000-0005-0000-0000-00007E070000}"/>
    <cellStyle name="Normal 2 2 2 2 3 3 3" xfId="1185" xr:uid="{00000000-0005-0000-0000-00007F070000}"/>
    <cellStyle name="Normal 2 2 2 2 3 3 3 2" xfId="7840" xr:uid="{00000000-0005-0000-0000-000080070000}"/>
    <cellStyle name="Normal 2 2 2 2 3 3 3_SSL" xfId="13032" xr:uid="{00000000-0005-0000-0000-000081070000}"/>
    <cellStyle name="Normal 2 2 2 2 3 3 4" xfId="2005" xr:uid="{00000000-0005-0000-0000-000082070000}"/>
    <cellStyle name="Normal 2 2 2 2 3 3 4 2" xfId="8653" xr:uid="{00000000-0005-0000-0000-000083070000}"/>
    <cellStyle name="Normal 2 2 2 2 3 3 4_SSL" xfId="13105" xr:uid="{00000000-0005-0000-0000-000084070000}"/>
    <cellStyle name="Normal 2 2 2 2 3 3 5" xfId="2824" xr:uid="{00000000-0005-0000-0000-000085070000}"/>
    <cellStyle name="Normal 2 2 2 2 3 3 5 2" xfId="9469" xr:uid="{00000000-0005-0000-0000-000086070000}"/>
    <cellStyle name="Normal 2 2 2 2 3 3 5_SSL" xfId="12846" xr:uid="{00000000-0005-0000-0000-000087070000}"/>
    <cellStyle name="Normal 2 2 2 2 3 3 6" xfId="3645" xr:uid="{00000000-0005-0000-0000-000088070000}"/>
    <cellStyle name="Normal 2 2 2 2 3 3 6 2" xfId="10285" xr:uid="{00000000-0005-0000-0000-000089070000}"/>
    <cellStyle name="Normal 2 2 2 2 3 3 6_SSL" xfId="14794" xr:uid="{00000000-0005-0000-0000-00008A070000}"/>
    <cellStyle name="Normal 2 2 2 2 3 3 7" xfId="4456" xr:uid="{00000000-0005-0000-0000-00008B070000}"/>
    <cellStyle name="Normal 2 2 2 2 3 3 7 2" xfId="11095" xr:uid="{00000000-0005-0000-0000-00008C070000}"/>
    <cellStyle name="Normal 2 2 2 2 3 3 7_SSL" xfId="14447" xr:uid="{00000000-0005-0000-0000-00008D070000}"/>
    <cellStyle name="Normal 2 2 2 2 3 3 8" xfId="5266" xr:uid="{00000000-0005-0000-0000-00008E070000}"/>
    <cellStyle name="Normal 2 2 2 2 3 3 8 2" xfId="11904" xr:uid="{00000000-0005-0000-0000-00008F070000}"/>
    <cellStyle name="Normal 2 2 2 2 3 3 8_SSL" xfId="14686" xr:uid="{00000000-0005-0000-0000-000090070000}"/>
    <cellStyle name="Normal 2 2 2 2 3 3 9" xfId="7141" xr:uid="{00000000-0005-0000-0000-000091070000}"/>
    <cellStyle name="Normal 2 2 2 2 3 3_SSL" xfId="17510" xr:uid="{00000000-0005-0000-0000-000092070000}"/>
    <cellStyle name="Normal 2 2 2 2 3 4" xfId="493" xr:uid="{00000000-0005-0000-0000-000093070000}"/>
    <cellStyle name="Normal 2 2 2 2 3 4 2" xfId="1187" xr:uid="{00000000-0005-0000-0000-000094070000}"/>
    <cellStyle name="Normal 2 2 2 2 3 4 2 2" xfId="7842" xr:uid="{00000000-0005-0000-0000-000095070000}"/>
    <cellStyle name="Normal 2 2 2 2 3 4 2_SSL" xfId="12837" xr:uid="{00000000-0005-0000-0000-000096070000}"/>
    <cellStyle name="Normal 2 2 2 2 3 4 3" xfId="2007" xr:uid="{00000000-0005-0000-0000-000097070000}"/>
    <cellStyle name="Normal 2 2 2 2 3 4 3 2" xfId="8655" xr:uid="{00000000-0005-0000-0000-000098070000}"/>
    <cellStyle name="Normal 2 2 2 2 3 4 3_SSL" xfId="13849" xr:uid="{00000000-0005-0000-0000-000099070000}"/>
    <cellStyle name="Normal 2 2 2 2 3 4 4" xfId="2826" xr:uid="{00000000-0005-0000-0000-00009A070000}"/>
    <cellStyle name="Normal 2 2 2 2 3 4 4 2" xfId="9471" xr:uid="{00000000-0005-0000-0000-00009B070000}"/>
    <cellStyle name="Normal 2 2 2 2 3 4 4_SSL" xfId="15687" xr:uid="{00000000-0005-0000-0000-00009C070000}"/>
    <cellStyle name="Normal 2 2 2 2 3 4 5" xfId="3647" xr:uid="{00000000-0005-0000-0000-00009D070000}"/>
    <cellStyle name="Normal 2 2 2 2 3 4 5 2" xfId="10287" xr:uid="{00000000-0005-0000-0000-00009E070000}"/>
    <cellStyle name="Normal 2 2 2 2 3 4 5_SSL" xfId="13418" xr:uid="{00000000-0005-0000-0000-00009F070000}"/>
    <cellStyle name="Normal 2 2 2 2 3 4 6" xfId="4458" xr:uid="{00000000-0005-0000-0000-0000A0070000}"/>
    <cellStyle name="Normal 2 2 2 2 3 4 6 2" xfId="11097" xr:uid="{00000000-0005-0000-0000-0000A1070000}"/>
    <cellStyle name="Normal 2 2 2 2 3 4 6_SSL" xfId="13885" xr:uid="{00000000-0005-0000-0000-0000A2070000}"/>
    <cellStyle name="Normal 2 2 2 2 3 4 7" xfId="5268" xr:uid="{00000000-0005-0000-0000-0000A3070000}"/>
    <cellStyle name="Normal 2 2 2 2 3 4 7 2" xfId="11906" xr:uid="{00000000-0005-0000-0000-0000A4070000}"/>
    <cellStyle name="Normal 2 2 2 2 3 4 7_SSL" xfId="13417" xr:uid="{00000000-0005-0000-0000-0000A5070000}"/>
    <cellStyle name="Normal 2 2 2 2 3 4 8" xfId="7349" xr:uid="{00000000-0005-0000-0000-0000A6070000}"/>
    <cellStyle name="Normal 2 2 2 2 3 4 9" xfId="6185" xr:uid="{00000000-0005-0000-0000-0000A7070000}"/>
    <cellStyle name="Normal 2 2 2 2 3 4_SSL" xfId="13902" xr:uid="{00000000-0005-0000-0000-0000A8070000}"/>
    <cellStyle name="Normal 2 2 2 2 3 5" xfId="1180" xr:uid="{00000000-0005-0000-0000-0000A9070000}"/>
    <cellStyle name="Normal 2 2 2 2 3 5 2" xfId="7835" xr:uid="{00000000-0005-0000-0000-0000AA070000}"/>
    <cellStyle name="Normal 2 2 2 2 3 5_SSL" xfId="14410" xr:uid="{00000000-0005-0000-0000-0000AB070000}"/>
    <cellStyle name="Normal 2 2 2 2 3 6" xfId="2000" xr:uid="{00000000-0005-0000-0000-0000AC070000}"/>
    <cellStyle name="Normal 2 2 2 2 3 6 2" xfId="8648" xr:uid="{00000000-0005-0000-0000-0000AD070000}"/>
    <cellStyle name="Normal 2 2 2 2 3 6_SSL" xfId="17790" xr:uid="{00000000-0005-0000-0000-0000AE070000}"/>
    <cellStyle name="Normal 2 2 2 2 3 7" xfId="2819" xr:uid="{00000000-0005-0000-0000-0000AF070000}"/>
    <cellStyle name="Normal 2 2 2 2 3 7 2" xfId="9464" xr:uid="{00000000-0005-0000-0000-0000B0070000}"/>
    <cellStyle name="Normal 2 2 2 2 3 7_SSL" xfId="14640" xr:uid="{00000000-0005-0000-0000-0000B1070000}"/>
    <cellStyle name="Normal 2 2 2 2 3 8" xfId="3640" xr:uid="{00000000-0005-0000-0000-0000B2070000}"/>
    <cellStyle name="Normal 2 2 2 2 3 8 2" xfId="10280" xr:uid="{00000000-0005-0000-0000-0000B3070000}"/>
    <cellStyle name="Normal 2 2 2 2 3 8_SSL" xfId="15841" xr:uid="{00000000-0005-0000-0000-0000B4070000}"/>
    <cellStyle name="Normal 2 2 2 2 3 9" xfId="4451" xr:uid="{00000000-0005-0000-0000-0000B5070000}"/>
    <cellStyle name="Normal 2 2 2 2 3 9 2" xfId="11090" xr:uid="{00000000-0005-0000-0000-0000B6070000}"/>
    <cellStyle name="Normal 2 2 2 2 3 9_SSL" xfId="17177" xr:uid="{00000000-0005-0000-0000-0000B7070000}"/>
    <cellStyle name="Normal 2 2 2 2 3_SSL" xfId="16241" xr:uid="{00000000-0005-0000-0000-0000B8070000}"/>
    <cellStyle name="Normal 2 2 2 2 4" xfId="111" xr:uid="{00000000-0005-0000-0000-0000B9070000}"/>
    <cellStyle name="Normal 2 2 2 2 4 10" xfId="5269" xr:uid="{00000000-0005-0000-0000-0000BA070000}"/>
    <cellStyle name="Normal 2 2 2 2 4 10 2" xfId="11907" xr:uid="{00000000-0005-0000-0000-0000BB070000}"/>
    <cellStyle name="Normal 2 2 2 2 4 10_SSL" xfId="17749" xr:uid="{00000000-0005-0000-0000-0000BC070000}"/>
    <cellStyle name="Normal 2 2 2 2 4 11" xfId="6988" xr:uid="{00000000-0005-0000-0000-0000BD070000}"/>
    <cellStyle name="Normal 2 2 2 2 4 12" xfId="6186" xr:uid="{00000000-0005-0000-0000-0000BE070000}"/>
    <cellStyle name="Normal 2 2 2 2 4 2" xfId="207" xr:uid="{00000000-0005-0000-0000-0000BF070000}"/>
    <cellStyle name="Normal 2 2 2 2 4 2 10" xfId="7084" xr:uid="{00000000-0005-0000-0000-0000C0070000}"/>
    <cellStyle name="Normal 2 2 2 2 4 2 11" xfId="6187" xr:uid="{00000000-0005-0000-0000-0000C1070000}"/>
    <cellStyle name="Normal 2 2 2 2 4 2 2" xfId="284" xr:uid="{00000000-0005-0000-0000-0000C2070000}"/>
    <cellStyle name="Normal 2 2 2 2 4 2 2 10" xfId="6188" xr:uid="{00000000-0005-0000-0000-0000C3070000}"/>
    <cellStyle name="Normal 2 2 2 2 4 2 2 2" xfId="672" xr:uid="{00000000-0005-0000-0000-0000C4070000}"/>
    <cellStyle name="Normal 2 2 2 2 4 2 2 2 2" xfId="1191" xr:uid="{00000000-0005-0000-0000-0000C5070000}"/>
    <cellStyle name="Normal 2 2 2 2 4 2 2 2 2 2" xfId="7846" xr:uid="{00000000-0005-0000-0000-0000C6070000}"/>
    <cellStyle name="Normal 2 2 2 2 4 2 2 2 2_SSL" xfId="14429" xr:uid="{00000000-0005-0000-0000-0000C7070000}"/>
    <cellStyle name="Normal 2 2 2 2 4 2 2 2 3" xfId="2011" xr:uid="{00000000-0005-0000-0000-0000C8070000}"/>
    <cellStyle name="Normal 2 2 2 2 4 2 2 2 3 2" xfId="8659" xr:uid="{00000000-0005-0000-0000-0000C9070000}"/>
    <cellStyle name="Normal 2 2 2 2 4 2 2 2 3_SSL" xfId="14950" xr:uid="{00000000-0005-0000-0000-0000CA070000}"/>
    <cellStyle name="Normal 2 2 2 2 4 2 2 2 4" xfId="2830" xr:uid="{00000000-0005-0000-0000-0000CB070000}"/>
    <cellStyle name="Normal 2 2 2 2 4 2 2 2 4 2" xfId="9475" xr:uid="{00000000-0005-0000-0000-0000CC070000}"/>
    <cellStyle name="Normal 2 2 2 2 4 2 2 2 4_SSL" xfId="15664" xr:uid="{00000000-0005-0000-0000-0000CD070000}"/>
    <cellStyle name="Normal 2 2 2 2 4 2 2 2 5" xfId="3651" xr:uid="{00000000-0005-0000-0000-0000CE070000}"/>
    <cellStyle name="Normal 2 2 2 2 4 2 2 2 5 2" xfId="10291" xr:uid="{00000000-0005-0000-0000-0000CF070000}"/>
    <cellStyle name="Normal 2 2 2 2 4 2 2 2 5_SSL" xfId="16895" xr:uid="{00000000-0005-0000-0000-0000D0070000}"/>
    <cellStyle name="Normal 2 2 2 2 4 2 2 2 6" xfId="4462" xr:uid="{00000000-0005-0000-0000-0000D1070000}"/>
    <cellStyle name="Normal 2 2 2 2 4 2 2 2 6 2" xfId="11101" xr:uid="{00000000-0005-0000-0000-0000D2070000}"/>
    <cellStyle name="Normal 2 2 2 2 4 2 2 2 6_SSL" xfId="13744" xr:uid="{00000000-0005-0000-0000-0000D3070000}"/>
    <cellStyle name="Normal 2 2 2 2 4 2 2 2 7" xfId="5272" xr:uid="{00000000-0005-0000-0000-0000D4070000}"/>
    <cellStyle name="Normal 2 2 2 2 4 2 2 2 7 2" xfId="11910" xr:uid="{00000000-0005-0000-0000-0000D5070000}"/>
    <cellStyle name="Normal 2 2 2 2 4 2 2 2 7_SSL" xfId="12645" xr:uid="{00000000-0005-0000-0000-0000D6070000}"/>
    <cellStyle name="Normal 2 2 2 2 4 2 2 2 8" xfId="7528" xr:uid="{00000000-0005-0000-0000-0000D7070000}"/>
    <cellStyle name="Normal 2 2 2 2 4 2 2 2 9" xfId="6189" xr:uid="{00000000-0005-0000-0000-0000D8070000}"/>
    <cellStyle name="Normal 2 2 2 2 4 2 2 2_SSL" xfId="17980" xr:uid="{00000000-0005-0000-0000-0000D9070000}"/>
    <cellStyle name="Normal 2 2 2 2 4 2 2 3" xfId="1190" xr:uid="{00000000-0005-0000-0000-0000DA070000}"/>
    <cellStyle name="Normal 2 2 2 2 4 2 2 3 2" xfId="7845" xr:uid="{00000000-0005-0000-0000-0000DB070000}"/>
    <cellStyle name="Normal 2 2 2 2 4 2 2 3_SSL" xfId="15430" xr:uid="{00000000-0005-0000-0000-0000DC070000}"/>
    <cellStyle name="Normal 2 2 2 2 4 2 2 4" xfId="2010" xr:uid="{00000000-0005-0000-0000-0000DD070000}"/>
    <cellStyle name="Normal 2 2 2 2 4 2 2 4 2" xfId="8658" xr:uid="{00000000-0005-0000-0000-0000DE070000}"/>
    <cellStyle name="Normal 2 2 2 2 4 2 2 4_SSL" xfId="14113" xr:uid="{00000000-0005-0000-0000-0000DF070000}"/>
    <cellStyle name="Normal 2 2 2 2 4 2 2 5" xfId="2829" xr:uid="{00000000-0005-0000-0000-0000E0070000}"/>
    <cellStyle name="Normal 2 2 2 2 4 2 2 5 2" xfId="9474" xr:uid="{00000000-0005-0000-0000-0000E1070000}"/>
    <cellStyle name="Normal 2 2 2 2 4 2 2 5_SSL" xfId="14445" xr:uid="{00000000-0005-0000-0000-0000E2070000}"/>
    <cellStyle name="Normal 2 2 2 2 4 2 2 6" xfId="3650" xr:uid="{00000000-0005-0000-0000-0000E3070000}"/>
    <cellStyle name="Normal 2 2 2 2 4 2 2 6 2" xfId="10290" xr:uid="{00000000-0005-0000-0000-0000E4070000}"/>
    <cellStyle name="Normal 2 2 2 2 4 2 2 6_SSL" xfId="14618" xr:uid="{00000000-0005-0000-0000-0000E5070000}"/>
    <cellStyle name="Normal 2 2 2 2 4 2 2 7" xfId="4461" xr:uid="{00000000-0005-0000-0000-0000E6070000}"/>
    <cellStyle name="Normal 2 2 2 2 4 2 2 7 2" xfId="11100" xr:uid="{00000000-0005-0000-0000-0000E7070000}"/>
    <cellStyle name="Normal 2 2 2 2 4 2 2 7_SSL" xfId="17053" xr:uid="{00000000-0005-0000-0000-0000E8070000}"/>
    <cellStyle name="Normal 2 2 2 2 4 2 2 8" xfId="5271" xr:uid="{00000000-0005-0000-0000-0000E9070000}"/>
    <cellStyle name="Normal 2 2 2 2 4 2 2 8 2" xfId="11909" xr:uid="{00000000-0005-0000-0000-0000EA070000}"/>
    <cellStyle name="Normal 2 2 2 2 4 2 2 8_SSL" xfId="14707" xr:uid="{00000000-0005-0000-0000-0000EB070000}"/>
    <cellStyle name="Normal 2 2 2 2 4 2 2 9" xfId="7144" xr:uid="{00000000-0005-0000-0000-0000EC070000}"/>
    <cellStyle name="Normal 2 2 2 2 4 2 2_SSL" xfId="14420" xr:uid="{00000000-0005-0000-0000-0000ED070000}"/>
    <cellStyle name="Normal 2 2 2 2 4 2 3" xfId="612" xr:uid="{00000000-0005-0000-0000-0000EE070000}"/>
    <cellStyle name="Normal 2 2 2 2 4 2 3 2" xfId="1192" xr:uid="{00000000-0005-0000-0000-0000EF070000}"/>
    <cellStyle name="Normal 2 2 2 2 4 2 3 2 2" xfId="7847" xr:uid="{00000000-0005-0000-0000-0000F0070000}"/>
    <cellStyle name="Normal 2 2 2 2 4 2 3 2_SSL" xfId="17982" xr:uid="{00000000-0005-0000-0000-0000F1070000}"/>
    <cellStyle name="Normal 2 2 2 2 4 2 3 3" xfId="2012" xr:uid="{00000000-0005-0000-0000-0000F2070000}"/>
    <cellStyle name="Normal 2 2 2 2 4 2 3 3 2" xfId="8660" xr:uid="{00000000-0005-0000-0000-0000F3070000}"/>
    <cellStyle name="Normal 2 2 2 2 4 2 3 3_SSL" xfId="14714" xr:uid="{00000000-0005-0000-0000-0000F4070000}"/>
    <cellStyle name="Normal 2 2 2 2 4 2 3 4" xfId="2831" xr:uid="{00000000-0005-0000-0000-0000F5070000}"/>
    <cellStyle name="Normal 2 2 2 2 4 2 3 4 2" xfId="9476" xr:uid="{00000000-0005-0000-0000-0000F6070000}"/>
    <cellStyle name="Normal 2 2 2 2 4 2 3 4_SSL" xfId="13933" xr:uid="{00000000-0005-0000-0000-0000F7070000}"/>
    <cellStyle name="Normal 2 2 2 2 4 2 3 5" xfId="3652" xr:uid="{00000000-0005-0000-0000-0000F8070000}"/>
    <cellStyle name="Normal 2 2 2 2 4 2 3 5 2" xfId="10292" xr:uid="{00000000-0005-0000-0000-0000F9070000}"/>
    <cellStyle name="Normal 2 2 2 2 4 2 3 5_SSL" xfId="13975" xr:uid="{00000000-0005-0000-0000-0000FA070000}"/>
    <cellStyle name="Normal 2 2 2 2 4 2 3 6" xfId="4463" xr:uid="{00000000-0005-0000-0000-0000FB070000}"/>
    <cellStyle name="Normal 2 2 2 2 4 2 3 6 2" xfId="11102" xr:uid="{00000000-0005-0000-0000-0000FC070000}"/>
    <cellStyle name="Normal 2 2 2 2 4 2 3 6_SSL" xfId="15439" xr:uid="{00000000-0005-0000-0000-0000FD070000}"/>
    <cellStyle name="Normal 2 2 2 2 4 2 3 7" xfId="5273" xr:uid="{00000000-0005-0000-0000-0000FE070000}"/>
    <cellStyle name="Normal 2 2 2 2 4 2 3 7 2" xfId="11911" xr:uid="{00000000-0005-0000-0000-0000FF070000}"/>
    <cellStyle name="Normal 2 2 2 2 4 2 3 7_SSL" xfId="13427" xr:uid="{00000000-0005-0000-0000-000000080000}"/>
    <cellStyle name="Normal 2 2 2 2 4 2 3 8" xfId="7468" xr:uid="{00000000-0005-0000-0000-000001080000}"/>
    <cellStyle name="Normal 2 2 2 2 4 2 3 9" xfId="6190" xr:uid="{00000000-0005-0000-0000-000002080000}"/>
    <cellStyle name="Normal 2 2 2 2 4 2 3_SSL" xfId="15323" xr:uid="{00000000-0005-0000-0000-000003080000}"/>
    <cellStyle name="Normal 2 2 2 2 4 2 4" xfId="1189" xr:uid="{00000000-0005-0000-0000-000004080000}"/>
    <cellStyle name="Normal 2 2 2 2 4 2 4 2" xfId="7844" xr:uid="{00000000-0005-0000-0000-000005080000}"/>
    <cellStyle name="Normal 2 2 2 2 4 2 4_SSL" xfId="15716" xr:uid="{00000000-0005-0000-0000-000006080000}"/>
    <cellStyle name="Normal 2 2 2 2 4 2 5" xfId="2009" xr:uid="{00000000-0005-0000-0000-000007080000}"/>
    <cellStyle name="Normal 2 2 2 2 4 2 5 2" xfId="8657" xr:uid="{00000000-0005-0000-0000-000008080000}"/>
    <cellStyle name="Normal 2 2 2 2 4 2 5_SSL" xfId="6001" xr:uid="{00000000-0005-0000-0000-000009080000}"/>
    <cellStyle name="Normal 2 2 2 2 4 2 6" xfId="2828" xr:uid="{00000000-0005-0000-0000-00000A080000}"/>
    <cellStyle name="Normal 2 2 2 2 4 2 6 2" xfId="9473" xr:uid="{00000000-0005-0000-0000-00000B080000}"/>
    <cellStyle name="Normal 2 2 2 2 4 2 6_SSL" xfId="15137" xr:uid="{00000000-0005-0000-0000-00000C080000}"/>
    <cellStyle name="Normal 2 2 2 2 4 2 7" xfId="3649" xr:uid="{00000000-0005-0000-0000-00000D080000}"/>
    <cellStyle name="Normal 2 2 2 2 4 2 7 2" xfId="10289" xr:uid="{00000000-0005-0000-0000-00000E080000}"/>
    <cellStyle name="Normal 2 2 2 2 4 2 7_SSL" xfId="14110" xr:uid="{00000000-0005-0000-0000-00000F080000}"/>
    <cellStyle name="Normal 2 2 2 2 4 2 8" xfId="4460" xr:uid="{00000000-0005-0000-0000-000010080000}"/>
    <cellStyle name="Normal 2 2 2 2 4 2 8 2" xfId="11099" xr:uid="{00000000-0005-0000-0000-000011080000}"/>
    <cellStyle name="Normal 2 2 2 2 4 2 8_SSL" xfId="15707" xr:uid="{00000000-0005-0000-0000-000012080000}"/>
    <cellStyle name="Normal 2 2 2 2 4 2 9" xfId="5270" xr:uid="{00000000-0005-0000-0000-000013080000}"/>
    <cellStyle name="Normal 2 2 2 2 4 2 9 2" xfId="11908" xr:uid="{00000000-0005-0000-0000-000014080000}"/>
    <cellStyle name="Normal 2 2 2 2 4 2 9_SSL" xfId="17325" xr:uid="{00000000-0005-0000-0000-000015080000}"/>
    <cellStyle name="Normal 2 2 2 2 4 2_SSL" xfId="16963" xr:uid="{00000000-0005-0000-0000-000016080000}"/>
    <cellStyle name="Normal 2 2 2 2 4 3" xfId="283" xr:uid="{00000000-0005-0000-0000-000017080000}"/>
    <cellStyle name="Normal 2 2 2 2 4 3 10" xfId="6191" xr:uid="{00000000-0005-0000-0000-000018080000}"/>
    <cellStyle name="Normal 2 2 2 2 4 3 2" xfId="671" xr:uid="{00000000-0005-0000-0000-000019080000}"/>
    <cellStyle name="Normal 2 2 2 2 4 3 2 2" xfId="1194" xr:uid="{00000000-0005-0000-0000-00001A080000}"/>
    <cellStyle name="Normal 2 2 2 2 4 3 2 2 2" xfId="7849" xr:uid="{00000000-0005-0000-0000-00001B080000}"/>
    <cellStyle name="Normal 2 2 2 2 4 3 2 2_SSL" xfId="15096" xr:uid="{00000000-0005-0000-0000-00001C080000}"/>
    <cellStyle name="Normal 2 2 2 2 4 3 2 3" xfId="2014" xr:uid="{00000000-0005-0000-0000-00001D080000}"/>
    <cellStyle name="Normal 2 2 2 2 4 3 2 3 2" xfId="8662" xr:uid="{00000000-0005-0000-0000-00001E080000}"/>
    <cellStyle name="Normal 2 2 2 2 4 3 2 3_SSL" xfId="15154" xr:uid="{00000000-0005-0000-0000-00001F080000}"/>
    <cellStyle name="Normal 2 2 2 2 4 3 2 4" xfId="2833" xr:uid="{00000000-0005-0000-0000-000020080000}"/>
    <cellStyle name="Normal 2 2 2 2 4 3 2 4 2" xfId="9478" xr:uid="{00000000-0005-0000-0000-000021080000}"/>
    <cellStyle name="Normal 2 2 2 2 4 3 2 4_SSL" xfId="15852" xr:uid="{00000000-0005-0000-0000-000022080000}"/>
    <cellStyle name="Normal 2 2 2 2 4 3 2 5" xfId="3654" xr:uid="{00000000-0005-0000-0000-000023080000}"/>
    <cellStyle name="Normal 2 2 2 2 4 3 2 5 2" xfId="10294" xr:uid="{00000000-0005-0000-0000-000024080000}"/>
    <cellStyle name="Normal 2 2 2 2 4 3 2 5_SSL" xfId="15353" xr:uid="{00000000-0005-0000-0000-000025080000}"/>
    <cellStyle name="Normal 2 2 2 2 4 3 2 6" xfId="4465" xr:uid="{00000000-0005-0000-0000-000026080000}"/>
    <cellStyle name="Normal 2 2 2 2 4 3 2 6 2" xfId="11104" xr:uid="{00000000-0005-0000-0000-000027080000}"/>
    <cellStyle name="Normal 2 2 2 2 4 3 2 6_SSL" xfId="16344" xr:uid="{00000000-0005-0000-0000-000028080000}"/>
    <cellStyle name="Normal 2 2 2 2 4 3 2 7" xfId="5275" xr:uid="{00000000-0005-0000-0000-000029080000}"/>
    <cellStyle name="Normal 2 2 2 2 4 3 2 7 2" xfId="11913" xr:uid="{00000000-0005-0000-0000-00002A080000}"/>
    <cellStyle name="Normal 2 2 2 2 4 3 2 7_SSL" xfId="17194" xr:uid="{00000000-0005-0000-0000-00002B080000}"/>
    <cellStyle name="Normal 2 2 2 2 4 3 2 8" xfId="7527" xr:uid="{00000000-0005-0000-0000-00002C080000}"/>
    <cellStyle name="Normal 2 2 2 2 4 3 2 9" xfId="6192" xr:uid="{00000000-0005-0000-0000-00002D080000}"/>
    <cellStyle name="Normal 2 2 2 2 4 3 2_SSL" xfId="17705" xr:uid="{00000000-0005-0000-0000-00002E080000}"/>
    <cellStyle name="Normal 2 2 2 2 4 3 3" xfId="1193" xr:uid="{00000000-0005-0000-0000-00002F080000}"/>
    <cellStyle name="Normal 2 2 2 2 4 3 3 2" xfId="7848" xr:uid="{00000000-0005-0000-0000-000030080000}"/>
    <cellStyle name="Normal 2 2 2 2 4 3 3_SSL" xfId="6921" xr:uid="{00000000-0005-0000-0000-000031080000}"/>
    <cellStyle name="Normal 2 2 2 2 4 3 4" xfId="2013" xr:uid="{00000000-0005-0000-0000-000032080000}"/>
    <cellStyle name="Normal 2 2 2 2 4 3 4 2" xfId="8661" xr:uid="{00000000-0005-0000-0000-000033080000}"/>
    <cellStyle name="Normal 2 2 2 2 4 3 4_SSL" xfId="12898" xr:uid="{00000000-0005-0000-0000-000034080000}"/>
    <cellStyle name="Normal 2 2 2 2 4 3 5" xfId="2832" xr:uid="{00000000-0005-0000-0000-000035080000}"/>
    <cellStyle name="Normal 2 2 2 2 4 3 5 2" xfId="9477" xr:uid="{00000000-0005-0000-0000-000036080000}"/>
    <cellStyle name="Normal 2 2 2 2 4 3 5_SSL" xfId="17209" xr:uid="{00000000-0005-0000-0000-000037080000}"/>
    <cellStyle name="Normal 2 2 2 2 4 3 6" xfId="3653" xr:uid="{00000000-0005-0000-0000-000038080000}"/>
    <cellStyle name="Normal 2 2 2 2 4 3 6 2" xfId="10293" xr:uid="{00000000-0005-0000-0000-000039080000}"/>
    <cellStyle name="Normal 2 2 2 2 4 3 6_SSL" xfId="16547" xr:uid="{00000000-0005-0000-0000-00003A080000}"/>
    <cellStyle name="Normal 2 2 2 2 4 3 7" xfId="4464" xr:uid="{00000000-0005-0000-0000-00003B080000}"/>
    <cellStyle name="Normal 2 2 2 2 4 3 7 2" xfId="11103" xr:uid="{00000000-0005-0000-0000-00003C080000}"/>
    <cellStyle name="Normal 2 2 2 2 4 3 7_SSL" xfId="16319" xr:uid="{00000000-0005-0000-0000-00003D080000}"/>
    <cellStyle name="Normal 2 2 2 2 4 3 8" xfId="5274" xr:uid="{00000000-0005-0000-0000-00003E080000}"/>
    <cellStyle name="Normal 2 2 2 2 4 3 8 2" xfId="11912" xr:uid="{00000000-0005-0000-0000-00003F080000}"/>
    <cellStyle name="Normal 2 2 2 2 4 3 8_SSL" xfId="13974" xr:uid="{00000000-0005-0000-0000-000040080000}"/>
    <cellStyle name="Normal 2 2 2 2 4 3 9" xfId="7143" xr:uid="{00000000-0005-0000-0000-000041080000}"/>
    <cellStyle name="Normal 2 2 2 2 4 3_SSL" xfId="14905" xr:uid="{00000000-0005-0000-0000-000042080000}"/>
    <cellStyle name="Normal 2 2 2 2 4 4" xfId="516" xr:uid="{00000000-0005-0000-0000-000043080000}"/>
    <cellStyle name="Normal 2 2 2 2 4 4 2" xfId="1195" xr:uid="{00000000-0005-0000-0000-000044080000}"/>
    <cellStyle name="Normal 2 2 2 2 4 4 2 2" xfId="7850" xr:uid="{00000000-0005-0000-0000-000045080000}"/>
    <cellStyle name="Normal 2 2 2 2 4 4 2_SSL" xfId="17764" xr:uid="{00000000-0005-0000-0000-000046080000}"/>
    <cellStyle name="Normal 2 2 2 2 4 4 3" xfId="2015" xr:uid="{00000000-0005-0000-0000-000047080000}"/>
    <cellStyle name="Normal 2 2 2 2 4 4 3 2" xfId="8663" xr:uid="{00000000-0005-0000-0000-000048080000}"/>
    <cellStyle name="Normal 2 2 2 2 4 4 3_SSL" xfId="12903" xr:uid="{00000000-0005-0000-0000-000049080000}"/>
    <cellStyle name="Normal 2 2 2 2 4 4 4" xfId="2834" xr:uid="{00000000-0005-0000-0000-00004A080000}"/>
    <cellStyle name="Normal 2 2 2 2 4 4 4 2" xfId="9479" xr:uid="{00000000-0005-0000-0000-00004B080000}"/>
    <cellStyle name="Normal 2 2 2 2 4 4 4_SSL" xfId="16705" xr:uid="{00000000-0005-0000-0000-00004C080000}"/>
    <cellStyle name="Normal 2 2 2 2 4 4 5" xfId="3655" xr:uid="{00000000-0005-0000-0000-00004D080000}"/>
    <cellStyle name="Normal 2 2 2 2 4 4 5 2" xfId="10295" xr:uid="{00000000-0005-0000-0000-00004E080000}"/>
    <cellStyle name="Normal 2 2 2 2 4 4 5_SSL" xfId="13596" xr:uid="{00000000-0005-0000-0000-00004F080000}"/>
    <cellStyle name="Normal 2 2 2 2 4 4 6" xfId="4466" xr:uid="{00000000-0005-0000-0000-000050080000}"/>
    <cellStyle name="Normal 2 2 2 2 4 4 6 2" xfId="11105" xr:uid="{00000000-0005-0000-0000-000051080000}"/>
    <cellStyle name="Normal 2 2 2 2 4 4 6_SSL" xfId="16893" xr:uid="{00000000-0005-0000-0000-000052080000}"/>
    <cellStyle name="Normal 2 2 2 2 4 4 7" xfId="5276" xr:uid="{00000000-0005-0000-0000-000053080000}"/>
    <cellStyle name="Normal 2 2 2 2 4 4 7 2" xfId="11914" xr:uid="{00000000-0005-0000-0000-000054080000}"/>
    <cellStyle name="Normal 2 2 2 2 4 4 7_SSL" xfId="15937" xr:uid="{00000000-0005-0000-0000-000055080000}"/>
    <cellStyle name="Normal 2 2 2 2 4 4 8" xfId="7372" xr:uid="{00000000-0005-0000-0000-000056080000}"/>
    <cellStyle name="Normal 2 2 2 2 4 4 9" xfId="6193" xr:uid="{00000000-0005-0000-0000-000057080000}"/>
    <cellStyle name="Normal 2 2 2 2 4 4_SSL" xfId="17402" xr:uid="{00000000-0005-0000-0000-000058080000}"/>
    <cellStyle name="Normal 2 2 2 2 4 5" xfId="1188" xr:uid="{00000000-0005-0000-0000-000059080000}"/>
    <cellStyle name="Normal 2 2 2 2 4 5 2" xfId="7843" xr:uid="{00000000-0005-0000-0000-00005A080000}"/>
    <cellStyle name="Normal 2 2 2 2 4 5_SSL" xfId="16048" xr:uid="{00000000-0005-0000-0000-00005B080000}"/>
    <cellStyle name="Normal 2 2 2 2 4 6" xfId="2008" xr:uid="{00000000-0005-0000-0000-00005C080000}"/>
    <cellStyle name="Normal 2 2 2 2 4 6 2" xfId="8656" xr:uid="{00000000-0005-0000-0000-00005D080000}"/>
    <cellStyle name="Normal 2 2 2 2 4 6_SSL" xfId="14311" xr:uid="{00000000-0005-0000-0000-00005E080000}"/>
    <cellStyle name="Normal 2 2 2 2 4 7" xfId="2827" xr:uid="{00000000-0005-0000-0000-00005F080000}"/>
    <cellStyle name="Normal 2 2 2 2 4 7 2" xfId="9472" xr:uid="{00000000-0005-0000-0000-000060080000}"/>
    <cellStyle name="Normal 2 2 2 2 4 7_SSL" xfId="15871" xr:uid="{00000000-0005-0000-0000-000061080000}"/>
    <cellStyle name="Normal 2 2 2 2 4 8" xfId="3648" xr:uid="{00000000-0005-0000-0000-000062080000}"/>
    <cellStyle name="Normal 2 2 2 2 4 8 2" xfId="10288" xr:uid="{00000000-0005-0000-0000-000063080000}"/>
    <cellStyle name="Normal 2 2 2 2 4 8_SSL" xfId="14873" xr:uid="{00000000-0005-0000-0000-000064080000}"/>
    <cellStyle name="Normal 2 2 2 2 4 9" xfId="4459" xr:uid="{00000000-0005-0000-0000-000065080000}"/>
    <cellStyle name="Normal 2 2 2 2 4 9 2" xfId="11098" xr:uid="{00000000-0005-0000-0000-000066080000}"/>
    <cellStyle name="Normal 2 2 2 2 4 9_SSL" xfId="13175" xr:uid="{00000000-0005-0000-0000-000067080000}"/>
    <cellStyle name="Normal 2 2 2 2 4_SSL" xfId="16314" xr:uid="{00000000-0005-0000-0000-000068080000}"/>
    <cellStyle name="Normal 2 2 2 2 5" xfId="136" xr:uid="{00000000-0005-0000-0000-000069080000}"/>
    <cellStyle name="Normal 2 2 2 2 5 10" xfId="7013" xr:uid="{00000000-0005-0000-0000-00006A080000}"/>
    <cellStyle name="Normal 2 2 2 2 5 11" xfId="6194" xr:uid="{00000000-0005-0000-0000-00006B080000}"/>
    <cellStyle name="Normal 2 2 2 2 5 2" xfId="285" xr:uid="{00000000-0005-0000-0000-00006C080000}"/>
    <cellStyle name="Normal 2 2 2 2 5 2 10" xfId="6195" xr:uid="{00000000-0005-0000-0000-00006D080000}"/>
    <cellStyle name="Normal 2 2 2 2 5 2 2" xfId="673" xr:uid="{00000000-0005-0000-0000-00006E080000}"/>
    <cellStyle name="Normal 2 2 2 2 5 2 2 2" xfId="1198" xr:uid="{00000000-0005-0000-0000-00006F080000}"/>
    <cellStyle name="Normal 2 2 2 2 5 2 2 2 2" xfId="7853" xr:uid="{00000000-0005-0000-0000-000070080000}"/>
    <cellStyle name="Normal 2 2 2 2 5 2 2 2_SSL" xfId="15268" xr:uid="{00000000-0005-0000-0000-000071080000}"/>
    <cellStyle name="Normal 2 2 2 2 5 2 2 3" xfId="2018" xr:uid="{00000000-0005-0000-0000-000072080000}"/>
    <cellStyle name="Normal 2 2 2 2 5 2 2 3 2" xfId="8666" xr:uid="{00000000-0005-0000-0000-000073080000}"/>
    <cellStyle name="Normal 2 2 2 2 5 2 2 3_SSL" xfId="12985" xr:uid="{00000000-0005-0000-0000-000074080000}"/>
    <cellStyle name="Normal 2 2 2 2 5 2 2 4" xfId="2837" xr:uid="{00000000-0005-0000-0000-000075080000}"/>
    <cellStyle name="Normal 2 2 2 2 5 2 2 4 2" xfId="9482" xr:uid="{00000000-0005-0000-0000-000076080000}"/>
    <cellStyle name="Normal 2 2 2 2 5 2 2 4_SSL" xfId="16833" xr:uid="{00000000-0005-0000-0000-000077080000}"/>
    <cellStyle name="Normal 2 2 2 2 5 2 2 5" xfId="3658" xr:uid="{00000000-0005-0000-0000-000078080000}"/>
    <cellStyle name="Normal 2 2 2 2 5 2 2 5 2" xfId="10298" xr:uid="{00000000-0005-0000-0000-000079080000}"/>
    <cellStyle name="Normal 2 2 2 2 5 2 2 5_SSL" xfId="16882" xr:uid="{00000000-0005-0000-0000-00007A080000}"/>
    <cellStyle name="Normal 2 2 2 2 5 2 2 6" xfId="4469" xr:uid="{00000000-0005-0000-0000-00007B080000}"/>
    <cellStyle name="Normal 2 2 2 2 5 2 2 6 2" xfId="11108" xr:uid="{00000000-0005-0000-0000-00007C080000}"/>
    <cellStyle name="Normal 2 2 2 2 5 2 2 6_SSL" xfId="17918" xr:uid="{00000000-0005-0000-0000-00007D080000}"/>
    <cellStyle name="Normal 2 2 2 2 5 2 2 7" xfId="5279" xr:uid="{00000000-0005-0000-0000-00007E080000}"/>
    <cellStyle name="Normal 2 2 2 2 5 2 2 7 2" xfId="11917" xr:uid="{00000000-0005-0000-0000-00007F080000}"/>
    <cellStyle name="Normal 2 2 2 2 5 2 2 7_SSL" xfId="16110" xr:uid="{00000000-0005-0000-0000-000080080000}"/>
    <cellStyle name="Normal 2 2 2 2 5 2 2 8" xfId="7529" xr:uid="{00000000-0005-0000-0000-000081080000}"/>
    <cellStyle name="Normal 2 2 2 2 5 2 2 9" xfId="6196" xr:uid="{00000000-0005-0000-0000-000082080000}"/>
    <cellStyle name="Normal 2 2 2 2 5 2 2_SSL" xfId="6035" xr:uid="{00000000-0005-0000-0000-000083080000}"/>
    <cellStyle name="Normal 2 2 2 2 5 2 3" xfId="1197" xr:uid="{00000000-0005-0000-0000-000084080000}"/>
    <cellStyle name="Normal 2 2 2 2 5 2 3 2" xfId="7852" xr:uid="{00000000-0005-0000-0000-000085080000}"/>
    <cellStyle name="Normal 2 2 2 2 5 2 3_SSL" xfId="17180" xr:uid="{00000000-0005-0000-0000-000086080000}"/>
    <cellStyle name="Normal 2 2 2 2 5 2 4" xfId="2017" xr:uid="{00000000-0005-0000-0000-000087080000}"/>
    <cellStyle name="Normal 2 2 2 2 5 2 4 2" xfId="8665" xr:uid="{00000000-0005-0000-0000-000088080000}"/>
    <cellStyle name="Normal 2 2 2 2 5 2 4_SSL" xfId="14425" xr:uid="{00000000-0005-0000-0000-000089080000}"/>
    <cellStyle name="Normal 2 2 2 2 5 2 5" xfId="2836" xr:uid="{00000000-0005-0000-0000-00008A080000}"/>
    <cellStyle name="Normal 2 2 2 2 5 2 5 2" xfId="9481" xr:uid="{00000000-0005-0000-0000-00008B080000}"/>
    <cellStyle name="Normal 2 2 2 2 5 2 5_SSL" xfId="14011" xr:uid="{00000000-0005-0000-0000-00008C080000}"/>
    <cellStyle name="Normal 2 2 2 2 5 2 6" xfId="3657" xr:uid="{00000000-0005-0000-0000-00008D080000}"/>
    <cellStyle name="Normal 2 2 2 2 5 2 6 2" xfId="10297" xr:uid="{00000000-0005-0000-0000-00008E080000}"/>
    <cellStyle name="Normal 2 2 2 2 5 2 6_SSL" xfId="15283" xr:uid="{00000000-0005-0000-0000-00008F080000}"/>
    <cellStyle name="Normal 2 2 2 2 5 2 7" xfId="4468" xr:uid="{00000000-0005-0000-0000-000090080000}"/>
    <cellStyle name="Normal 2 2 2 2 5 2 7 2" xfId="11107" xr:uid="{00000000-0005-0000-0000-000091080000}"/>
    <cellStyle name="Normal 2 2 2 2 5 2 7_SSL" xfId="17282" xr:uid="{00000000-0005-0000-0000-000092080000}"/>
    <cellStyle name="Normal 2 2 2 2 5 2 8" xfId="5278" xr:uid="{00000000-0005-0000-0000-000093080000}"/>
    <cellStyle name="Normal 2 2 2 2 5 2 8 2" xfId="11916" xr:uid="{00000000-0005-0000-0000-000094080000}"/>
    <cellStyle name="Normal 2 2 2 2 5 2 8_SSL" xfId="15106" xr:uid="{00000000-0005-0000-0000-000095080000}"/>
    <cellStyle name="Normal 2 2 2 2 5 2 9" xfId="7145" xr:uid="{00000000-0005-0000-0000-000096080000}"/>
    <cellStyle name="Normal 2 2 2 2 5 2_SSL" xfId="13742" xr:uid="{00000000-0005-0000-0000-000097080000}"/>
    <cellStyle name="Normal 2 2 2 2 5 3" xfId="541" xr:uid="{00000000-0005-0000-0000-000098080000}"/>
    <cellStyle name="Normal 2 2 2 2 5 3 2" xfId="1199" xr:uid="{00000000-0005-0000-0000-000099080000}"/>
    <cellStyle name="Normal 2 2 2 2 5 3 2 2" xfId="7854" xr:uid="{00000000-0005-0000-0000-00009A080000}"/>
    <cellStyle name="Normal 2 2 2 2 5 3 2_SSL" xfId="16811" xr:uid="{00000000-0005-0000-0000-00009B080000}"/>
    <cellStyle name="Normal 2 2 2 2 5 3 3" xfId="2019" xr:uid="{00000000-0005-0000-0000-00009C080000}"/>
    <cellStyle name="Normal 2 2 2 2 5 3 3 2" xfId="8667" xr:uid="{00000000-0005-0000-0000-00009D080000}"/>
    <cellStyle name="Normal 2 2 2 2 5 3 3_SSL" xfId="13352" xr:uid="{00000000-0005-0000-0000-00009E080000}"/>
    <cellStyle name="Normal 2 2 2 2 5 3 4" xfId="2838" xr:uid="{00000000-0005-0000-0000-00009F080000}"/>
    <cellStyle name="Normal 2 2 2 2 5 3 4 2" xfId="9483" xr:uid="{00000000-0005-0000-0000-0000A0080000}"/>
    <cellStyle name="Normal 2 2 2 2 5 3 4_SSL" xfId="14699" xr:uid="{00000000-0005-0000-0000-0000A1080000}"/>
    <cellStyle name="Normal 2 2 2 2 5 3 5" xfId="3659" xr:uid="{00000000-0005-0000-0000-0000A2080000}"/>
    <cellStyle name="Normal 2 2 2 2 5 3 5 2" xfId="10299" xr:uid="{00000000-0005-0000-0000-0000A3080000}"/>
    <cellStyle name="Normal 2 2 2 2 5 3 5_SSL" xfId="14070" xr:uid="{00000000-0005-0000-0000-0000A4080000}"/>
    <cellStyle name="Normal 2 2 2 2 5 3 6" xfId="4470" xr:uid="{00000000-0005-0000-0000-0000A5080000}"/>
    <cellStyle name="Normal 2 2 2 2 5 3 6 2" xfId="11109" xr:uid="{00000000-0005-0000-0000-0000A6080000}"/>
    <cellStyle name="Normal 2 2 2 2 5 3 6_SSL" xfId="14121" xr:uid="{00000000-0005-0000-0000-0000A7080000}"/>
    <cellStyle name="Normal 2 2 2 2 5 3 7" xfId="5280" xr:uid="{00000000-0005-0000-0000-0000A8080000}"/>
    <cellStyle name="Normal 2 2 2 2 5 3 7 2" xfId="11918" xr:uid="{00000000-0005-0000-0000-0000A9080000}"/>
    <cellStyle name="Normal 2 2 2 2 5 3 7_SSL" xfId="17079" xr:uid="{00000000-0005-0000-0000-0000AA080000}"/>
    <cellStyle name="Normal 2 2 2 2 5 3 8" xfId="7397" xr:uid="{00000000-0005-0000-0000-0000AB080000}"/>
    <cellStyle name="Normal 2 2 2 2 5 3 9" xfId="6197" xr:uid="{00000000-0005-0000-0000-0000AC080000}"/>
    <cellStyle name="Normal 2 2 2 2 5 3_SSL" xfId="13523" xr:uid="{00000000-0005-0000-0000-0000AD080000}"/>
    <cellStyle name="Normal 2 2 2 2 5 4" xfId="1196" xr:uid="{00000000-0005-0000-0000-0000AE080000}"/>
    <cellStyle name="Normal 2 2 2 2 5 4 2" xfId="7851" xr:uid="{00000000-0005-0000-0000-0000AF080000}"/>
    <cellStyle name="Normal 2 2 2 2 5 4_SSL" xfId="12664" xr:uid="{00000000-0005-0000-0000-0000B0080000}"/>
    <cellStyle name="Normal 2 2 2 2 5 5" xfId="2016" xr:uid="{00000000-0005-0000-0000-0000B1080000}"/>
    <cellStyle name="Normal 2 2 2 2 5 5 2" xfId="8664" xr:uid="{00000000-0005-0000-0000-0000B2080000}"/>
    <cellStyle name="Normal 2 2 2 2 5 5_SSL" xfId="17088" xr:uid="{00000000-0005-0000-0000-0000B3080000}"/>
    <cellStyle name="Normal 2 2 2 2 5 6" xfId="2835" xr:uid="{00000000-0005-0000-0000-0000B4080000}"/>
    <cellStyle name="Normal 2 2 2 2 5 6 2" xfId="9480" xr:uid="{00000000-0005-0000-0000-0000B5080000}"/>
    <cellStyle name="Normal 2 2 2 2 5 6_SSL" xfId="17567" xr:uid="{00000000-0005-0000-0000-0000B6080000}"/>
    <cellStyle name="Normal 2 2 2 2 5 7" xfId="3656" xr:uid="{00000000-0005-0000-0000-0000B7080000}"/>
    <cellStyle name="Normal 2 2 2 2 5 7 2" xfId="10296" xr:uid="{00000000-0005-0000-0000-0000B8080000}"/>
    <cellStyle name="Normal 2 2 2 2 5 7_SSL" xfId="17349" xr:uid="{00000000-0005-0000-0000-0000B9080000}"/>
    <cellStyle name="Normal 2 2 2 2 5 8" xfId="4467" xr:uid="{00000000-0005-0000-0000-0000BA080000}"/>
    <cellStyle name="Normal 2 2 2 2 5 8 2" xfId="11106" xr:uid="{00000000-0005-0000-0000-0000BB080000}"/>
    <cellStyle name="Normal 2 2 2 2 5 8_SSL" xfId="15129" xr:uid="{00000000-0005-0000-0000-0000BC080000}"/>
    <cellStyle name="Normal 2 2 2 2 5 9" xfId="5277" xr:uid="{00000000-0005-0000-0000-0000BD080000}"/>
    <cellStyle name="Normal 2 2 2 2 5 9 2" xfId="11915" xr:uid="{00000000-0005-0000-0000-0000BE080000}"/>
    <cellStyle name="Normal 2 2 2 2 5 9_SSL" xfId="13289" xr:uid="{00000000-0005-0000-0000-0000BF080000}"/>
    <cellStyle name="Normal 2 2 2 2 5_SSL" xfId="14234" xr:uid="{00000000-0005-0000-0000-0000C0080000}"/>
    <cellStyle name="Normal 2 2 2 2 6" xfId="161" xr:uid="{00000000-0005-0000-0000-0000C1080000}"/>
    <cellStyle name="Normal 2 2 2 2 6 10" xfId="7038" xr:uid="{00000000-0005-0000-0000-0000C2080000}"/>
    <cellStyle name="Normal 2 2 2 2 6 11" xfId="6198" xr:uid="{00000000-0005-0000-0000-0000C3080000}"/>
    <cellStyle name="Normal 2 2 2 2 6 2" xfId="286" xr:uid="{00000000-0005-0000-0000-0000C4080000}"/>
    <cellStyle name="Normal 2 2 2 2 6 2 10" xfId="6199" xr:uid="{00000000-0005-0000-0000-0000C5080000}"/>
    <cellStyle name="Normal 2 2 2 2 6 2 2" xfId="674" xr:uid="{00000000-0005-0000-0000-0000C6080000}"/>
    <cellStyle name="Normal 2 2 2 2 6 2 2 2" xfId="1202" xr:uid="{00000000-0005-0000-0000-0000C7080000}"/>
    <cellStyle name="Normal 2 2 2 2 6 2 2 2 2" xfId="7857" xr:uid="{00000000-0005-0000-0000-0000C8080000}"/>
    <cellStyle name="Normal 2 2 2 2 6 2 2 2_SSL" xfId="14747" xr:uid="{00000000-0005-0000-0000-0000C9080000}"/>
    <cellStyle name="Normal 2 2 2 2 6 2 2 3" xfId="2022" xr:uid="{00000000-0005-0000-0000-0000CA080000}"/>
    <cellStyle name="Normal 2 2 2 2 6 2 2 3 2" xfId="8670" xr:uid="{00000000-0005-0000-0000-0000CB080000}"/>
    <cellStyle name="Normal 2 2 2 2 6 2 2 3_SSL" xfId="17589" xr:uid="{00000000-0005-0000-0000-0000CC080000}"/>
    <cellStyle name="Normal 2 2 2 2 6 2 2 4" xfId="2841" xr:uid="{00000000-0005-0000-0000-0000CD080000}"/>
    <cellStyle name="Normal 2 2 2 2 6 2 2 4 2" xfId="9486" xr:uid="{00000000-0005-0000-0000-0000CE080000}"/>
    <cellStyle name="Normal 2 2 2 2 6 2 2 4_SSL" xfId="13994" xr:uid="{00000000-0005-0000-0000-0000CF080000}"/>
    <cellStyle name="Normal 2 2 2 2 6 2 2 5" xfId="3662" xr:uid="{00000000-0005-0000-0000-0000D0080000}"/>
    <cellStyle name="Normal 2 2 2 2 6 2 2 5 2" xfId="10302" xr:uid="{00000000-0005-0000-0000-0000D1080000}"/>
    <cellStyle name="Normal 2 2 2 2 6 2 2 5_SSL" xfId="15299" xr:uid="{00000000-0005-0000-0000-0000D2080000}"/>
    <cellStyle name="Normal 2 2 2 2 6 2 2 6" xfId="4473" xr:uid="{00000000-0005-0000-0000-0000D3080000}"/>
    <cellStyle name="Normal 2 2 2 2 6 2 2 6 2" xfId="11112" xr:uid="{00000000-0005-0000-0000-0000D4080000}"/>
    <cellStyle name="Normal 2 2 2 2 6 2 2 6_SSL" xfId="13268" xr:uid="{00000000-0005-0000-0000-0000D5080000}"/>
    <cellStyle name="Normal 2 2 2 2 6 2 2 7" xfId="5283" xr:uid="{00000000-0005-0000-0000-0000D6080000}"/>
    <cellStyle name="Normal 2 2 2 2 6 2 2 7 2" xfId="11921" xr:uid="{00000000-0005-0000-0000-0000D7080000}"/>
    <cellStyle name="Normal 2 2 2 2 6 2 2 7_SSL" xfId="17831" xr:uid="{00000000-0005-0000-0000-0000D8080000}"/>
    <cellStyle name="Normal 2 2 2 2 6 2 2 8" xfId="7530" xr:uid="{00000000-0005-0000-0000-0000D9080000}"/>
    <cellStyle name="Normal 2 2 2 2 6 2 2 9" xfId="6200" xr:uid="{00000000-0005-0000-0000-0000DA080000}"/>
    <cellStyle name="Normal 2 2 2 2 6 2 2_SSL" xfId="13298" xr:uid="{00000000-0005-0000-0000-0000DB080000}"/>
    <cellStyle name="Normal 2 2 2 2 6 2 3" xfId="1201" xr:uid="{00000000-0005-0000-0000-0000DC080000}"/>
    <cellStyle name="Normal 2 2 2 2 6 2 3 2" xfId="7856" xr:uid="{00000000-0005-0000-0000-0000DD080000}"/>
    <cellStyle name="Normal 2 2 2 2 6 2 3_SSL" xfId="12968" xr:uid="{00000000-0005-0000-0000-0000DE080000}"/>
    <cellStyle name="Normal 2 2 2 2 6 2 4" xfId="2021" xr:uid="{00000000-0005-0000-0000-0000DF080000}"/>
    <cellStyle name="Normal 2 2 2 2 6 2 4 2" xfId="8669" xr:uid="{00000000-0005-0000-0000-0000E0080000}"/>
    <cellStyle name="Normal 2 2 2 2 6 2 4_SSL" xfId="12838" xr:uid="{00000000-0005-0000-0000-0000E1080000}"/>
    <cellStyle name="Normal 2 2 2 2 6 2 5" xfId="2840" xr:uid="{00000000-0005-0000-0000-0000E2080000}"/>
    <cellStyle name="Normal 2 2 2 2 6 2 5 2" xfId="9485" xr:uid="{00000000-0005-0000-0000-0000E3080000}"/>
    <cellStyle name="Normal 2 2 2 2 6 2 5_SSL" xfId="13477" xr:uid="{00000000-0005-0000-0000-0000E4080000}"/>
    <cellStyle name="Normal 2 2 2 2 6 2 6" xfId="3661" xr:uid="{00000000-0005-0000-0000-0000E5080000}"/>
    <cellStyle name="Normal 2 2 2 2 6 2 6 2" xfId="10301" xr:uid="{00000000-0005-0000-0000-0000E6080000}"/>
    <cellStyle name="Normal 2 2 2 2 6 2 6_SSL" xfId="15075" xr:uid="{00000000-0005-0000-0000-0000E7080000}"/>
    <cellStyle name="Normal 2 2 2 2 6 2 7" xfId="4472" xr:uid="{00000000-0005-0000-0000-0000E8080000}"/>
    <cellStyle name="Normal 2 2 2 2 6 2 7 2" xfId="11111" xr:uid="{00000000-0005-0000-0000-0000E9080000}"/>
    <cellStyle name="Normal 2 2 2 2 6 2 7_SSL" xfId="13522" xr:uid="{00000000-0005-0000-0000-0000EA080000}"/>
    <cellStyle name="Normal 2 2 2 2 6 2 8" xfId="5282" xr:uid="{00000000-0005-0000-0000-0000EB080000}"/>
    <cellStyle name="Normal 2 2 2 2 6 2 8 2" xfId="11920" xr:uid="{00000000-0005-0000-0000-0000EC080000}"/>
    <cellStyle name="Normal 2 2 2 2 6 2 8_SSL" xfId="6030" xr:uid="{00000000-0005-0000-0000-0000ED080000}"/>
    <cellStyle name="Normal 2 2 2 2 6 2 9" xfId="7146" xr:uid="{00000000-0005-0000-0000-0000EE080000}"/>
    <cellStyle name="Normal 2 2 2 2 6 2_SSL" xfId="17369" xr:uid="{00000000-0005-0000-0000-0000EF080000}"/>
    <cellStyle name="Normal 2 2 2 2 6 3" xfId="566" xr:uid="{00000000-0005-0000-0000-0000F0080000}"/>
    <cellStyle name="Normal 2 2 2 2 6 3 2" xfId="1203" xr:uid="{00000000-0005-0000-0000-0000F1080000}"/>
    <cellStyle name="Normal 2 2 2 2 6 3 2 2" xfId="7858" xr:uid="{00000000-0005-0000-0000-0000F2080000}"/>
    <cellStyle name="Normal 2 2 2 2 6 3 2_SSL" xfId="14952" xr:uid="{00000000-0005-0000-0000-0000F3080000}"/>
    <cellStyle name="Normal 2 2 2 2 6 3 3" xfId="2023" xr:uid="{00000000-0005-0000-0000-0000F4080000}"/>
    <cellStyle name="Normal 2 2 2 2 6 3 3 2" xfId="8671" xr:uid="{00000000-0005-0000-0000-0000F5080000}"/>
    <cellStyle name="Normal 2 2 2 2 6 3 3_SSL" xfId="17250" xr:uid="{00000000-0005-0000-0000-0000F6080000}"/>
    <cellStyle name="Normal 2 2 2 2 6 3 4" xfId="2842" xr:uid="{00000000-0005-0000-0000-0000F7080000}"/>
    <cellStyle name="Normal 2 2 2 2 6 3 4 2" xfId="9487" xr:uid="{00000000-0005-0000-0000-0000F8080000}"/>
    <cellStyle name="Normal 2 2 2 2 6 3 4_SSL" xfId="15950" xr:uid="{00000000-0005-0000-0000-0000F9080000}"/>
    <cellStyle name="Normal 2 2 2 2 6 3 5" xfId="3663" xr:uid="{00000000-0005-0000-0000-0000FA080000}"/>
    <cellStyle name="Normal 2 2 2 2 6 3 5 2" xfId="10303" xr:uid="{00000000-0005-0000-0000-0000FB080000}"/>
    <cellStyle name="Normal 2 2 2 2 6 3 5_SSL" xfId="8594" xr:uid="{00000000-0005-0000-0000-0000FC080000}"/>
    <cellStyle name="Normal 2 2 2 2 6 3 6" xfId="4474" xr:uid="{00000000-0005-0000-0000-0000FD080000}"/>
    <cellStyle name="Normal 2 2 2 2 6 3 6 2" xfId="11113" xr:uid="{00000000-0005-0000-0000-0000FE080000}"/>
    <cellStyle name="Normal 2 2 2 2 6 3 6_SSL" xfId="16903" xr:uid="{00000000-0005-0000-0000-0000FF080000}"/>
    <cellStyle name="Normal 2 2 2 2 6 3 7" xfId="5284" xr:uid="{00000000-0005-0000-0000-000000090000}"/>
    <cellStyle name="Normal 2 2 2 2 6 3 7 2" xfId="11922" xr:uid="{00000000-0005-0000-0000-000001090000}"/>
    <cellStyle name="Normal 2 2 2 2 6 3 7_SSL" xfId="14233" xr:uid="{00000000-0005-0000-0000-000002090000}"/>
    <cellStyle name="Normal 2 2 2 2 6 3 8" xfId="7422" xr:uid="{00000000-0005-0000-0000-000003090000}"/>
    <cellStyle name="Normal 2 2 2 2 6 3 9" xfId="6201" xr:uid="{00000000-0005-0000-0000-000004090000}"/>
    <cellStyle name="Normal 2 2 2 2 6 3_SSL" xfId="13614" xr:uid="{00000000-0005-0000-0000-000005090000}"/>
    <cellStyle name="Normal 2 2 2 2 6 4" xfId="1200" xr:uid="{00000000-0005-0000-0000-000006090000}"/>
    <cellStyle name="Normal 2 2 2 2 6 4 2" xfId="7855" xr:uid="{00000000-0005-0000-0000-000007090000}"/>
    <cellStyle name="Normal 2 2 2 2 6 4_SSL" xfId="14757" xr:uid="{00000000-0005-0000-0000-000008090000}"/>
    <cellStyle name="Normal 2 2 2 2 6 5" xfId="2020" xr:uid="{00000000-0005-0000-0000-000009090000}"/>
    <cellStyle name="Normal 2 2 2 2 6 5 2" xfId="8668" xr:uid="{00000000-0005-0000-0000-00000A090000}"/>
    <cellStyle name="Normal 2 2 2 2 6 5_SSL" xfId="15382" xr:uid="{00000000-0005-0000-0000-00000B090000}"/>
    <cellStyle name="Normal 2 2 2 2 6 6" xfId="2839" xr:uid="{00000000-0005-0000-0000-00000C090000}"/>
    <cellStyle name="Normal 2 2 2 2 6 6 2" xfId="9484" xr:uid="{00000000-0005-0000-0000-00000D090000}"/>
    <cellStyle name="Normal 2 2 2 2 6 6_SSL" xfId="16813" xr:uid="{00000000-0005-0000-0000-00000E090000}"/>
    <cellStyle name="Normal 2 2 2 2 6 7" xfId="3660" xr:uid="{00000000-0005-0000-0000-00000F090000}"/>
    <cellStyle name="Normal 2 2 2 2 6 7 2" xfId="10300" xr:uid="{00000000-0005-0000-0000-000010090000}"/>
    <cellStyle name="Normal 2 2 2 2 6 7_SSL" xfId="16913" xr:uid="{00000000-0005-0000-0000-000011090000}"/>
    <cellStyle name="Normal 2 2 2 2 6 8" xfId="4471" xr:uid="{00000000-0005-0000-0000-000012090000}"/>
    <cellStyle name="Normal 2 2 2 2 6 8 2" xfId="11110" xr:uid="{00000000-0005-0000-0000-000013090000}"/>
    <cellStyle name="Normal 2 2 2 2 6 8_SSL" xfId="14248" xr:uid="{00000000-0005-0000-0000-000014090000}"/>
    <cellStyle name="Normal 2 2 2 2 6 9" xfId="5281" xr:uid="{00000000-0005-0000-0000-000015090000}"/>
    <cellStyle name="Normal 2 2 2 2 6 9 2" xfId="11919" xr:uid="{00000000-0005-0000-0000-000016090000}"/>
    <cellStyle name="Normal 2 2 2 2 6 9_SSL" xfId="14833" xr:uid="{00000000-0005-0000-0000-000017090000}"/>
    <cellStyle name="Normal 2 2 2 2 6_SSL" xfId="16234" xr:uid="{00000000-0005-0000-0000-000018090000}"/>
    <cellStyle name="Normal 2 2 2 2 7" xfId="232" xr:uid="{00000000-0005-0000-0000-000019090000}"/>
    <cellStyle name="Normal 2 2 2 2 7 10" xfId="7109" xr:uid="{00000000-0005-0000-0000-00001A090000}"/>
    <cellStyle name="Normal 2 2 2 2 7 11" xfId="6202" xr:uid="{00000000-0005-0000-0000-00001B090000}"/>
    <cellStyle name="Normal 2 2 2 2 7 2" xfId="287" xr:uid="{00000000-0005-0000-0000-00001C090000}"/>
    <cellStyle name="Normal 2 2 2 2 7 2 10" xfId="6203" xr:uid="{00000000-0005-0000-0000-00001D090000}"/>
    <cellStyle name="Normal 2 2 2 2 7 2 2" xfId="675" xr:uid="{00000000-0005-0000-0000-00001E090000}"/>
    <cellStyle name="Normal 2 2 2 2 7 2 2 2" xfId="1206" xr:uid="{00000000-0005-0000-0000-00001F090000}"/>
    <cellStyle name="Normal 2 2 2 2 7 2 2 2 2" xfId="7861" xr:uid="{00000000-0005-0000-0000-000020090000}"/>
    <cellStyle name="Normal 2 2 2 2 7 2 2 2_SSL" xfId="16232" xr:uid="{00000000-0005-0000-0000-000021090000}"/>
    <cellStyle name="Normal 2 2 2 2 7 2 2 3" xfId="2026" xr:uid="{00000000-0005-0000-0000-000022090000}"/>
    <cellStyle name="Normal 2 2 2 2 7 2 2 3 2" xfId="8674" xr:uid="{00000000-0005-0000-0000-000023090000}"/>
    <cellStyle name="Normal 2 2 2 2 7 2 2 3_SSL" xfId="17976" xr:uid="{00000000-0005-0000-0000-000024090000}"/>
    <cellStyle name="Normal 2 2 2 2 7 2 2 4" xfId="2845" xr:uid="{00000000-0005-0000-0000-000025090000}"/>
    <cellStyle name="Normal 2 2 2 2 7 2 2 4 2" xfId="9490" xr:uid="{00000000-0005-0000-0000-000026090000}"/>
    <cellStyle name="Normal 2 2 2 2 7 2 2 4_SSL" xfId="13786" xr:uid="{00000000-0005-0000-0000-000027090000}"/>
    <cellStyle name="Normal 2 2 2 2 7 2 2 5" xfId="3666" xr:uid="{00000000-0005-0000-0000-000028090000}"/>
    <cellStyle name="Normal 2 2 2 2 7 2 2 5 2" xfId="10306" xr:uid="{00000000-0005-0000-0000-000029090000}"/>
    <cellStyle name="Normal 2 2 2 2 7 2 2 5_SSL" xfId="14033" xr:uid="{00000000-0005-0000-0000-00002A090000}"/>
    <cellStyle name="Normal 2 2 2 2 7 2 2 6" xfId="4477" xr:uid="{00000000-0005-0000-0000-00002B090000}"/>
    <cellStyle name="Normal 2 2 2 2 7 2 2 6 2" xfId="11116" xr:uid="{00000000-0005-0000-0000-00002C090000}"/>
    <cellStyle name="Normal 2 2 2 2 7 2 2 6_SSL" xfId="16754" xr:uid="{00000000-0005-0000-0000-00002D090000}"/>
    <cellStyle name="Normal 2 2 2 2 7 2 2 7" xfId="5287" xr:uid="{00000000-0005-0000-0000-00002E090000}"/>
    <cellStyle name="Normal 2 2 2 2 7 2 2 7 2" xfId="11925" xr:uid="{00000000-0005-0000-0000-00002F090000}"/>
    <cellStyle name="Normal 2 2 2 2 7 2 2 7_SSL" xfId="16711" xr:uid="{00000000-0005-0000-0000-000030090000}"/>
    <cellStyle name="Normal 2 2 2 2 7 2 2 8" xfId="7531" xr:uid="{00000000-0005-0000-0000-000031090000}"/>
    <cellStyle name="Normal 2 2 2 2 7 2 2 9" xfId="6204" xr:uid="{00000000-0005-0000-0000-000032090000}"/>
    <cellStyle name="Normal 2 2 2 2 7 2 2_SSL" xfId="15812" xr:uid="{00000000-0005-0000-0000-000033090000}"/>
    <cellStyle name="Normal 2 2 2 2 7 2 3" xfId="1205" xr:uid="{00000000-0005-0000-0000-000034090000}"/>
    <cellStyle name="Normal 2 2 2 2 7 2 3 2" xfId="7860" xr:uid="{00000000-0005-0000-0000-000035090000}"/>
    <cellStyle name="Normal 2 2 2 2 7 2 3_SSL" xfId="17500" xr:uid="{00000000-0005-0000-0000-000036090000}"/>
    <cellStyle name="Normal 2 2 2 2 7 2 4" xfId="2025" xr:uid="{00000000-0005-0000-0000-000037090000}"/>
    <cellStyle name="Normal 2 2 2 2 7 2 4 2" xfId="8673" xr:uid="{00000000-0005-0000-0000-000038090000}"/>
    <cellStyle name="Normal 2 2 2 2 7 2 4_SSL" xfId="12795" xr:uid="{00000000-0005-0000-0000-000039090000}"/>
    <cellStyle name="Normal 2 2 2 2 7 2 5" xfId="2844" xr:uid="{00000000-0005-0000-0000-00003A090000}"/>
    <cellStyle name="Normal 2 2 2 2 7 2 5 2" xfId="9489" xr:uid="{00000000-0005-0000-0000-00003B090000}"/>
    <cellStyle name="Normal 2 2 2 2 7 2 5_SSL" xfId="16175" xr:uid="{00000000-0005-0000-0000-00003C090000}"/>
    <cellStyle name="Normal 2 2 2 2 7 2 6" xfId="3665" xr:uid="{00000000-0005-0000-0000-00003D090000}"/>
    <cellStyle name="Normal 2 2 2 2 7 2 6 2" xfId="10305" xr:uid="{00000000-0005-0000-0000-00003E090000}"/>
    <cellStyle name="Normal 2 2 2 2 7 2 6_SSL" xfId="15569" xr:uid="{00000000-0005-0000-0000-00003F090000}"/>
    <cellStyle name="Normal 2 2 2 2 7 2 7" xfId="4476" xr:uid="{00000000-0005-0000-0000-000040090000}"/>
    <cellStyle name="Normal 2 2 2 2 7 2 7 2" xfId="11115" xr:uid="{00000000-0005-0000-0000-000041090000}"/>
    <cellStyle name="Normal 2 2 2 2 7 2 7_SSL" xfId="15803" xr:uid="{00000000-0005-0000-0000-000042090000}"/>
    <cellStyle name="Normal 2 2 2 2 7 2 8" xfId="5286" xr:uid="{00000000-0005-0000-0000-000043090000}"/>
    <cellStyle name="Normal 2 2 2 2 7 2 8 2" xfId="11924" xr:uid="{00000000-0005-0000-0000-000044090000}"/>
    <cellStyle name="Normal 2 2 2 2 7 2 8_SSL" xfId="12842" xr:uid="{00000000-0005-0000-0000-000045090000}"/>
    <cellStyle name="Normal 2 2 2 2 7 2 9" xfId="7147" xr:uid="{00000000-0005-0000-0000-000046090000}"/>
    <cellStyle name="Normal 2 2 2 2 7 2_SSL" xfId="12692" xr:uid="{00000000-0005-0000-0000-000047090000}"/>
    <cellStyle name="Normal 2 2 2 2 7 3" xfId="637" xr:uid="{00000000-0005-0000-0000-000048090000}"/>
    <cellStyle name="Normal 2 2 2 2 7 3 2" xfId="1207" xr:uid="{00000000-0005-0000-0000-000049090000}"/>
    <cellStyle name="Normal 2 2 2 2 7 3 2 2" xfId="7862" xr:uid="{00000000-0005-0000-0000-00004A090000}"/>
    <cellStyle name="Normal 2 2 2 2 7 3 2_SSL" xfId="17072" xr:uid="{00000000-0005-0000-0000-00004B090000}"/>
    <cellStyle name="Normal 2 2 2 2 7 3 3" xfId="2027" xr:uid="{00000000-0005-0000-0000-00004C090000}"/>
    <cellStyle name="Normal 2 2 2 2 7 3 3 2" xfId="8675" xr:uid="{00000000-0005-0000-0000-00004D090000}"/>
    <cellStyle name="Normal 2 2 2 2 7 3 3_SSL" xfId="14569" xr:uid="{00000000-0005-0000-0000-00004E090000}"/>
    <cellStyle name="Normal 2 2 2 2 7 3 4" xfId="2846" xr:uid="{00000000-0005-0000-0000-00004F090000}"/>
    <cellStyle name="Normal 2 2 2 2 7 3 4 2" xfId="9491" xr:uid="{00000000-0005-0000-0000-000050090000}"/>
    <cellStyle name="Normal 2 2 2 2 7 3 4_SSL" xfId="12656" xr:uid="{00000000-0005-0000-0000-000051090000}"/>
    <cellStyle name="Normal 2 2 2 2 7 3 5" xfId="3667" xr:uid="{00000000-0005-0000-0000-000052090000}"/>
    <cellStyle name="Normal 2 2 2 2 7 3 5 2" xfId="10307" xr:uid="{00000000-0005-0000-0000-000053090000}"/>
    <cellStyle name="Normal 2 2 2 2 7 3 5_SSL" xfId="17554" xr:uid="{00000000-0005-0000-0000-000054090000}"/>
    <cellStyle name="Normal 2 2 2 2 7 3 6" xfId="4478" xr:uid="{00000000-0005-0000-0000-000055090000}"/>
    <cellStyle name="Normal 2 2 2 2 7 3 6 2" xfId="11117" xr:uid="{00000000-0005-0000-0000-000056090000}"/>
    <cellStyle name="Normal 2 2 2 2 7 3 6_SSL" xfId="14623" xr:uid="{00000000-0005-0000-0000-000057090000}"/>
    <cellStyle name="Normal 2 2 2 2 7 3 7" xfId="5288" xr:uid="{00000000-0005-0000-0000-000058090000}"/>
    <cellStyle name="Normal 2 2 2 2 7 3 7 2" xfId="11926" xr:uid="{00000000-0005-0000-0000-000059090000}"/>
    <cellStyle name="Normal 2 2 2 2 7 3 7_SSL" xfId="17586" xr:uid="{00000000-0005-0000-0000-00005A090000}"/>
    <cellStyle name="Normal 2 2 2 2 7 3 8" xfId="7493" xr:uid="{00000000-0005-0000-0000-00005B090000}"/>
    <cellStyle name="Normal 2 2 2 2 7 3 9" xfId="6205" xr:uid="{00000000-0005-0000-0000-00005C090000}"/>
    <cellStyle name="Normal 2 2 2 2 7 3_SSL" xfId="15050" xr:uid="{00000000-0005-0000-0000-00005D090000}"/>
    <cellStyle name="Normal 2 2 2 2 7 4" xfId="1204" xr:uid="{00000000-0005-0000-0000-00005E090000}"/>
    <cellStyle name="Normal 2 2 2 2 7 4 2" xfId="7859" xr:uid="{00000000-0005-0000-0000-00005F090000}"/>
    <cellStyle name="Normal 2 2 2 2 7 4_SSL" xfId="13290" xr:uid="{00000000-0005-0000-0000-000060090000}"/>
    <cellStyle name="Normal 2 2 2 2 7 5" xfId="2024" xr:uid="{00000000-0005-0000-0000-000061090000}"/>
    <cellStyle name="Normal 2 2 2 2 7 5 2" xfId="8672" xr:uid="{00000000-0005-0000-0000-000062090000}"/>
    <cellStyle name="Normal 2 2 2 2 7 5_SSL" xfId="16050" xr:uid="{00000000-0005-0000-0000-000063090000}"/>
    <cellStyle name="Normal 2 2 2 2 7 6" xfId="2843" xr:uid="{00000000-0005-0000-0000-000064090000}"/>
    <cellStyle name="Normal 2 2 2 2 7 6 2" xfId="9488" xr:uid="{00000000-0005-0000-0000-000065090000}"/>
    <cellStyle name="Normal 2 2 2 2 7 6_SSL" xfId="17771" xr:uid="{00000000-0005-0000-0000-000066090000}"/>
    <cellStyle name="Normal 2 2 2 2 7 7" xfId="3664" xr:uid="{00000000-0005-0000-0000-000067090000}"/>
    <cellStyle name="Normal 2 2 2 2 7 7 2" xfId="10304" xr:uid="{00000000-0005-0000-0000-000068090000}"/>
    <cellStyle name="Normal 2 2 2 2 7 7_SSL" xfId="15610" xr:uid="{00000000-0005-0000-0000-000069090000}"/>
    <cellStyle name="Normal 2 2 2 2 7 8" xfId="4475" xr:uid="{00000000-0005-0000-0000-00006A090000}"/>
    <cellStyle name="Normal 2 2 2 2 7 8 2" xfId="11114" xr:uid="{00000000-0005-0000-0000-00006B090000}"/>
    <cellStyle name="Normal 2 2 2 2 7 8_SSL" xfId="16548" xr:uid="{00000000-0005-0000-0000-00006C090000}"/>
    <cellStyle name="Normal 2 2 2 2 7 9" xfId="5285" xr:uid="{00000000-0005-0000-0000-00006D090000}"/>
    <cellStyle name="Normal 2 2 2 2 7 9 2" xfId="11923" xr:uid="{00000000-0005-0000-0000-00006E090000}"/>
    <cellStyle name="Normal 2 2 2 2 7 9_SSL" xfId="14661" xr:uid="{00000000-0005-0000-0000-00006F090000}"/>
    <cellStyle name="Normal 2 2 2 2 7_SSL" xfId="15519" xr:uid="{00000000-0005-0000-0000-000070090000}"/>
    <cellStyle name="Normal 2 2 2 2 8" xfId="272" xr:uid="{00000000-0005-0000-0000-000071090000}"/>
    <cellStyle name="Normal 2 2 2 2 8 10" xfId="6206" xr:uid="{00000000-0005-0000-0000-000072090000}"/>
    <cellStyle name="Normal 2 2 2 2 8 2" xfId="660" xr:uid="{00000000-0005-0000-0000-000073090000}"/>
    <cellStyle name="Normal 2 2 2 2 8 2 2" xfId="1209" xr:uid="{00000000-0005-0000-0000-000074090000}"/>
    <cellStyle name="Normal 2 2 2 2 8 2 2 2" xfId="7864" xr:uid="{00000000-0005-0000-0000-000075090000}"/>
    <cellStyle name="Normal 2 2 2 2 8 2 2_SSL" xfId="14270" xr:uid="{00000000-0005-0000-0000-000076090000}"/>
    <cellStyle name="Normal 2 2 2 2 8 2 3" xfId="2029" xr:uid="{00000000-0005-0000-0000-000077090000}"/>
    <cellStyle name="Normal 2 2 2 2 8 2 3 2" xfId="8677" xr:uid="{00000000-0005-0000-0000-000078090000}"/>
    <cellStyle name="Normal 2 2 2 2 8 2 3_SSL" xfId="17713" xr:uid="{00000000-0005-0000-0000-000079090000}"/>
    <cellStyle name="Normal 2 2 2 2 8 2 4" xfId="2848" xr:uid="{00000000-0005-0000-0000-00007A090000}"/>
    <cellStyle name="Normal 2 2 2 2 8 2 4 2" xfId="9493" xr:uid="{00000000-0005-0000-0000-00007B090000}"/>
    <cellStyle name="Normal 2 2 2 2 8 2 4_SSL" xfId="17399" xr:uid="{00000000-0005-0000-0000-00007C090000}"/>
    <cellStyle name="Normal 2 2 2 2 8 2 5" xfId="3669" xr:uid="{00000000-0005-0000-0000-00007D090000}"/>
    <cellStyle name="Normal 2 2 2 2 8 2 5 2" xfId="10309" xr:uid="{00000000-0005-0000-0000-00007E090000}"/>
    <cellStyle name="Normal 2 2 2 2 8 2 5_SSL" xfId="17339" xr:uid="{00000000-0005-0000-0000-00007F090000}"/>
    <cellStyle name="Normal 2 2 2 2 8 2 6" xfId="4480" xr:uid="{00000000-0005-0000-0000-000080090000}"/>
    <cellStyle name="Normal 2 2 2 2 8 2 6 2" xfId="11119" xr:uid="{00000000-0005-0000-0000-000081090000}"/>
    <cellStyle name="Normal 2 2 2 2 8 2 6_SSL" xfId="12759" xr:uid="{00000000-0005-0000-0000-000082090000}"/>
    <cellStyle name="Normal 2 2 2 2 8 2 7" xfId="5290" xr:uid="{00000000-0005-0000-0000-000083090000}"/>
    <cellStyle name="Normal 2 2 2 2 8 2 7 2" xfId="11928" xr:uid="{00000000-0005-0000-0000-000084090000}"/>
    <cellStyle name="Normal 2 2 2 2 8 2 7_SSL" xfId="15916" xr:uid="{00000000-0005-0000-0000-000085090000}"/>
    <cellStyle name="Normal 2 2 2 2 8 2 8" xfId="7516" xr:uid="{00000000-0005-0000-0000-000086090000}"/>
    <cellStyle name="Normal 2 2 2 2 8 2 9" xfId="6207" xr:uid="{00000000-0005-0000-0000-000087090000}"/>
    <cellStyle name="Normal 2 2 2 2 8 2_SSL" xfId="14945" xr:uid="{00000000-0005-0000-0000-000088090000}"/>
    <cellStyle name="Normal 2 2 2 2 8 3" xfId="1208" xr:uid="{00000000-0005-0000-0000-000089090000}"/>
    <cellStyle name="Normal 2 2 2 2 8 3 2" xfId="7863" xr:uid="{00000000-0005-0000-0000-00008A090000}"/>
    <cellStyle name="Normal 2 2 2 2 8 3_SSL" xfId="15466" xr:uid="{00000000-0005-0000-0000-00008B090000}"/>
    <cellStyle name="Normal 2 2 2 2 8 4" xfId="2028" xr:uid="{00000000-0005-0000-0000-00008C090000}"/>
    <cellStyle name="Normal 2 2 2 2 8 4 2" xfId="8676" xr:uid="{00000000-0005-0000-0000-00008D090000}"/>
    <cellStyle name="Normal 2 2 2 2 8 4_SSL" xfId="17662" xr:uid="{00000000-0005-0000-0000-00008E090000}"/>
    <cellStyle name="Normal 2 2 2 2 8 5" xfId="2847" xr:uid="{00000000-0005-0000-0000-00008F090000}"/>
    <cellStyle name="Normal 2 2 2 2 8 5 2" xfId="9492" xr:uid="{00000000-0005-0000-0000-000090090000}"/>
    <cellStyle name="Normal 2 2 2 2 8 5_SSL" xfId="16589" xr:uid="{00000000-0005-0000-0000-000091090000}"/>
    <cellStyle name="Normal 2 2 2 2 8 6" xfId="3668" xr:uid="{00000000-0005-0000-0000-000092090000}"/>
    <cellStyle name="Normal 2 2 2 2 8 6 2" xfId="10308" xr:uid="{00000000-0005-0000-0000-000093090000}"/>
    <cellStyle name="Normal 2 2 2 2 8 6_SSL" xfId="13607" xr:uid="{00000000-0005-0000-0000-000094090000}"/>
    <cellStyle name="Normal 2 2 2 2 8 7" xfId="4479" xr:uid="{00000000-0005-0000-0000-000095090000}"/>
    <cellStyle name="Normal 2 2 2 2 8 7 2" xfId="11118" xr:uid="{00000000-0005-0000-0000-000096090000}"/>
    <cellStyle name="Normal 2 2 2 2 8 7_SSL" xfId="14301" xr:uid="{00000000-0005-0000-0000-000097090000}"/>
    <cellStyle name="Normal 2 2 2 2 8 8" xfId="5289" xr:uid="{00000000-0005-0000-0000-000098090000}"/>
    <cellStyle name="Normal 2 2 2 2 8 8 2" xfId="11927" xr:uid="{00000000-0005-0000-0000-000099090000}"/>
    <cellStyle name="Normal 2 2 2 2 8 8_SSL" xfId="6034" xr:uid="{00000000-0005-0000-0000-00009A090000}"/>
    <cellStyle name="Normal 2 2 2 2 8 9" xfId="7132" xr:uid="{00000000-0005-0000-0000-00009B090000}"/>
    <cellStyle name="Normal 2 2 2 2 8_SSL" xfId="13468" xr:uid="{00000000-0005-0000-0000-00009C090000}"/>
    <cellStyle name="Normal 2 2 2 2 9" xfId="470" xr:uid="{00000000-0005-0000-0000-00009D090000}"/>
    <cellStyle name="Normal 2 2 2 2 9 2" xfId="1210" xr:uid="{00000000-0005-0000-0000-00009E090000}"/>
    <cellStyle name="Normal 2 2 2 2 9 2 2" xfId="7865" xr:uid="{00000000-0005-0000-0000-00009F090000}"/>
    <cellStyle name="Normal 2 2 2 2 9 2_SSL" xfId="15813" xr:uid="{00000000-0005-0000-0000-0000A0090000}"/>
    <cellStyle name="Normal 2 2 2 2 9 3" xfId="2030" xr:uid="{00000000-0005-0000-0000-0000A1090000}"/>
    <cellStyle name="Normal 2 2 2 2 9 3 2" xfId="8678" xr:uid="{00000000-0005-0000-0000-0000A2090000}"/>
    <cellStyle name="Normal 2 2 2 2 9 3_SSL" xfId="16529" xr:uid="{00000000-0005-0000-0000-0000A3090000}"/>
    <cellStyle name="Normal 2 2 2 2 9 4" xfId="2849" xr:uid="{00000000-0005-0000-0000-0000A4090000}"/>
    <cellStyle name="Normal 2 2 2 2 9 4 2" xfId="9494" xr:uid="{00000000-0005-0000-0000-0000A5090000}"/>
    <cellStyle name="Normal 2 2 2 2 9 4_SSL" xfId="16961" xr:uid="{00000000-0005-0000-0000-0000A6090000}"/>
    <cellStyle name="Normal 2 2 2 2 9 5" xfId="3670" xr:uid="{00000000-0005-0000-0000-0000A7090000}"/>
    <cellStyle name="Normal 2 2 2 2 9 5 2" xfId="10310" xr:uid="{00000000-0005-0000-0000-0000A8090000}"/>
    <cellStyle name="Normal 2 2 2 2 9 5_SSL" xfId="16898" xr:uid="{00000000-0005-0000-0000-0000A9090000}"/>
    <cellStyle name="Normal 2 2 2 2 9 6" xfId="4481" xr:uid="{00000000-0005-0000-0000-0000AA090000}"/>
    <cellStyle name="Normal 2 2 2 2 9 6 2" xfId="11120" xr:uid="{00000000-0005-0000-0000-0000AB090000}"/>
    <cellStyle name="Normal 2 2 2 2 9 6_SSL" xfId="12954" xr:uid="{00000000-0005-0000-0000-0000AC090000}"/>
    <cellStyle name="Normal 2 2 2 2 9 7" xfId="5291" xr:uid="{00000000-0005-0000-0000-0000AD090000}"/>
    <cellStyle name="Normal 2 2 2 2 9 7 2" xfId="11929" xr:uid="{00000000-0005-0000-0000-0000AE090000}"/>
    <cellStyle name="Normal 2 2 2 2 9 7_SSL" xfId="16572" xr:uid="{00000000-0005-0000-0000-0000AF090000}"/>
    <cellStyle name="Normal 2 2 2 2 9 8" xfId="7326" xr:uid="{00000000-0005-0000-0000-0000B0090000}"/>
    <cellStyle name="Normal 2 2 2 2 9 9" xfId="6208" xr:uid="{00000000-0005-0000-0000-0000B1090000}"/>
    <cellStyle name="Normal 2 2 2 2 9_SSL" xfId="14999" xr:uid="{00000000-0005-0000-0000-0000B2090000}"/>
    <cellStyle name="Normal 2 2 2 2_SSL" xfId="13748" xr:uid="{00000000-0005-0000-0000-0000B3090000}"/>
    <cellStyle name="Normal 2 2 2 3" xfId="66" xr:uid="{00000000-0005-0000-0000-0000B4090000}"/>
    <cellStyle name="Normal 2 2 2 3 10" xfId="2031" xr:uid="{00000000-0005-0000-0000-0000B5090000}"/>
    <cellStyle name="Normal 2 2 2 3 10 2" xfId="8679" xr:uid="{00000000-0005-0000-0000-0000B6090000}"/>
    <cellStyle name="Normal 2 2 2 3 10_SSL" xfId="15624" xr:uid="{00000000-0005-0000-0000-0000B7090000}"/>
    <cellStyle name="Normal 2 2 2 3 11" xfId="2850" xr:uid="{00000000-0005-0000-0000-0000B8090000}"/>
    <cellStyle name="Normal 2 2 2 3 11 2" xfId="9495" xr:uid="{00000000-0005-0000-0000-0000B9090000}"/>
    <cellStyle name="Normal 2 2 2 3 11_SSL" xfId="16357" xr:uid="{00000000-0005-0000-0000-0000BA090000}"/>
    <cellStyle name="Normal 2 2 2 3 12" xfId="3671" xr:uid="{00000000-0005-0000-0000-0000BB090000}"/>
    <cellStyle name="Normal 2 2 2 3 12 2" xfId="10311" xr:uid="{00000000-0005-0000-0000-0000BC090000}"/>
    <cellStyle name="Normal 2 2 2 3 12_SSL" xfId="13263" xr:uid="{00000000-0005-0000-0000-0000BD090000}"/>
    <cellStyle name="Normal 2 2 2 3 13" xfId="4482" xr:uid="{00000000-0005-0000-0000-0000BE090000}"/>
    <cellStyle name="Normal 2 2 2 3 13 2" xfId="11121" xr:uid="{00000000-0005-0000-0000-0000BF090000}"/>
    <cellStyle name="Normal 2 2 2 3 13_SSL" xfId="16974" xr:uid="{00000000-0005-0000-0000-0000C0090000}"/>
    <cellStyle name="Normal 2 2 2 3 14" xfId="5292" xr:uid="{00000000-0005-0000-0000-0000C1090000}"/>
    <cellStyle name="Normal 2 2 2 3 14 2" xfId="11930" xr:uid="{00000000-0005-0000-0000-0000C2090000}"/>
    <cellStyle name="Normal 2 2 2 3 14_SSL" xfId="14971" xr:uid="{00000000-0005-0000-0000-0000C3090000}"/>
    <cellStyle name="Normal 2 2 2 3 15" xfId="6951" xr:uid="{00000000-0005-0000-0000-0000C4090000}"/>
    <cellStyle name="Normal 2 2 2 3 16" xfId="6209" xr:uid="{00000000-0005-0000-0000-0000C5090000}"/>
    <cellStyle name="Normal 2 2 2 3 2" xfId="95" xr:uid="{00000000-0005-0000-0000-0000C6090000}"/>
    <cellStyle name="Normal 2 2 2 3 2 10" xfId="5293" xr:uid="{00000000-0005-0000-0000-0000C7090000}"/>
    <cellStyle name="Normal 2 2 2 3 2 10 2" xfId="11931" xr:uid="{00000000-0005-0000-0000-0000C8090000}"/>
    <cellStyle name="Normal 2 2 2 3 2 10_SSL" xfId="15325" xr:uid="{00000000-0005-0000-0000-0000C9090000}"/>
    <cellStyle name="Normal 2 2 2 3 2 11" xfId="6974" xr:uid="{00000000-0005-0000-0000-0000CA090000}"/>
    <cellStyle name="Normal 2 2 2 3 2 12" xfId="6210" xr:uid="{00000000-0005-0000-0000-0000CB090000}"/>
    <cellStyle name="Normal 2 2 2 3 2 2" xfId="193" xr:uid="{00000000-0005-0000-0000-0000CC090000}"/>
    <cellStyle name="Normal 2 2 2 3 2 2 10" xfId="7070" xr:uid="{00000000-0005-0000-0000-0000CD090000}"/>
    <cellStyle name="Normal 2 2 2 3 2 2 11" xfId="6211" xr:uid="{00000000-0005-0000-0000-0000CE090000}"/>
    <cellStyle name="Normal 2 2 2 3 2 2 2" xfId="290" xr:uid="{00000000-0005-0000-0000-0000CF090000}"/>
    <cellStyle name="Normal 2 2 2 3 2 2 2 10" xfId="6212" xr:uid="{00000000-0005-0000-0000-0000D0090000}"/>
    <cellStyle name="Normal 2 2 2 3 2 2 2 2" xfId="678" xr:uid="{00000000-0005-0000-0000-0000D1090000}"/>
    <cellStyle name="Normal 2 2 2 3 2 2 2 2 2" xfId="1215" xr:uid="{00000000-0005-0000-0000-0000D2090000}"/>
    <cellStyle name="Normal 2 2 2 3 2 2 2 2 2 2" xfId="7870" xr:uid="{00000000-0005-0000-0000-0000D3090000}"/>
    <cellStyle name="Normal 2 2 2 3 2 2 2 2 2_SSL" xfId="15215" xr:uid="{00000000-0005-0000-0000-0000D4090000}"/>
    <cellStyle name="Normal 2 2 2 3 2 2 2 2 3" xfId="2035" xr:uid="{00000000-0005-0000-0000-0000D5090000}"/>
    <cellStyle name="Normal 2 2 2 3 2 2 2 2 3 2" xfId="8683" xr:uid="{00000000-0005-0000-0000-0000D6090000}"/>
    <cellStyle name="Normal 2 2 2 3 2 2 2 2 3_SSL" xfId="17210" xr:uid="{00000000-0005-0000-0000-0000D7090000}"/>
    <cellStyle name="Normal 2 2 2 3 2 2 2 2 4" xfId="2854" xr:uid="{00000000-0005-0000-0000-0000D8090000}"/>
    <cellStyle name="Normal 2 2 2 3 2 2 2 2 4 2" xfId="9499" xr:uid="{00000000-0005-0000-0000-0000D9090000}"/>
    <cellStyle name="Normal 2 2 2 3 2 2 2 2 4_SSL" xfId="16807" xr:uid="{00000000-0005-0000-0000-0000DA090000}"/>
    <cellStyle name="Normal 2 2 2 3 2 2 2 2 5" xfId="3675" xr:uid="{00000000-0005-0000-0000-0000DB090000}"/>
    <cellStyle name="Normal 2 2 2 3 2 2 2 2 5 2" xfId="10315" xr:uid="{00000000-0005-0000-0000-0000DC090000}"/>
    <cellStyle name="Normal 2 2 2 3 2 2 2 2 5_SSL" xfId="13693" xr:uid="{00000000-0005-0000-0000-0000DD090000}"/>
    <cellStyle name="Normal 2 2 2 3 2 2 2 2 6" xfId="4486" xr:uid="{00000000-0005-0000-0000-0000DE090000}"/>
    <cellStyle name="Normal 2 2 2 3 2 2 2 2 6 2" xfId="11125" xr:uid="{00000000-0005-0000-0000-0000DF090000}"/>
    <cellStyle name="Normal 2 2 2 3 2 2 2 2 6_SSL" xfId="14899" xr:uid="{00000000-0005-0000-0000-0000E0090000}"/>
    <cellStyle name="Normal 2 2 2 3 2 2 2 2 7" xfId="5296" xr:uid="{00000000-0005-0000-0000-0000E1090000}"/>
    <cellStyle name="Normal 2 2 2 3 2 2 2 2 7 2" xfId="11934" xr:uid="{00000000-0005-0000-0000-0000E2090000}"/>
    <cellStyle name="Normal 2 2 2 3 2 2 2 2 7_SSL" xfId="13166" xr:uid="{00000000-0005-0000-0000-0000E3090000}"/>
    <cellStyle name="Normal 2 2 2 3 2 2 2 2 8" xfId="7534" xr:uid="{00000000-0005-0000-0000-0000E4090000}"/>
    <cellStyle name="Normal 2 2 2 3 2 2 2 2 9" xfId="6213" xr:uid="{00000000-0005-0000-0000-0000E5090000}"/>
    <cellStyle name="Normal 2 2 2 3 2 2 2 2_SSL" xfId="17337" xr:uid="{00000000-0005-0000-0000-0000E6090000}"/>
    <cellStyle name="Normal 2 2 2 3 2 2 2 3" xfId="1214" xr:uid="{00000000-0005-0000-0000-0000E7090000}"/>
    <cellStyle name="Normal 2 2 2 3 2 2 2 3 2" xfId="7869" xr:uid="{00000000-0005-0000-0000-0000E8090000}"/>
    <cellStyle name="Normal 2 2 2 3 2 2 2 3_SSL" xfId="13815" xr:uid="{00000000-0005-0000-0000-0000E9090000}"/>
    <cellStyle name="Normal 2 2 2 3 2 2 2 4" xfId="2034" xr:uid="{00000000-0005-0000-0000-0000EA090000}"/>
    <cellStyle name="Normal 2 2 2 3 2 2 2 4 2" xfId="8682" xr:uid="{00000000-0005-0000-0000-0000EB090000}"/>
    <cellStyle name="Normal 2 2 2 3 2 2 2 4_SSL" xfId="13521" xr:uid="{00000000-0005-0000-0000-0000EC090000}"/>
    <cellStyle name="Normal 2 2 2 3 2 2 2 5" xfId="2853" xr:uid="{00000000-0005-0000-0000-0000ED090000}"/>
    <cellStyle name="Normal 2 2 2 3 2 2 2 5 2" xfId="9498" xr:uid="{00000000-0005-0000-0000-0000EE090000}"/>
    <cellStyle name="Normal 2 2 2 3 2 2 2 5_SSL" xfId="15527" xr:uid="{00000000-0005-0000-0000-0000EF090000}"/>
    <cellStyle name="Normal 2 2 2 3 2 2 2 6" xfId="3674" xr:uid="{00000000-0005-0000-0000-0000F0090000}"/>
    <cellStyle name="Normal 2 2 2 3 2 2 2 6 2" xfId="10314" xr:uid="{00000000-0005-0000-0000-0000F1090000}"/>
    <cellStyle name="Normal 2 2 2 3 2 2 2 6_SSL" xfId="16659" xr:uid="{00000000-0005-0000-0000-0000F2090000}"/>
    <cellStyle name="Normal 2 2 2 3 2 2 2 7" xfId="4485" xr:uid="{00000000-0005-0000-0000-0000F3090000}"/>
    <cellStyle name="Normal 2 2 2 3 2 2 2 7 2" xfId="11124" xr:uid="{00000000-0005-0000-0000-0000F4090000}"/>
    <cellStyle name="Normal 2 2 2 3 2 2 2 7_SSL" xfId="15391" xr:uid="{00000000-0005-0000-0000-0000F5090000}"/>
    <cellStyle name="Normal 2 2 2 3 2 2 2 8" xfId="5295" xr:uid="{00000000-0005-0000-0000-0000F6090000}"/>
    <cellStyle name="Normal 2 2 2 3 2 2 2 8 2" xfId="11933" xr:uid="{00000000-0005-0000-0000-0000F7090000}"/>
    <cellStyle name="Normal 2 2 2 3 2 2 2 8_SSL" xfId="13659" xr:uid="{00000000-0005-0000-0000-0000F8090000}"/>
    <cellStyle name="Normal 2 2 2 3 2 2 2 9" xfId="7150" xr:uid="{00000000-0005-0000-0000-0000F9090000}"/>
    <cellStyle name="Normal 2 2 2 3 2 2 2_SSL" xfId="16411" xr:uid="{00000000-0005-0000-0000-0000FA090000}"/>
    <cellStyle name="Normal 2 2 2 3 2 2 3" xfId="598" xr:uid="{00000000-0005-0000-0000-0000FB090000}"/>
    <cellStyle name="Normal 2 2 2 3 2 2 3 2" xfId="1216" xr:uid="{00000000-0005-0000-0000-0000FC090000}"/>
    <cellStyle name="Normal 2 2 2 3 2 2 3 2 2" xfId="7871" xr:uid="{00000000-0005-0000-0000-0000FD090000}"/>
    <cellStyle name="Normal 2 2 2 3 2 2 3 2_SSL" xfId="13787" xr:uid="{00000000-0005-0000-0000-0000FE090000}"/>
    <cellStyle name="Normal 2 2 2 3 2 2 3 3" xfId="2036" xr:uid="{00000000-0005-0000-0000-0000FF090000}"/>
    <cellStyle name="Normal 2 2 2 3 2 2 3 3 2" xfId="8684" xr:uid="{00000000-0005-0000-0000-0000000A0000}"/>
    <cellStyle name="Normal 2 2 2 3 2 2 3 3_SSL" xfId="15369" xr:uid="{00000000-0005-0000-0000-0000010A0000}"/>
    <cellStyle name="Normal 2 2 2 3 2 2 3 4" xfId="2855" xr:uid="{00000000-0005-0000-0000-0000020A0000}"/>
    <cellStyle name="Normal 2 2 2 3 2 2 3 4 2" xfId="9500" xr:uid="{00000000-0005-0000-0000-0000030A0000}"/>
    <cellStyle name="Normal 2 2 2 3 2 2 3 4_SSL" xfId="6045" xr:uid="{00000000-0005-0000-0000-0000040A0000}"/>
    <cellStyle name="Normal 2 2 2 3 2 2 3 5" xfId="3676" xr:uid="{00000000-0005-0000-0000-0000050A0000}"/>
    <cellStyle name="Normal 2 2 2 3 2 2 3 5 2" xfId="10316" xr:uid="{00000000-0005-0000-0000-0000060A0000}"/>
    <cellStyle name="Normal 2 2 2 3 2 2 3 5_SSL" xfId="14450" xr:uid="{00000000-0005-0000-0000-0000070A0000}"/>
    <cellStyle name="Normal 2 2 2 3 2 2 3 6" xfId="4487" xr:uid="{00000000-0005-0000-0000-0000080A0000}"/>
    <cellStyle name="Normal 2 2 2 3 2 2 3 6 2" xfId="11126" xr:uid="{00000000-0005-0000-0000-0000090A0000}"/>
    <cellStyle name="Normal 2 2 2 3 2 2 3 6_SSL" xfId="15665" xr:uid="{00000000-0005-0000-0000-00000A0A0000}"/>
    <cellStyle name="Normal 2 2 2 3 2 2 3 7" xfId="5297" xr:uid="{00000000-0005-0000-0000-00000B0A0000}"/>
    <cellStyle name="Normal 2 2 2 3 2 2 3 7 2" xfId="11935" xr:uid="{00000000-0005-0000-0000-00000C0A0000}"/>
    <cellStyle name="Normal 2 2 2 3 2 2 3 7_SSL" xfId="12999" xr:uid="{00000000-0005-0000-0000-00000D0A0000}"/>
    <cellStyle name="Normal 2 2 2 3 2 2 3 8" xfId="7454" xr:uid="{00000000-0005-0000-0000-00000E0A0000}"/>
    <cellStyle name="Normal 2 2 2 3 2 2 3 9" xfId="6214" xr:uid="{00000000-0005-0000-0000-00000F0A0000}"/>
    <cellStyle name="Normal 2 2 2 3 2 2 3_SSL" xfId="15416" xr:uid="{00000000-0005-0000-0000-0000100A0000}"/>
    <cellStyle name="Normal 2 2 2 3 2 2 4" xfId="1213" xr:uid="{00000000-0005-0000-0000-0000110A0000}"/>
    <cellStyle name="Normal 2 2 2 3 2 2 4 2" xfId="7868" xr:uid="{00000000-0005-0000-0000-0000120A0000}"/>
    <cellStyle name="Normal 2 2 2 3 2 2 4_SSL" xfId="12776" xr:uid="{00000000-0005-0000-0000-0000130A0000}"/>
    <cellStyle name="Normal 2 2 2 3 2 2 5" xfId="2033" xr:uid="{00000000-0005-0000-0000-0000140A0000}"/>
    <cellStyle name="Normal 2 2 2 3 2 2 5 2" xfId="8681" xr:uid="{00000000-0005-0000-0000-0000150A0000}"/>
    <cellStyle name="Normal 2 2 2 3 2 2 5_SSL" xfId="6709" xr:uid="{00000000-0005-0000-0000-0000160A0000}"/>
    <cellStyle name="Normal 2 2 2 3 2 2 6" xfId="2852" xr:uid="{00000000-0005-0000-0000-0000170A0000}"/>
    <cellStyle name="Normal 2 2 2 3 2 2 6 2" xfId="9497" xr:uid="{00000000-0005-0000-0000-0000180A0000}"/>
    <cellStyle name="Normal 2 2 2 3 2 2 6_SSL" xfId="13909" xr:uid="{00000000-0005-0000-0000-0000190A0000}"/>
    <cellStyle name="Normal 2 2 2 3 2 2 7" xfId="3673" xr:uid="{00000000-0005-0000-0000-00001A0A0000}"/>
    <cellStyle name="Normal 2 2 2 3 2 2 7 2" xfId="10313" xr:uid="{00000000-0005-0000-0000-00001B0A0000}"/>
    <cellStyle name="Normal 2 2 2 3 2 2 7_SSL" xfId="13238" xr:uid="{00000000-0005-0000-0000-00001C0A0000}"/>
    <cellStyle name="Normal 2 2 2 3 2 2 8" xfId="4484" xr:uid="{00000000-0005-0000-0000-00001D0A0000}"/>
    <cellStyle name="Normal 2 2 2 3 2 2 8 2" xfId="11123" xr:uid="{00000000-0005-0000-0000-00001E0A0000}"/>
    <cellStyle name="Normal 2 2 2 3 2 2 8_SSL" xfId="13594" xr:uid="{00000000-0005-0000-0000-00001F0A0000}"/>
    <cellStyle name="Normal 2 2 2 3 2 2 9" xfId="5294" xr:uid="{00000000-0005-0000-0000-0000200A0000}"/>
    <cellStyle name="Normal 2 2 2 3 2 2 9 2" xfId="11932" xr:uid="{00000000-0005-0000-0000-0000210A0000}"/>
    <cellStyle name="Normal 2 2 2 3 2 2 9_SSL" xfId="16471" xr:uid="{00000000-0005-0000-0000-0000220A0000}"/>
    <cellStyle name="Normal 2 2 2 3 2 2_SSL" xfId="14891" xr:uid="{00000000-0005-0000-0000-0000230A0000}"/>
    <cellStyle name="Normal 2 2 2 3 2 3" xfId="289" xr:uid="{00000000-0005-0000-0000-0000240A0000}"/>
    <cellStyle name="Normal 2 2 2 3 2 3 10" xfId="6215" xr:uid="{00000000-0005-0000-0000-0000250A0000}"/>
    <cellStyle name="Normal 2 2 2 3 2 3 2" xfId="677" xr:uid="{00000000-0005-0000-0000-0000260A0000}"/>
    <cellStyle name="Normal 2 2 2 3 2 3 2 2" xfId="1218" xr:uid="{00000000-0005-0000-0000-0000270A0000}"/>
    <cellStyle name="Normal 2 2 2 3 2 3 2 2 2" xfId="7873" xr:uid="{00000000-0005-0000-0000-0000280A0000}"/>
    <cellStyle name="Normal 2 2 2 3 2 3 2 2_SSL" xfId="13306" xr:uid="{00000000-0005-0000-0000-0000290A0000}"/>
    <cellStyle name="Normal 2 2 2 3 2 3 2 3" xfId="2038" xr:uid="{00000000-0005-0000-0000-00002A0A0000}"/>
    <cellStyle name="Normal 2 2 2 3 2 3 2 3 2" xfId="8686" xr:uid="{00000000-0005-0000-0000-00002B0A0000}"/>
    <cellStyle name="Normal 2 2 2 3 2 3 2 3_SSL" xfId="15798" xr:uid="{00000000-0005-0000-0000-00002C0A0000}"/>
    <cellStyle name="Normal 2 2 2 3 2 3 2 4" xfId="2857" xr:uid="{00000000-0005-0000-0000-00002D0A0000}"/>
    <cellStyle name="Normal 2 2 2 3 2 3 2 4 2" xfId="9502" xr:uid="{00000000-0005-0000-0000-00002E0A0000}"/>
    <cellStyle name="Normal 2 2 2 3 2 3 2 4_SSL" xfId="14297" xr:uid="{00000000-0005-0000-0000-00002F0A0000}"/>
    <cellStyle name="Normal 2 2 2 3 2 3 2 5" xfId="3678" xr:uid="{00000000-0005-0000-0000-0000300A0000}"/>
    <cellStyle name="Normal 2 2 2 3 2 3 2 5 2" xfId="10318" xr:uid="{00000000-0005-0000-0000-0000310A0000}"/>
    <cellStyle name="Normal 2 2 2 3 2 3 2 5_SSL" xfId="16264" xr:uid="{00000000-0005-0000-0000-0000320A0000}"/>
    <cellStyle name="Normal 2 2 2 3 2 3 2 6" xfId="4489" xr:uid="{00000000-0005-0000-0000-0000330A0000}"/>
    <cellStyle name="Normal 2 2 2 3 2 3 2 6 2" xfId="11128" xr:uid="{00000000-0005-0000-0000-0000340A0000}"/>
    <cellStyle name="Normal 2 2 2 3 2 3 2 6_SSL" xfId="16752" xr:uid="{00000000-0005-0000-0000-0000350A0000}"/>
    <cellStyle name="Normal 2 2 2 3 2 3 2 7" xfId="5299" xr:uid="{00000000-0005-0000-0000-0000360A0000}"/>
    <cellStyle name="Normal 2 2 2 3 2 3 2 7 2" xfId="11937" xr:uid="{00000000-0005-0000-0000-0000370A0000}"/>
    <cellStyle name="Normal 2 2 2 3 2 3 2 7_SSL" xfId="17361" xr:uid="{00000000-0005-0000-0000-0000380A0000}"/>
    <cellStyle name="Normal 2 2 2 3 2 3 2 8" xfId="7533" xr:uid="{00000000-0005-0000-0000-0000390A0000}"/>
    <cellStyle name="Normal 2 2 2 3 2 3 2 9" xfId="6216" xr:uid="{00000000-0005-0000-0000-00003A0A0000}"/>
    <cellStyle name="Normal 2 2 2 3 2 3 2_SSL" xfId="17743" xr:uid="{00000000-0005-0000-0000-00003B0A0000}"/>
    <cellStyle name="Normal 2 2 2 3 2 3 3" xfId="1217" xr:uid="{00000000-0005-0000-0000-00003C0A0000}"/>
    <cellStyle name="Normal 2 2 2 3 2 3 3 2" xfId="7872" xr:uid="{00000000-0005-0000-0000-00003D0A0000}"/>
    <cellStyle name="Normal 2 2 2 3 2 3 3_SSL" xfId="6922" xr:uid="{00000000-0005-0000-0000-00003E0A0000}"/>
    <cellStyle name="Normal 2 2 2 3 2 3 4" xfId="2037" xr:uid="{00000000-0005-0000-0000-00003F0A0000}"/>
    <cellStyle name="Normal 2 2 2 3 2 3 4 2" xfId="8685" xr:uid="{00000000-0005-0000-0000-0000400A0000}"/>
    <cellStyle name="Normal 2 2 2 3 2 3 4_SSL" xfId="13851" xr:uid="{00000000-0005-0000-0000-0000410A0000}"/>
    <cellStyle name="Normal 2 2 2 3 2 3 5" xfId="2856" xr:uid="{00000000-0005-0000-0000-0000420A0000}"/>
    <cellStyle name="Normal 2 2 2 3 2 3 5 2" xfId="9501" xr:uid="{00000000-0005-0000-0000-0000430A0000}"/>
    <cellStyle name="Normal 2 2 2 3 2 3 5_SSL" xfId="17955" xr:uid="{00000000-0005-0000-0000-0000440A0000}"/>
    <cellStyle name="Normal 2 2 2 3 2 3 6" xfId="3677" xr:uid="{00000000-0005-0000-0000-0000450A0000}"/>
    <cellStyle name="Normal 2 2 2 3 2 3 6 2" xfId="10317" xr:uid="{00000000-0005-0000-0000-0000460A0000}"/>
    <cellStyle name="Normal 2 2 2 3 2 3 6_SSL" xfId="16996" xr:uid="{00000000-0005-0000-0000-0000470A0000}"/>
    <cellStyle name="Normal 2 2 2 3 2 3 7" xfId="4488" xr:uid="{00000000-0005-0000-0000-0000480A0000}"/>
    <cellStyle name="Normal 2 2 2 3 2 3 7 2" xfId="11127" xr:uid="{00000000-0005-0000-0000-0000490A0000}"/>
    <cellStyle name="Normal 2 2 2 3 2 3 7_SSL" xfId="16740" xr:uid="{00000000-0005-0000-0000-00004A0A0000}"/>
    <cellStyle name="Normal 2 2 2 3 2 3 8" xfId="5298" xr:uid="{00000000-0005-0000-0000-00004B0A0000}"/>
    <cellStyle name="Normal 2 2 2 3 2 3 8 2" xfId="11936" xr:uid="{00000000-0005-0000-0000-00004C0A0000}"/>
    <cellStyle name="Normal 2 2 2 3 2 3 8_SSL" xfId="16275" xr:uid="{00000000-0005-0000-0000-00004D0A0000}"/>
    <cellStyle name="Normal 2 2 2 3 2 3 9" xfId="7149" xr:uid="{00000000-0005-0000-0000-00004E0A0000}"/>
    <cellStyle name="Normal 2 2 2 3 2 3_SSL" xfId="14140" xr:uid="{00000000-0005-0000-0000-00004F0A0000}"/>
    <cellStyle name="Normal 2 2 2 3 2 4" xfId="502" xr:uid="{00000000-0005-0000-0000-0000500A0000}"/>
    <cellStyle name="Normal 2 2 2 3 2 4 2" xfId="1219" xr:uid="{00000000-0005-0000-0000-0000510A0000}"/>
    <cellStyle name="Normal 2 2 2 3 2 4 2 2" xfId="7874" xr:uid="{00000000-0005-0000-0000-0000520A0000}"/>
    <cellStyle name="Normal 2 2 2 3 2 4 2_SSL" xfId="16846" xr:uid="{00000000-0005-0000-0000-0000530A0000}"/>
    <cellStyle name="Normal 2 2 2 3 2 4 3" xfId="2039" xr:uid="{00000000-0005-0000-0000-0000540A0000}"/>
    <cellStyle name="Normal 2 2 2 3 2 4 3 2" xfId="8687" xr:uid="{00000000-0005-0000-0000-0000550A0000}"/>
    <cellStyle name="Normal 2 2 2 3 2 4 3_SSL" xfId="16592" xr:uid="{00000000-0005-0000-0000-0000560A0000}"/>
    <cellStyle name="Normal 2 2 2 3 2 4 4" xfId="2858" xr:uid="{00000000-0005-0000-0000-0000570A0000}"/>
    <cellStyle name="Normal 2 2 2 3 2 4 4 2" xfId="9503" xr:uid="{00000000-0005-0000-0000-0000580A0000}"/>
    <cellStyle name="Normal 2 2 2 3 2 4 4_SSL" xfId="13671" xr:uid="{00000000-0005-0000-0000-0000590A0000}"/>
    <cellStyle name="Normal 2 2 2 3 2 4 5" xfId="3679" xr:uid="{00000000-0005-0000-0000-00005A0A0000}"/>
    <cellStyle name="Normal 2 2 2 3 2 4 5 2" xfId="10319" xr:uid="{00000000-0005-0000-0000-00005B0A0000}"/>
    <cellStyle name="Normal 2 2 2 3 2 4 5_SSL" xfId="17171" xr:uid="{00000000-0005-0000-0000-00005C0A0000}"/>
    <cellStyle name="Normal 2 2 2 3 2 4 6" xfId="4490" xr:uid="{00000000-0005-0000-0000-00005D0A0000}"/>
    <cellStyle name="Normal 2 2 2 3 2 4 6 2" xfId="11129" xr:uid="{00000000-0005-0000-0000-00005E0A0000}"/>
    <cellStyle name="Normal 2 2 2 3 2 4 6_SSL" xfId="14189" xr:uid="{00000000-0005-0000-0000-00005F0A0000}"/>
    <cellStyle name="Normal 2 2 2 3 2 4 7" xfId="5300" xr:uid="{00000000-0005-0000-0000-0000600A0000}"/>
    <cellStyle name="Normal 2 2 2 3 2 4 7 2" xfId="11938" xr:uid="{00000000-0005-0000-0000-0000610A0000}"/>
    <cellStyle name="Normal 2 2 2 3 2 4 7_SSL" xfId="17230" xr:uid="{00000000-0005-0000-0000-0000620A0000}"/>
    <cellStyle name="Normal 2 2 2 3 2 4 8" xfId="7358" xr:uid="{00000000-0005-0000-0000-0000630A0000}"/>
    <cellStyle name="Normal 2 2 2 3 2 4 9" xfId="6217" xr:uid="{00000000-0005-0000-0000-0000640A0000}"/>
    <cellStyle name="Normal 2 2 2 3 2 4_SSL" xfId="16539" xr:uid="{00000000-0005-0000-0000-0000650A0000}"/>
    <cellStyle name="Normal 2 2 2 3 2 5" xfId="1212" xr:uid="{00000000-0005-0000-0000-0000660A0000}"/>
    <cellStyle name="Normal 2 2 2 3 2 5 2" xfId="7867" xr:uid="{00000000-0005-0000-0000-0000670A0000}"/>
    <cellStyle name="Normal 2 2 2 3 2 5_SSL" xfId="14662" xr:uid="{00000000-0005-0000-0000-0000680A0000}"/>
    <cellStyle name="Normal 2 2 2 3 2 6" xfId="2032" xr:uid="{00000000-0005-0000-0000-0000690A0000}"/>
    <cellStyle name="Normal 2 2 2 3 2 6 2" xfId="8680" xr:uid="{00000000-0005-0000-0000-00006A0A0000}"/>
    <cellStyle name="Normal 2 2 2 3 2 6_SSL" xfId="14352" xr:uid="{00000000-0005-0000-0000-00006B0A0000}"/>
    <cellStyle name="Normal 2 2 2 3 2 7" xfId="2851" xr:uid="{00000000-0005-0000-0000-00006C0A0000}"/>
    <cellStyle name="Normal 2 2 2 3 2 7 2" xfId="9496" xr:uid="{00000000-0005-0000-0000-00006D0A0000}"/>
    <cellStyle name="Normal 2 2 2 3 2 7_SSL" xfId="16852" xr:uid="{00000000-0005-0000-0000-00006E0A0000}"/>
    <cellStyle name="Normal 2 2 2 3 2 8" xfId="3672" xr:uid="{00000000-0005-0000-0000-00006F0A0000}"/>
    <cellStyle name="Normal 2 2 2 3 2 8 2" xfId="10312" xr:uid="{00000000-0005-0000-0000-0000700A0000}"/>
    <cellStyle name="Normal 2 2 2 3 2 8_SSL" xfId="17840" xr:uid="{00000000-0005-0000-0000-0000710A0000}"/>
    <cellStyle name="Normal 2 2 2 3 2 9" xfId="4483" xr:uid="{00000000-0005-0000-0000-0000720A0000}"/>
    <cellStyle name="Normal 2 2 2 3 2 9 2" xfId="11122" xr:uid="{00000000-0005-0000-0000-0000730A0000}"/>
    <cellStyle name="Normal 2 2 2 3 2 9_SSL" xfId="15546" xr:uid="{00000000-0005-0000-0000-0000740A0000}"/>
    <cellStyle name="Normal 2 2 2 3 2_SSL" xfId="15601" xr:uid="{00000000-0005-0000-0000-0000750A0000}"/>
    <cellStyle name="Normal 2 2 2 3 3" xfId="120" xr:uid="{00000000-0005-0000-0000-0000760A0000}"/>
    <cellStyle name="Normal 2 2 2 3 3 10" xfId="5301" xr:uid="{00000000-0005-0000-0000-0000770A0000}"/>
    <cellStyle name="Normal 2 2 2 3 3 10 2" xfId="11939" xr:uid="{00000000-0005-0000-0000-0000780A0000}"/>
    <cellStyle name="Normal 2 2 2 3 3 10_SSL" xfId="16104" xr:uid="{00000000-0005-0000-0000-0000790A0000}"/>
    <cellStyle name="Normal 2 2 2 3 3 11" xfId="6997" xr:uid="{00000000-0005-0000-0000-00007A0A0000}"/>
    <cellStyle name="Normal 2 2 2 3 3 12" xfId="6218" xr:uid="{00000000-0005-0000-0000-00007B0A0000}"/>
    <cellStyle name="Normal 2 2 2 3 3 2" xfId="216" xr:uid="{00000000-0005-0000-0000-00007C0A0000}"/>
    <cellStyle name="Normal 2 2 2 3 3 2 10" xfId="7093" xr:uid="{00000000-0005-0000-0000-00007D0A0000}"/>
    <cellStyle name="Normal 2 2 2 3 3 2 11" xfId="6219" xr:uid="{00000000-0005-0000-0000-00007E0A0000}"/>
    <cellStyle name="Normal 2 2 2 3 3 2 2" xfId="292" xr:uid="{00000000-0005-0000-0000-00007F0A0000}"/>
    <cellStyle name="Normal 2 2 2 3 3 2 2 10" xfId="6220" xr:uid="{00000000-0005-0000-0000-0000800A0000}"/>
    <cellStyle name="Normal 2 2 2 3 3 2 2 2" xfId="680" xr:uid="{00000000-0005-0000-0000-0000810A0000}"/>
    <cellStyle name="Normal 2 2 2 3 3 2 2 2 2" xfId="1223" xr:uid="{00000000-0005-0000-0000-0000820A0000}"/>
    <cellStyle name="Normal 2 2 2 3 3 2 2 2 2 2" xfId="7878" xr:uid="{00000000-0005-0000-0000-0000830A0000}"/>
    <cellStyle name="Normal 2 2 2 3 3 2 2 2 2_SSL" xfId="17838" xr:uid="{00000000-0005-0000-0000-0000840A0000}"/>
    <cellStyle name="Normal 2 2 2 3 3 2 2 2 3" xfId="2043" xr:uid="{00000000-0005-0000-0000-0000850A0000}"/>
    <cellStyle name="Normal 2 2 2 3 3 2 2 2 3 2" xfId="8691" xr:uid="{00000000-0005-0000-0000-0000860A0000}"/>
    <cellStyle name="Normal 2 2 2 3 3 2 2 2 3_SSL" xfId="12931" xr:uid="{00000000-0005-0000-0000-0000870A0000}"/>
    <cellStyle name="Normal 2 2 2 3 3 2 2 2 4" xfId="2862" xr:uid="{00000000-0005-0000-0000-0000880A0000}"/>
    <cellStyle name="Normal 2 2 2 3 3 2 2 2 4 2" xfId="9507" xr:uid="{00000000-0005-0000-0000-0000890A0000}"/>
    <cellStyle name="Normal 2 2 2 3 3 2 2 2 4_SSL" xfId="15957" xr:uid="{00000000-0005-0000-0000-00008A0A0000}"/>
    <cellStyle name="Normal 2 2 2 3 3 2 2 2 5" xfId="3683" xr:uid="{00000000-0005-0000-0000-00008B0A0000}"/>
    <cellStyle name="Normal 2 2 2 3 3 2 2 2 5 2" xfId="10323" xr:uid="{00000000-0005-0000-0000-00008C0A0000}"/>
    <cellStyle name="Normal 2 2 2 3 3 2 2 2 5_SSL" xfId="12821" xr:uid="{00000000-0005-0000-0000-00008D0A0000}"/>
    <cellStyle name="Normal 2 2 2 3 3 2 2 2 6" xfId="4494" xr:uid="{00000000-0005-0000-0000-00008E0A0000}"/>
    <cellStyle name="Normal 2 2 2 3 3 2 2 2 6 2" xfId="11133" xr:uid="{00000000-0005-0000-0000-00008F0A0000}"/>
    <cellStyle name="Normal 2 2 2 3 3 2 2 2 6_SSL" xfId="16334" xr:uid="{00000000-0005-0000-0000-0000900A0000}"/>
    <cellStyle name="Normal 2 2 2 3 3 2 2 2 7" xfId="5304" xr:uid="{00000000-0005-0000-0000-0000910A0000}"/>
    <cellStyle name="Normal 2 2 2 3 3 2 2 2 7 2" xfId="11942" xr:uid="{00000000-0005-0000-0000-0000920A0000}"/>
    <cellStyle name="Normal 2 2 2 3 3 2 2 2 7_SSL" xfId="14803" xr:uid="{00000000-0005-0000-0000-0000930A0000}"/>
    <cellStyle name="Normal 2 2 2 3 3 2 2 2 8" xfId="7536" xr:uid="{00000000-0005-0000-0000-0000940A0000}"/>
    <cellStyle name="Normal 2 2 2 3 3 2 2 2 9" xfId="6221" xr:uid="{00000000-0005-0000-0000-0000950A0000}"/>
    <cellStyle name="Normal 2 2 2 3 3 2 2 2_SSL" xfId="16377" xr:uid="{00000000-0005-0000-0000-0000960A0000}"/>
    <cellStyle name="Normal 2 2 2 3 3 2 2 3" xfId="1222" xr:uid="{00000000-0005-0000-0000-0000970A0000}"/>
    <cellStyle name="Normal 2 2 2 3 3 2 2 3 2" xfId="7877" xr:uid="{00000000-0005-0000-0000-0000980A0000}"/>
    <cellStyle name="Normal 2 2 2 3 3 2 2 3_SSL" xfId="16122" xr:uid="{00000000-0005-0000-0000-0000990A0000}"/>
    <cellStyle name="Normal 2 2 2 3 3 2 2 4" xfId="2042" xr:uid="{00000000-0005-0000-0000-00009A0A0000}"/>
    <cellStyle name="Normal 2 2 2 3 3 2 2 4 2" xfId="8690" xr:uid="{00000000-0005-0000-0000-00009B0A0000}"/>
    <cellStyle name="Normal 2 2 2 3 3 2 2 4_SSL" xfId="12908" xr:uid="{00000000-0005-0000-0000-00009C0A0000}"/>
    <cellStyle name="Normal 2 2 2 3 3 2 2 5" xfId="2861" xr:uid="{00000000-0005-0000-0000-00009D0A0000}"/>
    <cellStyle name="Normal 2 2 2 3 3 2 2 5 2" xfId="9506" xr:uid="{00000000-0005-0000-0000-00009E0A0000}"/>
    <cellStyle name="Normal 2 2 2 3 3 2 2 5_SSL" xfId="14459" xr:uid="{00000000-0005-0000-0000-00009F0A0000}"/>
    <cellStyle name="Normal 2 2 2 3 3 2 2 6" xfId="3682" xr:uid="{00000000-0005-0000-0000-0000A00A0000}"/>
    <cellStyle name="Normal 2 2 2 3 3 2 2 6 2" xfId="10322" xr:uid="{00000000-0005-0000-0000-0000A10A0000}"/>
    <cellStyle name="Normal 2 2 2 3 3 2 2 6_SSL" xfId="16858" xr:uid="{00000000-0005-0000-0000-0000A20A0000}"/>
    <cellStyle name="Normal 2 2 2 3 3 2 2 7" xfId="4493" xr:uid="{00000000-0005-0000-0000-0000A30A0000}"/>
    <cellStyle name="Normal 2 2 2 3 3 2 2 7 2" xfId="11132" xr:uid="{00000000-0005-0000-0000-0000A40A0000}"/>
    <cellStyle name="Normal 2 2 2 3 3 2 2 7_SSL" xfId="14298" xr:uid="{00000000-0005-0000-0000-0000A50A0000}"/>
    <cellStyle name="Normal 2 2 2 3 3 2 2 8" xfId="5303" xr:uid="{00000000-0005-0000-0000-0000A60A0000}"/>
    <cellStyle name="Normal 2 2 2 3 3 2 2 8 2" xfId="11941" xr:uid="{00000000-0005-0000-0000-0000A70A0000}"/>
    <cellStyle name="Normal 2 2 2 3 3 2 2 8_SSL" xfId="13735" xr:uid="{00000000-0005-0000-0000-0000A80A0000}"/>
    <cellStyle name="Normal 2 2 2 3 3 2 2 9" xfId="7152" xr:uid="{00000000-0005-0000-0000-0000A90A0000}"/>
    <cellStyle name="Normal 2 2 2 3 3 2 2_SSL" xfId="18016" xr:uid="{00000000-0005-0000-0000-0000AA0A0000}"/>
    <cellStyle name="Normal 2 2 2 3 3 2 3" xfId="621" xr:uid="{00000000-0005-0000-0000-0000AB0A0000}"/>
    <cellStyle name="Normal 2 2 2 3 3 2 3 2" xfId="1224" xr:uid="{00000000-0005-0000-0000-0000AC0A0000}"/>
    <cellStyle name="Normal 2 2 2 3 3 2 3 2 2" xfId="7879" xr:uid="{00000000-0005-0000-0000-0000AD0A0000}"/>
    <cellStyle name="Normal 2 2 2 3 3 2 3 2_SSL" xfId="16707" xr:uid="{00000000-0005-0000-0000-0000AE0A0000}"/>
    <cellStyle name="Normal 2 2 2 3 3 2 3 3" xfId="2044" xr:uid="{00000000-0005-0000-0000-0000AF0A0000}"/>
    <cellStyle name="Normal 2 2 2 3 3 2 3 3 2" xfId="8692" xr:uid="{00000000-0005-0000-0000-0000B00A0000}"/>
    <cellStyle name="Normal 2 2 2 3 3 2 3 3_SSL" xfId="15127" xr:uid="{00000000-0005-0000-0000-0000B10A0000}"/>
    <cellStyle name="Normal 2 2 2 3 3 2 3 4" xfId="2863" xr:uid="{00000000-0005-0000-0000-0000B20A0000}"/>
    <cellStyle name="Normal 2 2 2 3 3 2 3 4 2" xfId="9508" xr:uid="{00000000-0005-0000-0000-0000B30A0000}"/>
    <cellStyle name="Normal 2 2 2 3 3 2 3 4_SSL" xfId="17146" xr:uid="{00000000-0005-0000-0000-0000B40A0000}"/>
    <cellStyle name="Normal 2 2 2 3 3 2 3 5" xfId="3684" xr:uid="{00000000-0005-0000-0000-0000B50A0000}"/>
    <cellStyle name="Normal 2 2 2 3 3 2 3 5 2" xfId="10324" xr:uid="{00000000-0005-0000-0000-0000B60A0000}"/>
    <cellStyle name="Normal 2 2 2 3 3 2 3 5_SSL" xfId="16993" xr:uid="{00000000-0005-0000-0000-0000B70A0000}"/>
    <cellStyle name="Normal 2 2 2 3 3 2 3 6" xfId="4495" xr:uid="{00000000-0005-0000-0000-0000B80A0000}"/>
    <cellStyle name="Normal 2 2 2 3 3 2 3 6 2" xfId="11134" xr:uid="{00000000-0005-0000-0000-0000B90A0000}"/>
    <cellStyle name="Normal 2 2 2 3 3 2 3 6_SSL" xfId="17999" xr:uid="{00000000-0005-0000-0000-0000BA0A0000}"/>
    <cellStyle name="Normal 2 2 2 3 3 2 3 7" xfId="5305" xr:uid="{00000000-0005-0000-0000-0000BB0A0000}"/>
    <cellStyle name="Normal 2 2 2 3 3 2 3 7 2" xfId="11943" xr:uid="{00000000-0005-0000-0000-0000BC0A0000}"/>
    <cellStyle name="Normal 2 2 2 3 3 2 3 7_SSL" xfId="14713" xr:uid="{00000000-0005-0000-0000-0000BD0A0000}"/>
    <cellStyle name="Normal 2 2 2 3 3 2 3 8" xfId="7477" xr:uid="{00000000-0005-0000-0000-0000BE0A0000}"/>
    <cellStyle name="Normal 2 2 2 3 3 2 3 9" xfId="6222" xr:uid="{00000000-0005-0000-0000-0000BF0A0000}"/>
    <cellStyle name="Normal 2 2 2 3 3 2 3_SSL" xfId="16102" xr:uid="{00000000-0005-0000-0000-0000C00A0000}"/>
    <cellStyle name="Normal 2 2 2 3 3 2 4" xfId="1221" xr:uid="{00000000-0005-0000-0000-0000C10A0000}"/>
    <cellStyle name="Normal 2 2 2 3 3 2 4 2" xfId="7876" xr:uid="{00000000-0005-0000-0000-0000C20A0000}"/>
    <cellStyle name="Normal 2 2 2 3 3 2 4_SSL" xfId="14388" xr:uid="{00000000-0005-0000-0000-0000C30A0000}"/>
    <cellStyle name="Normal 2 2 2 3 3 2 5" xfId="2041" xr:uid="{00000000-0005-0000-0000-0000C40A0000}"/>
    <cellStyle name="Normal 2 2 2 3 3 2 5 2" xfId="8689" xr:uid="{00000000-0005-0000-0000-0000C50A0000}"/>
    <cellStyle name="Normal 2 2 2 3 3 2 5_SSL" xfId="16983" xr:uid="{00000000-0005-0000-0000-0000C60A0000}"/>
    <cellStyle name="Normal 2 2 2 3 3 2 6" xfId="2860" xr:uid="{00000000-0005-0000-0000-0000C70A0000}"/>
    <cellStyle name="Normal 2 2 2 3 3 2 6 2" xfId="9505" xr:uid="{00000000-0005-0000-0000-0000C80A0000}"/>
    <cellStyle name="Normal 2 2 2 3 3 2 6_SSL" xfId="13353" xr:uid="{00000000-0005-0000-0000-0000C90A0000}"/>
    <cellStyle name="Normal 2 2 2 3 3 2 7" xfId="3681" xr:uid="{00000000-0005-0000-0000-0000CA0A0000}"/>
    <cellStyle name="Normal 2 2 2 3 3 2 7 2" xfId="10321" xr:uid="{00000000-0005-0000-0000-0000CB0A0000}"/>
    <cellStyle name="Normal 2 2 2 3 3 2 7_SSL" xfId="16546" xr:uid="{00000000-0005-0000-0000-0000CC0A0000}"/>
    <cellStyle name="Normal 2 2 2 3 3 2 8" xfId="4492" xr:uid="{00000000-0005-0000-0000-0000CD0A0000}"/>
    <cellStyle name="Normal 2 2 2 3 3 2 8 2" xfId="11131" xr:uid="{00000000-0005-0000-0000-0000CE0A0000}"/>
    <cellStyle name="Normal 2 2 2 3 3 2 8_SSL" xfId="15642" xr:uid="{00000000-0005-0000-0000-0000CF0A0000}"/>
    <cellStyle name="Normal 2 2 2 3 3 2 9" xfId="5302" xr:uid="{00000000-0005-0000-0000-0000D00A0000}"/>
    <cellStyle name="Normal 2 2 2 3 3 2 9 2" xfId="11940" xr:uid="{00000000-0005-0000-0000-0000D10A0000}"/>
    <cellStyle name="Normal 2 2 2 3 3 2 9_SSL" xfId="14526" xr:uid="{00000000-0005-0000-0000-0000D20A0000}"/>
    <cellStyle name="Normal 2 2 2 3 3 2_SSL" xfId="14083" xr:uid="{00000000-0005-0000-0000-0000D30A0000}"/>
    <cellStyle name="Normal 2 2 2 3 3 3" xfId="291" xr:uid="{00000000-0005-0000-0000-0000D40A0000}"/>
    <cellStyle name="Normal 2 2 2 3 3 3 10" xfId="6223" xr:uid="{00000000-0005-0000-0000-0000D50A0000}"/>
    <cellStyle name="Normal 2 2 2 3 3 3 2" xfId="679" xr:uid="{00000000-0005-0000-0000-0000D60A0000}"/>
    <cellStyle name="Normal 2 2 2 3 3 3 2 2" xfId="1226" xr:uid="{00000000-0005-0000-0000-0000D70A0000}"/>
    <cellStyle name="Normal 2 2 2 3 3 3 2 2 2" xfId="7881" xr:uid="{00000000-0005-0000-0000-0000D80A0000}"/>
    <cellStyle name="Normal 2 2 2 3 3 3 2 2_SSL" xfId="15322" xr:uid="{00000000-0005-0000-0000-0000D90A0000}"/>
    <cellStyle name="Normal 2 2 2 3 3 3 2 3" xfId="2046" xr:uid="{00000000-0005-0000-0000-0000DA0A0000}"/>
    <cellStyle name="Normal 2 2 2 3 3 3 2 3 2" xfId="8694" xr:uid="{00000000-0005-0000-0000-0000DB0A0000}"/>
    <cellStyle name="Normal 2 2 2 3 3 3 2 3_SSL" xfId="15263" xr:uid="{00000000-0005-0000-0000-0000DC0A0000}"/>
    <cellStyle name="Normal 2 2 2 3 3 3 2 4" xfId="2865" xr:uid="{00000000-0005-0000-0000-0000DD0A0000}"/>
    <cellStyle name="Normal 2 2 2 3 3 3 2 4 2" xfId="9510" xr:uid="{00000000-0005-0000-0000-0000DE0A0000}"/>
    <cellStyle name="Normal 2 2 2 3 3 3 2 4_SSL" xfId="16316" xr:uid="{00000000-0005-0000-0000-0000DF0A0000}"/>
    <cellStyle name="Normal 2 2 2 3 3 3 2 5" xfId="3686" xr:uid="{00000000-0005-0000-0000-0000E00A0000}"/>
    <cellStyle name="Normal 2 2 2 3 3 3 2 5 2" xfId="10326" xr:uid="{00000000-0005-0000-0000-0000E10A0000}"/>
    <cellStyle name="Normal 2 2 2 3 3 3 2 5_SSL" xfId="17602" xr:uid="{00000000-0005-0000-0000-0000E20A0000}"/>
    <cellStyle name="Normal 2 2 2 3 3 3 2 6" xfId="4497" xr:uid="{00000000-0005-0000-0000-0000E30A0000}"/>
    <cellStyle name="Normal 2 2 2 3 3 3 2 6 2" xfId="11136" xr:uid="{00000000-0005-0000-0000-0000E40A0000}"/>
    <cellStyle name="Normal 2 2 2 3 3 3 2 6_SSL" xfId="16488" xr:uid="{00000000-0005-0000-0000-0000E50A0000}"/>
    <cellStyle name="Normal 2 2 2 3 3 3 2 7" xfId="5307" xr:uid="{00000000-0005-0000-0000-0000E60A0000}"/>
    <cellStyle name="Normal 2 2 2 3 3 3 2 7 2" xfId="11945" xr:uid="{00000000-0005-0000-0000-0000E70A0000}"/>
    <cellStyle name="Normal 2 2 2 3 3 3 2 7_SSL" xfId="14537" xr:uid="{00000000-0005-0000-0000-0000E80A0000}"/>
    <cellStyle name="Normal 2 2 2 3 3 3 2 8" xfId="7535" xr:uid="{00000000-0005-0000-0000-0000E90A0000}"/>
    <cellStyle name="Normal 2 2 2 3 3 3 2 9" xfId="6224" xr:uid="{00000000-0005-0000-0000-0000EA0A0000}"/>
    <cellStyle name="Normal 2 2 2 3 3 3 2_SSL" xfId="15858" xr:uid="{00000000-0005-0000-0000-0000EB0A0000}"/>
    <cellStyle name="Normal 2 2 2 3 3 3 3" xfId="1225" xr:uid="{00000000-0005-0000-0000-0000EC0A0000}"/>
    <cellStyle name="Normal 2 2 2 3 3 3 3 2" xfId="7880" xr:uid="{00000000-0005-0000-0000-0000ED0A0000}"/>
    <cellStyle name="Normal 2 2 2 3 3 3 3_SSL" xfId="14041" xr:uid="{00000000-0005-0000-0000-0000EE0A0000}"/>
    <cellStyle name="Normal 2 2 2 3 3 3 4" xfId="2045" xr:uid="{00000000-0005-0000-0000-0000EF0A0000}"/>
    <cellStyle name="Normal 2 2 2 3 3 3 4 2" xfId="8693" xr:uid="{00000000-0005-0000-0000-0000F00A0000}"/>
    <cellStyle name="Normal 2 2 2 3 3 3 4_SSL" xfId="13426" xr:uid="{00000000-0005-0000-0000-0000F10A0000}"/>
    <cellStyle name="Normal 2 2 2 3 3 3 5" xfId="2864" xr:uid="{00000000-0005-0000-0000-0000F20A0000}"/>
    <cellStyle name="Normal 2 2 2 3 3 3 5 2" xfId="9509" xr:uid="{00000000-0005-0000-0000-0000F30A0000}"/>
    <cellStyle name="Normal 2 2 2 3 3 3 5_SSL" xfId="16863" xr:uid="{00000000-0005-0000-0000-0000F40A0000}"/>
    <cellStyle name="Normal 2 2 2 3 3 3 6" xfId="3685" xr:uid="{00000000-0005-0000-0000-0000F50A0000}"/>
    <cellStyle name="Normal 2 2 2 3 3 3 6 2" xfId="10325" xr:uid="{00000000-0005-0000-0000-0000F60A0000}"/>
    <cellStyle name="Normal 2 2 2 3 3 3 6_SSL" xfId="17181" xr:uid="{00000000-0005-0000-0000-0000F70A0000}"/>
    <cellStyle name="Normal 2 2 2 3 3 3 7" xfId="4496" xr:uid="{00000000-0005-0000-0000-0000F80A0000}"/>
    <cellStyle name="Normal 2 2 2 3 3 3 7 2" xfId="11135" xr:uid="{00000000-0005-0000-0000-0000F90A0000}"/>
    <cellStyle name="Normal 2 2 2 3 3 3 7_SSL" xfId="14657" xr:uid="{00000000-0005-0000-0000-0000FA0A0000}"/>
    <cellStyle name="Normal 2 2 2 3 3 3 8" xfId="5306" xr:uid="{00000000-0005-0000-0000-0000FB0A0000}"/>
    <cellStyle name="Normal 2 2 2 3 3 3 8 2" xfId="11944" xr:uid="{00000000-0005-0000-0000-0000FC0A0000}"/>
    <cellStyle name="Normal 2 2 2 3 3 3 8_SSL" xfId="17307" xr:uid="{00000000-0005-0000-0000-0000FD0A0000}"/>
    <cellStyle name="Normal 2 2 2 3 3 3 9" xfId="7151" xr:uid="{00000000-0005-0000-0000-0000FE0A0000}"/>
    <cellStyle name="Normal 2 2 2 3 3 3_SSL" xfId="17517" xr:uid="{00000000-0005-0000-0000-0000FF0A0000}"/>
    <cellStyle name="Normal 2 2 2 3 3 4" xfId="525" xr:uid="{00000000-0005-0000-0000-0000000B0000}"/>
    <cellStyle name="Normal 2 2 2 3 3 4 2" xfId="1227" xr:uid="{00000000-0005-0000-0000-0000010B0000}"/>
    <cellStyle name="Normal 2 2 2 3 3 4 2 2" xfId="7882" xr:uid="{00000000-0005-0000-0000-0000020B0000}"/>
    <cellStyle name="Normal 2 2 2 3 3 4 2_SSL" xfId="13959" xr:uid="{00000000-0005-0000-0000-0000030B0000}"/>
    <cellStyle name="Normal 2 2 2 3 3 4 3" xfId="2047" xr:uid="{00000000-0005-0000-0000-0000040B0000}"/>
    <cellStyle name="Normal 2 2 2 3 3 4 3 2" xfId="8695" xr:uid="{00000000-0005-0000-0000-0000050B0000}"/>
    <cellStyle name="Normal 2 2 2 3 3 4 3_SSL" xfId="15083" xr:uid="{00000000-0005-0000-0000-0000060B0000}"/>
    <cellStyle name="Normal 2 2 2 3 3 4 4" xfId="2866" xr:uid="{00000000-0005-0000-0000-0000070B0000}"/>
    <cellStyle name="Normal 2 2 2 3 3 4 4 2" xfId="9511" xr:uid="{00000000-0005-0000-0000-0000080B0000}"/>
    <cellStyle name="Normal 2 2 2 3 3 4 4_SSL" xfId="16567" xr:uid="{00000000-0005-0000-0000-0000090B0000}"/>
    <cellStyle name="Normal 2 2 2 3 3 4 5" xfId="3687" xr:uid="{00000000-0005-0000-0000-00000A0B0000}"/>
    <cellStyle name="Normal 2 2 2 3 3 4 5 2" xfId="10327" xr:uid="{00000000-0005-0000-0000-00000B0B0000}"/>
    <cellStyle name="Normal 2 2 2 3 3 4 5_SSL" xfId="15155" xr:uid="{00000000-0005-0000-0000-00000C0B0000}"/>
    <cellStyle name="Normal 2 2 2 3 3 4 6" xfId="4498" xr:uid="{00000000-0005-0000-0000-00000D0B0000}"/>
    <cellStyle name="Normal 2 2 2 3 3 4 6 2" xfId="11137" xr:uid="{00000000-0005-0000-0000-00000E0B0000}"/>
    <cellStyle name="Normal 2 2 2 3 3 4 6_SSL" xfId="15585" xr:uid="{00000000-0005-0000-0000-00000F0B0000}"/>
    <cellStyle name="Normal 2 2 2 3 3 4 7" xfId="5308" xr:uid="{00000000-0005-0000-0000-0000100B0000}"/>
    <cellStyle name="Normal 2 2 2 3 3 4 7 2" xfId="11946" xr:uid="{00000000-0005-0000-0000-0000110B0000}"/>
    <cellStyle name="Normal 2 2 2 3 3 4 7_SSL" xfId="14988" xr:uid="{00000000-0005-0000-0000-0000120B0000}"/>
    <cellStyle name="Normal 2 2 2 3 3 4 8" xfId="7381" xr:uid="{00000000-0005-0000-0000-0000130B0000}"/>
    <cellStyle name="Normal 2 2 2 3 3 4 9" xfId="6225" xr:uid="{00000000-0005-0000-0000-0000140B0000}"/>
    <cellStyle name="Normal 2 2 2 3 3 4_SSL" xfId="17229" xr:uid="{00000000-0005-0000-0000-0000150B0000}"/>
    <cellStyle name="Normal 2 2 2 3 3 5" xfId="1220" xr:uid="{00000000-0005-0000-0000-0000160B0000}"/>
    <cellStyle name="Normal 2 2 2 3 3 5 2" xfId="7875" xr:uid="{00000000-0005-0000-0000-0000170B0000}"/>
    <cellStyle name="Normal 2 2 2 3 3 5_SSL" xfId="16865" xr:uid="{00000000-0005-0000-0000-0000180B0000}"/>
    <cellStyle name="Normal 2 2 2 3 3 6" xfId="2040" xr:uid="{00000000-0005-0000-0000-0000190B0000}"/>
    <cellStyle name="Normal 2 2 2 3 3 6 2" xfId="8688" xr:uid="{00000000-0005-0000-0000-00001A0B0000}"/>
    <cellStyle name="Normal 2 2 2 3 3 6_SSL" xfId="14180" xr:uid="{00000000-0005-0000-0000-00001B0B0000}"/>
    <cellStyle name="Normal 2 2 2 3 3 7" xfId="2859" xr:uid="{00000000-0005-0000-0000-00001C0B0000}"/>
    <cellStyle name="Normal 2 2 2 3 3 7 2" xfId="9504" xr:uid="{00000000-0005-0000-0000-00001D0B0000}"/>
    <cellStyle name="Normal 2 2 2 3 3 7_SSL" xfId="16737" xr:uid="{00000000-0005-0000-0000-00001E0B0000}"/>
    <cellStyle name="Normal 2 2 2 3 3 8" xfId="3680" xr:uid="{00000000-0005-0000-0000-00001F0B0000}"/>
    <cellStyle name="Normal 2 2 2 3 3 8 2" xfId="10320" xr:uid="{00000000-0005-0000-0000-0000200B0000}"/>
    <cellStyle name="Normal 2 2 2 3 3 8_SSL" xfId="15788" xr:uid="{00000000-0005-0000-0000-0000210B0000}"/>
    <cellStyle name="Normal 2 2 2 3 3 9" xfId="4491" xr:uid="{00000000-0005-0000-0000-0000220B0000}"/>
    <cellStyle name="Normal 2 2 2 3 3 9 2" xfId="11130" xr:uid="{00000000-0005-0000-0000-0000230B0000}"/>
    <cellStyle name="Normal 2 2 2 3 3 9_SSL" xfId="13802" xr:uid="{00000000-0005-0000-0000-0000240B0000}"/>
    <cellStyle name="Normal 2 2 2 3 3_SSL" xfId="14161" xr:uid="{00000000-0005-0000-0000-0000250B0000}"/>
    <cellStyle name="Normal 2 2 2 3 4" xfId="145" xr:uid="{00000000-0005-0000-0000-0000260B0000}"/>
    <cellStyle name="Normal 2 2 2 3 4 10" xfId="7022" xr:uid="{00000000-0005-0000-0000-0000270B0000}"/>
    <cellStyle name="Normal 2 2 2 3 4 11" xfId="6226" xr:uid="{00000000-0005-0000-0000-0000280B0000}"/>
    <cellStyle name="Normal 2 2 2 3 4 2" xfId="293" xr:uid="{00000000-0005-0000-0000-0000290B0000}"/>
    <cellStyle name="Normal 2 2 2 3 4 2 10" xfId="6227" xr:uid="{00000000-0005-0000-0000-00002A0B0000}"/>
    <cellStyle name="Normal 2 2 2 3 4 2 2" xfId="681" xr:uid="{00000000-0005-0000-0000-00002B0B0000}"/>
    <cellStyle name="Normal 2 2 2 3 4 2 2 2" xfId="1230" xr:uid="{00000000-0005-0000-0000-00002C0B0000}"/>
    <cellStyle name="Normal 2 2 2 3 4 2 2 2 2" xfId="7885" xr:uid="{00000000-0005-0000-0000-00002D0B0000}"/>
    <cellStyle name="Normal 2 2 2 3 4 2 2 2_SSL" xfId="14018" xr:uid="{00000000-0005-0000-0000-00002E0B0000}"/>
    <cellStyle name="Normal 2 2 2 3 4 2 2 3" xfId="2050" xr:uid="{00000000-0005-0000-0000-00002F0B0000}"/>
    <cellStyle name="Normal 2 2 2 3 4 2 2 3 2" xfId="8698" xr:uid="{00000000-0005-0000-0000-0000300B0000}"/>
    <cellStyle name="Normal 2 2 2 3 4 2 2 3_SSL" xfId="16024" xr:uid="{00000000-0005-0000-0000-0000310B0000}"/>
    <cellStyle name="Normal 2 2 2 3 4 2 2 4" xfId="2869" xr:uid="{00000000-0005-0000-0000-0000320B0000}"/>
    <cellStyle name="Normal 2 2 2 3 4 2 2 4 2" xfId="9514" xr:uid="{00000000-0005-0000-0000-0000330B0000}"/>
    <cellStyle name="Normal 2 2 2 3 4 2 2 4_SSL" xfId="17784" xr:uid="{00000000-0005-0000-0000-0000340B0000}"/>
    <cellStyle name="Normal 2 2 2 3 4 2 2 5" xfId="3690" xr:uid="{00000000-0005-0000-0000-0000350B0000}"/>
    <cellStyle name="Normal 2 2 2 3 4 2 2 5 2" xfId="10330" xr:uid="{00000000-0005-0000-0000-0000360B0000}"/>
    <cellStyle name="Normal 2 2 2 3 4 2 2 5_SSL" xfId="16333" xr:uid="{00000000-0005-0000-0000-0000370B0000}"/>
    <cellStyle name="Normal 2 2 2 3 4 2 2 6" xfId="4501" xr:uid="{00000000-0005-0000-0000-0000380B0000}"/>
    <cellStyle name="Normal 2 2 2 3 4 2 2 6 2" xfId="11140" xr:uid="{00000000-0005-0000-0000-0000390B0000}"/>
    <cellStyle name="Normal 2 2 2 3 4 2 2 6_SSL" xfId="16021" xr:uid="{00000000-0005-0000-0000-00003A0B0000}"/>
    <cellStyle name="Normal 2 2 2 3 4 2 2 7" xfId="5311" xr:uid="{00000000-0005-0000-0000-00003B0B0000}"/>
    <cellStyle name="Normal 2 2 2 3 4 2 2 7 2" xfId="11949" xr:uid="{00000000-0005-0000-0000-00003C0B0000}"/>
    <cellStyle name="Normal 2 2 2 3 4 2 2 7_SSL" xfId="14901" xr:uid="{00000000-0005-0000-0000-00003D0B0000}"/>
    <cellStyle name="Normal 2 2 2 3 4 2 2 8" xfId="7537" xr:uid="{00000000-0005-0000-0000-00003E0B0000}"/>
    <cellStyle name="Normal 2 2 2 3 4 2 2 9" xfId="6228" xr:uid="{00000000-0005-0000-0000-00003F0B0000}"/>
    <cellStyle name="Normal 2 2 2 3 4 2 2_SSL" xfId="14196" xr:uid="{00000000-0005-0000-0000-0000400B0000}"/>
    <cellStyle name="Normal 2 2 2 3 4 2 3" xfId="1229" xr:uid="{00000000-0005-0000-0000-0000410B0000}"/>
    <cellStyle name="Normal 2 2 2 3 4 2 3 2" xfId="7884" xr:uid="{00000000-0005-0000-0000-0000420B0000}"/>
    <cellStyle name="Normal 2 2 2 3 4 2 3_SSL" xfId="12680" xr:uid="{00000000-0005-0000-0000-0000430B0000}"/>
    <cellStyle name="Normal 2 2 2 3 4 2 4" xfId="2049" xr:uid="{00000000-0005-0000-0000-0000440B0000}"/>
    <cellStyle name="Normal 2 2 2 3 4 2 4 2" xfId="8697" xr:uid="{00000000-0005-0000-0000-0000450B0000}"/>
    <cellStyle name="Normal 2 2 2 3 4 2 4_SSL" xfId="15557" xr:uid="{00000000-0005-0000-0000-0000460B0000}"/>
    <cellStyle name="Normal 2 2 2 3 4 2 5" xfId="2868" xr:uid="{00000000-0005-0000-0000-0000470B0000}"/>
    <cellStyle name="Normal 2 2 2 3 4 2 5 2" xfId="9513" xr:uid="{00000000-0005-0000-0000-0000480B0000}"/>
    <cellStyle name="Normal 2 2 2 3 4 2 5_SSL" xfId="14204" xr:uid="{00000000-0005-0000-0000-0000490B0000}"/>
    <cellStyle name="Normal 2 2 2 3 4 2 6" xfId="3689" xr:uid="{00000000-0005-0000-0000-00004A0B0000}"/>
    <cellStyle name="Normal 2 2 2 3 4 2 6 2" xfId="10329" xr:uid="{00000000-0005-0000-0000-00004B0B0000}"/>
    <cellStyle name="Normal 2 2 2 3 4 2 6_SSL" xfId="13356" xr:uid="{00000000-0005-0000-0000-00004C0B0000}"/>
    <cellStyle name="Normal 2 2 2 3 4 2 7" xfId="4500" xr:uid="{00000000-0005-0000-0000-00004D0B0000}"/>
    <cellStyle name="Normal 2 2 2 3 4 2 7 2" xfId="11139" xr:uid="{00000000-0005-0000-0000-00004E0B0000}"/>
    <cellStyle name="Normal 2 2 2 3 4 2 7_SSL" xfId="6064" xr:uid="{00000000-0005-0000-0000-00004F0B0000}"/>
    <cellStyle name="Normal 2 2 2 3 4 2 8" xfId="5310" xr:uid="{00000000-0005-0000-0000-0000500B0000}"/>
    <cellStyle name="Normal 2 2 2 3 4 2 8 2" xfId="11948" xr:uid="{00000000-0005-0000-0000-0000510B0000}"/>
    <cellStyle name="Normal 2 2 2 3 4 2 8_SSL" xfId="17886" xr:uid="{00000000-0005-0000-0000-0000520B0000}"/>
    <cellStyle name="Normal 2 2 2 3 4 2 9" xfId="7153" xr:uid="{00000000-0005-0000-0000-0000530B0000}"/>
    <cellStyle name="Normal 2 2 2 3 4 2_SSL" xfId="15924" xr:uid="{00000000-0005-0000-0000-0000540B0000}"/>
    <cellStyle name="Normal 2 2 2 3 4 3" xfId="550" xr:uid="{00000000-0005-0000-0000-0000550B0000}"/>
    <cellStyle name="Normal 2 2 2 3 4 3 2" xfId="1231" xr:uid="{00000000-0005-0000-0000-0000560B0000}"/>
    <cellStyle name="Normal 2 2 2 3 4 3 2 2" xfId="7886" xr:uid="{00000000-0005-0000-0000-0000570B0000}"/>
    <cellStyle name="Normal 2 2 2 3 4 3 2_SSL" xfId="16023" xr:uid="{00000000-0005-0000-0000-0000580B0000}"/>
    <cellStyle name="Normal 2 2 2 3 4 3 3" xfId="2051" xr:uid="{00000000-0005-0000-0000-0000590B0000}"/>
    <cellStyle name="Normal 2 2 2 3 4 3 3 2" xfId="8699" xr:uid="{00000000-0005-0000-0000-00005A0B0000}"/>
    <cellStyle name="Normal 2 2 2 3 4 3 3_SSL" xfId="13751" xr:uid="{00000000-0005-0000-0000-00005B0B0000}"/>
    <cellStyle name="Normal 2 2 2 3 4 3 4" xfId="2870" xr:uid="{00000000-0005-0000-0000-00005C0B0000}"/>
    <cellStyle name="Normal 2 2 2 3 4 3 4 2" xfId="9515" xr:uid="{00000000-0005-0000-0000-00005D0B0000}"/>
    <cellStyle name="Normal 2 2 2 3 4 3 4_SSL" xfId="16230" xr:uid="{00000000-0005-0000-0000-00005E0B0000}"/>
    <cellStyle name="Normal 2 2 2 3 4 3 5" xfId="3691" xr:uid="{00000000-0005-0000-0000-00005F0B0000}"/>
    <cellStyle name="Normal 2 2 2 3 4 3 5 2" xfId="10331" xr:uid="{00000000-0005-0000-0000-0000600B0000}"/>
    <cellStyle name="Normal 2 2 2 3 4 3 5_SSL" xfId="15277" xr:uid="{00000000-0005-0000-0000-0000610B0000}"/>
    <cellStyle name="Normal 2 2 2 3 4 3 6" xfId="4502" xr:uid="{00000000-0005-0000-0000-0000620B0000}"/>
    <cellStyle name="Normal 2 2 2 3 4 3 6 2" xfId="11141" xr:uid="{00000000-0005-0000-0000-0000630B0000}"/>
    <cellStyle name="Normal 2 2 2 3 4 3 6_SSL" xfId="16757" xr:uid="{00000000-0005-0000-0000-0000640B0000}"/>
    <cellStyle name="Normal 2 2 2 3 4 3 7" xfId="5312" xr:uid="{00000000-0005-0000-0000-0000650B0000}"/>
    <cellStyle name="Normal 2 2 2 3 4 3 7 2" xfId="11950" xr:uid="{00000000-0005-0000-0000-0000660B0000}"/>
    <cellStyle name="Normal 2 2 2 3 4 3 7_SSL" xfId="13192" xr:uid="{00000000-0005-0000-0000-0000670B0000}"/>
    <cellStyle name="Normal 2 2 2 3 4 3 8" xfId="7406" xr:uid="{00000000-0005-0000-0000-0000680B0000}"/>
    <cellStyle name="Normal 2 2 2 3 4 3 9" xfId="6229" xr:uid="{00000000-0005-0000-0000-0000690B0000}"/>
    <cellStyle name="Normal 2 2 2 3 4 3_SSL" xfId="13155" xr:uid="{00000000-0005-0000-0000-00006A0B0000}"/>
    <cellStyle name="Normal 2 2 2 3 4 4" xfId="1228" xr:uid="{00000000-0005-0000-0000-00006B0B0000}"/>
    <cellStyle name="Normal 2 2 2 3 4 4 2" xfId="7883" xr:uid="{00000000-0005-0000-0000-00006C0B0000}"/>
    <cellStyle name="Normal 2 2 2 3 4 4_SSL" xfId="14504" xr:uid="{00000000-0005-0000-0000-00006D0B0000}"/>
    <cellStyle name="Normal 2 2 2 3 4 5" xfId="2048" xr:uid="{00000000-0005-0000-0000-00006E0B0000}"/>
    <cellStyle name="Normal 2 2 2 3 4 5 2" xfId="8696" xr:uid="{00000000-0005-0000-0000-00006F0B0000}"/>
    <cellStyle name="Normal 2 2 2 3 4 5_SSL" xfId="16769" xr:uid="{00000000-0005-0000-0000-0000700B0000}"/>
    <cellStyle name="Normal 2 2 2 3 4 6" xfId="2867" xr:uid="{00000000-0005-0000-0000-0000710B0000}"/>
    <cellStyle name="Normal 2 2 2 3 4 6 2" xfId="9512" xr:uid="{00000000-0005-0000-0000-0000720B0000}"/>
    <cellStyle name="Normal 2 2 2 3 4 6_SSL" xfId="15928" xr:uid="{00000000-0005-0000-0000-0000730B0000}"/>
    <cellStyle name="Normal 2 2 2 3 4 7" xfId="3688" xr:uid="{00000000-0005-0000-0000-0000740B0000}"/>
    <cellStyle name="Normal 2 2 2 3 4 7 2" xfId="10328" xr:uid="{00000000-0005-0000-0000-0000750B0000}"/>
    <cellStyle name="Normal 2 2 2 3 4 7_SSL" xfId="16165" xr:uid="{00000000-0005-0000-0000-0000760B0000}"/>
    <cellStyle name="Normal 2 2 2 3 4 8" xfId="4499" xr:uid="{00000000-0005-0000-0000-0000770B0000}"/>
    <cellStyle name="Normal 2 2 2 3 4 8 2" xfId="11138" xr:uid="{00000000-0005-0000-0000-0000780B0000}"/>
    <cellStyle name="Normal 2 2 2 3 4 8_SSL" xfId="13683" xr:uid="{00000000-0005-0000-0000-0000790B0000}"/>
    <cellStyle name="Normal 2 2 2 3 4 9" xfId="5309" xr:uid="{00000000-0005-0000-0000-00007A0B0000}"/>
    <cellStyle name="Normal 2 2 2 3 4 9 2" xfId="11947" xr:uid="{00000000-0005-0000-0000-00007B0B0000}"/>
    <cellStyle name="Normal 2 2 2 3 4 9_SSL" xfId="6917" xr:uid="{00000000-0005-0000-0000-00007C0B0000}"/>
    <cellStyle name="Normal 2 2 2 3 4_SSL" xfId="6091" xr:uid="{00000000-0005-0000-0000-00007D0B0000}"/>
    <cellStyle name="Normal 2 2 2 3 5" xfId="170" xr:uid="{00000000-0005-0000-0000-00007E0B0000}"/>
    <cellStyle name="Normal 2 2 2 3 5 10" xfId="7047" xr:uid="{00000000-0005-0000-0000-00007F0B0000}"/>
    <cellStyle name="Normal 2 2 2 3 5 11" xfId="6230" xr:uid="{00000000-0005-0000-0000-0000800B0000}"/>
    <cellStyle name="Normal 2 2 2 3 5 2" xfId="294" xr:uid="{00000000-0005-0000-0000-0000810B0000}"/>
    <cellStyle name="Normal 2 2 2 3 5 2 10" xfId="6231" xr:uid="{00000000-0005-0000-0000-0000820B0000}"/>
    <cellStyle name="Normal 2 2 2 3 5 2 2" xfId="682" xr:uid="{00000000-0005-0000-0000-0000830B0000}"/>
    <cellStyle name="Normal 2 2 2 3 5 2 2 2" xfId="1234" xr:uid="{00000000-0005-0000-0000-0000840B0000}"/>
    <cellStyle name="Normal 2 2 2 3 5 2 2 2 2" xfId="7889" xr:uid="{00000000-0005-0000-0000-0000850B0000}"/>
    <cellStyle name="Normal 2 2 2 3 5 2 2 2_SSL" xfId="15637" xr:uid="{00000000-0005-0000-0000-0000860B0000}"/>
    <cellStyle name="Normal 2 2 2 3 5 2 2 3" xfId="2054" xr:uid="{00000000-0005-0000-0000-0000870B0000}"/>
    <cellStyle name="Normal 2 2 2 3 5 2 2 3 2" xfId="8702" xr:uid="{00000000-0005-0000-0000-0000880B0000}"/>
    <cellStyle name="Normal 2 2 2 3 5 2 2 3_SSL" xfId="17056" xr:uid="{00000000-0005-0000-0000-0000890B0000}"/>
    <cellStyle name="Normal 2 2 2 3 5 2 2 4" xfId="2873" xr:uid="{00000000-0005-0000-0000-00008A0B0000}"/>
    <cellStyle name="Normal 2 2 2 3 5 2 2 4 2" xfId="9518" xr:uid="{00000000-0005-0000-0000-00008B0B0000}"/>
    <cellStyle name="Normal 2 2 2 3 5 2 2 4_SSL" xfId="12670" xr:uid="{00000000-0005-0000-0000-00008C0B0000}"/>
    <cellStyle name="Normal 2 2 2 3 5 2 2 5" xfId="3694" xr:uid="{00000000-0005-0000-0000-00008D0B0000}"/>
    <cellStyle name="Normal 2 2 2 3 5 2 2 5 2" xfId="10334" xr:uid="{00000000-0005-0000-0000-00008E0B0000}"/>
    <cellStyle name="Normal 2 2 2 3 5 2 2 5_SSL" xfId="17027" xr:uid="{00000000-0005-0000-0000-00008F0B0000}"/>
    <cellStyle name="Normal 2 2 2 3 5 2 2 6" xfId="4505" xr:uid="{00000000-0005-0000-0000-0000900B0000}"/>
    <cellStyle name="Normal 2 2 2 3 5 2 2 6 2" xfId="11144" xr:uid="{00000000-0005-0000-0000-0000910B0000}"/>
    <cellStyle name="Normal 2 2 2 3 5 2 2 6_SSL" xfId="14474" xr:uid="{00000000-0005-0000-0000-0000920B0000}"/>
    <cellStyle name="Normal 2 2 2 3 5 2 2 7" xfId="5315" xr:uid="{00000000-0005-0000-0000-0000930B0000}"/>
    <cellStyle name="Normal 2 2 2 3 5 2 2 7 2" xfId="11953" xr:uid="{00000000-0005-0000-0000-0000940B0000}"/>
    <cellStyle name="Normal 2 2 2 3 5 2 2 7_SSL" xfId="16761" xr:uid="{00000000-0005-0000-0000-0000950B0000}"/>
    <cellStyle name="Normal 2 2 2 3 5 2 2 8" xfId="7538" xr:uid="{00000000-0005-0000-0000-0000960B0000}"/>
    <cellStyle name="Normal 2 2 2 3 5 2 2 9" xfId="6232" xr:uid="{00000000-0005-0000-0000-0000970B0000}"/>
    <cellStyle name="Normal 2 2 2 3 5 2 2_SSL" xfId="14563" xr:uid="{00000000-0005-0000-0000-0000980B0000}"/>
    <cellStyle name="Normal 2 2 2 3 5 2 3" xfId="1233" xr:uid="{00000000-0005-0000-0000-0000990B0000}"/>
    <cellStyle name="Normal 2 2 2 3 5 2 3 2" xfId="7888" xr:uid="{00000000-0005-0000-0000-00009A0B0000}"/>
    <cellStyle name="Normal 2 2 2 3 5 2 3_SSL" xfId="7749" xr:uid="{00000000-0005-0000-0000-00009B0B0000}"/>
    <cellStyle name="Normal 2 2 2 3 5 2 4" xfId="2053" xr:uid="{00000000-0005-0000-0000-00009C0B0000}"/>
    <cellStyle name="Normal 2 2 2 3 5 2 4 2" xfId="8701" xr:uid="{00000000-0005-0000-0000-00009D0B0000}"/>
    <cellStyle name="Normal 2 2 2 3 5 2 4_SSL" xfId="14202" xr:uid="{00000000-0005-0000-0000-00009E0B0000}"/>
    <cellStyle name="Normal 2 2 2 3 5 2 5" xfId="2872" xr:uid="{00000000-0005-0000-0000-00009F0B0000}"/>
    <cellStyle name="Normal 2 2 2 3 5 2 5 2" xfId="9517" xr:uid="{00000000-0005-0000-0000-0000A00B0000}"/>
    <cellStyle name="Normal 2 2 2 3 5 2 5_SSL" xfId="16494" xr:uid="{00000000-0005-0000-0000-0000A10B0000}"/>
    <cellStyle name="Normal 2 2 2 3 5 2 6" xfId="3693" xr:uid="{00000000-0005-0000-0000-0000A20B0000}"/>
    <cellStyle name="Normal 2 2 2 3 5 2 6 2" xfId="10333" xr:uid="{00000000-0005-0000-0000-0000A30B0000}"/>
    <cellStyle name="Normal 2 2 2 3 5 2 6_SSL" xfId="18008" xr:uid="{00000000-0005-0000-0000-0000A40B0000}"/>
    <cellStyle name="Normal 2 2 2 3 5 2 7" xfId="4504" xr:uid="{00000000-0005-0000-0000-0000A50B0000}"/>
    <cellStyle name="Normal 2 2 2 3 5 2 7 2" xfId="11143" xr:uid="{00000000-0005-0000-0000-0000A60B0000}"/>
    <cellStyle name="Normal 2 2 2 3 5 2 7_SSL" xfId="15464" xr:uid="{00000000-0005-0000-0000-0000A70B0000}"/>
    <cellStyle name="Normal 2 2 2 3 5 2 8" xfId="5314" xr:uid="{00000000-0005-0000-0000-0000A80B0000}"/>
    <cellStyle name="Normal 2 2 2 3 5 2 8 2" xfId="11952" xr:uid="{00000000-0005-0000-0000-0000A90B0000}"/>
    <cellStyle name="Normal 2 2 2 3 5 2 8_SSL" xfId="17917" xr:uid="{00000000-0005-0000-0000-0000AA0B0000}"/>
    <cellStyle name="Normal 2 2 2 3 5 2 9" xfId="7154" xr:uid="{00000000-0005-0000-0000-0000AB0B0000}"/>
    <cellStyle name="Normal 2 2 2 3 5 2_SSL" xfId="12902" xr:uid="{00000000-0005-0000-0000-0000AC0B0000}"/>
    <cellStyle name="Normal 2 2 2 3 5 3" xfId="575" xr:uid="{00000000-0005-0000-0000-0000AD0B0000}"/>
    <cellStyle name="Normal 2 2 2 3 5 3 2" xfId="1235" xr:uid="{00000000-0005-0000-0000-0000AE0B0000}"/>
    <cellStyle name="Normal 2 2 2 3 5 3 2 2" xfId="7890" xr:uid="{00000000-0005-0000-0000-0000AF0B0000}"/>
    <cellStyle name="Normal 2 2 2 3 5 3 2_SSL" xfId="15962" xr:uid="{00000000-0005-0000-0000-0000B00B0000}"/>
    <cellStyle name="Normal 2 2 2 3 5 3 3" xfId="2055" xr:uid="{00000000-0005-0000-0000-0000B10B0000}"/>
    <cellStyle name="Normal 2 2 2 3 5 3 3 2" xfId="8703" xr:uid="{00000000-0005-0000-0000-0000B20B0000}"/>
    <cellStyle name="Normal 2 2 2 3 5 3 3_SSL" xfId="13602" xr:uid="{00000000-0005-0000-0000-0000B30B0000}"/>
    <cellStyle name="Normal 2 2 2 3 5 3 4" xfId="2874" xr:uid="{00000000-0005-0000-0000-0000B40B0000}"/>
    <cellStyle name="Normal 2 2 2 3 5 3 4 2" xfId="9519" xr:uid="{00000000-0005-0000-0000-0000B50B0000}"/>
    <cellStyle name="Normal 2 2 2 3 5 3 4_SSL" xfId="13095" xr:uid="{00000000-0005-0000-0000-0000B60B0000}"/>
    <cellStyle name="Normal 2 2 2 3 5 3 5" xfId="3695" xr:uid="{00000000-0005-0000-0000-0000B70B0000}"/>
    <cellStyle name="Normal 2 2 2 3 5 3 5 2" xfId="10335" xr:uid="{00000000-0005-0000-0000-0000B80B0000}"/>
    <cellStyle name="Normal 2 2 2 3 5 3 5_SSL" xfId="16008" xr:uid="{00000000-0005-0000-0000-0000B90B0000}"/>
    <cellStyle name="Normal 2 2 2 3 5 3 6" xfId="4506" xr:uid="{00000000-0005-0000-0000-0000BA0B0000}"/>
    <cellStyle name="Normal 2 2 2 3 5 3 6 2" xfId="11145" xr:uid="{00000000-0005-0000-0000-0000BB0B0000}"/>
    <cellStyle name="Normal 2 2 2 3 5 3 6_SSL" xfId="15159" xr:uid="{00000000-0005-0000-0000-0000BC0B0000}"/>
    <cellStyle name="Normal 2 2 2 3 5 3 7" xfId="5316" xr:uid="{00000000-0005-0000-0000-0000BD0B0000}"/>
    <cellStyle name="Normal 2 2 2 3 5 3 7 2" xfId="11954" xr:uid="{00000000-0005-0000-0000-0000BE0B0000}"/>
    <cellStyle name="Normal 2 2 2 3 5 3 7_SSL" xfId="15300" xr:uid="{00000000-0005-0000-0000-0000BF0B0000}"/>
    <cellStyle name="Normal 2 2 2 3 5 3 8" xfId="7431" xr:uid="{00000000-0005-0000-0000-0000C00B0000}"/>
    <cellStyle name="Normal 2 2 2 3 5 3 9" xfId="6233" xr:uid="{00000000-0005-0000-0000-0000C10B0000}"/>
    <cellStyle name="Normal 2 2 2 3 5 3_SSL" xfId="15904" xr:uid="{00000000-0005-0000-0000-0000C20B0000}"/>
    <cellStyle name="Normal 2 2 2 3 5 4" xfId="1232" xr:uid="{00000000-0005-0000-0000-0000C30B0000}"/>
    <cellStyle name="Normal 2 2 2 3 5 4 2" xfId="7887" xr:uid="{00000000-0005-0000-0000-0000C40B0000}"/>
    <cellStyle name="Normal 2 2 2 3 5 4_SSL" xfId="15989" xr:uid="{00000000-0005-0000-0000-0000C50B0000}"/>
    <cellStyle name="Normal 2 2 2 3 5 5" xfId="2052" xr:uid="{00000000-0005-0000-0000-0000C60B0000}"/>
    <cellStyle name="Normal 2 2 2 3 5 5 2" xfId="8700" xr:uid="{00000000-0005-0000-0000-0000C70B0000}"/>
    <cellStyle name="Normal 2 2 2 3 5 5_SSL" xfId="13325" xr:uid="{00000000-0005-0000-0000-0000C80B0000}"/>
    <cellStyle name="Normal 2 2 2 3 5 6" xfId="2871" xr:uid="{00000000-0005-0000-0000-0000C90B0000}"/>
    <cellStyle name="Normal 2 2 2 3 5 6 2" xfId="9516" xr:uid="{00000000-0005-0000-0000-0000CA0B0000}"/>
    <cellStyle name="Normal 2 2 2 3 5 6_SSL" xfId="12813" xr:uid="{00000000-0005-0000-0000-0000CB0B0000}"/>
    <cellStyle name="Normal 2 2 2 3 5 7" xfId="3692" xr:uid="{00000000-0005-0000-0000-0000CC0B0000}"/>
    <cellStyle name="Normal 2 2 2 3 5 7 2" xfId="10332" xr:uid="{00000000-0005-0000-0000-0000CD0B0000}"/>
    <cellStyle name="Normal 2 2 2 3 5 7_SSL" xfId="17542" xr:uid="{00000000-0005-0000-0000-0000CE0B0000}"/>
    <cellStyle name="Normal 2 2 2 3 5 8" xfId="4503" xr:uid="{00000000-0005-0000-0000-0000CF0B0000}"/>
    <cellStyle name="Normal 2 2 2 3 5 8 2" xfId="11142" xr:uid="{00000000-0005-0000-0000-0000D00B0000}"/>
    <cellStyle name="Normal 2 2 2 3 5 8_SSL" xfId="13620" xr:uid="{00000000-0005-0000-0000-0000D10B0000}"/>
    <cellStyle name="Normal 2 2 2 3 5 9" xfId="5313" xr:uid="{00000000-0005-0000-0000-0000D20B0000}"/>
    <cellStyle name="Normal 2 2 2 3 5 9 2" xfId="11951" xr:uid="{00000000-0005-0000-0000-0000D30B0000}"/>
    <cellStyle name="Normal 2 2 2 3 5 9_SSL" xfId="16263" xr:uid="{00000000-0005-0000-0000-0000D40B0000}"/>
    <cellStyle name="Normal 2 2 2 3 5_SSL" xfId="18026" xr:uid="{00000000-0005-0000-0000-0000D50B0000}"/>
    <cellStyle name="Normal 2 2 2 3 6" xfId="241" xr:uid="{00000000-0005-0000-0000-0000D60B0000}"/>
    <cellStyle name="Normal 2 2 2 3 6 10" xfId="7118" xr:uid="{00000000-0005-0000-0000-0000D70B0000}"/>
    <cellStyle name="Normal 2 2 2 3 6 11" xfId="6234" xr:uid="{00000000-0005-0000-0000-0000D80B0000}"/>
    <cellStyle name="Normal 2 2 2 3 6 2" xfId="295" xr:uid="{00000000-0005-0000-0000-0000D90B0000}"/>
    <cellStyle name="Normal 2 2 2 3 6 2 10" xfId="6235" xr:uid="{00000000-0005-0000-0000-0000DA0B0000}"/>
    <cellStyle name="Normal 2 2 2 3 6 2 2" xfId="683" xr:uid="{00000000-0005-0000-0000-0000DB0B0000}"/>
    <cellStyle name="Normal 2 2 2 3 6 2 2 2" xfId="1238" xr:uid="{00000000-0005-0000-0000-0000DC0B0000}"/>
    <cellStyle name="Normal 2 2 2 3 6 2 2 2 2" xfId="7893" xr:uid="{00000000-0005-0000-0000-0000DD0B0000}"/>
    <cellStyle name="Normal 2 2 2 3 6 2 2 2_SSL" xfId="14300" xr:uid="{00000000-0005-0000-0000-0000DE0B0000}"/>
    <cellStyle name="Normal 2 2 2 3 6 2 2 3" xfId="2058" xr:uid="{00000000-0005-0000-0000-0000DF0B0000}"/>
    <cellStyle name="Normal 2 2 2 3 6 2 2 3 2" xfId="8706" xr:uid="{00000000-0005-0000-0000-0000E00B0000}"/>
    <cellStyle name="Normal 2 2 2 3 6 2 2 3_SSL" xfId="17074" xr:uid="{00000000-0005-0000-0000-0000E10B0000}"/>
    <cellStyle name="Normal 2 2 2 3 6 2 2 4" xfId="2877" xr:uid="{00000000-0005-0000-0000-0000E20B0000}"/>
    <cellStyle name="Normal 2 2 2 3 6 2 2 4 2" xfId="9522" xr:uid="{00000000-0005-0000-0000-0000E30B0000}"/>
    <cellStyle name="Normal 2 2 2 3 6 2 2 4_SSL" xfId="17652" xr:uid="{00000000-0005-0000-0000-0000E40B0000}"/>
    <cellStyle name="Normal 2 2 2 3 6 2 2 5" xfId="3698" xr:uid="{00000000-0005-0000-0000-0000E50B0000}"/>
    <cellStyle name="Normal 2 2 2 3 6 2 2 5 2" xfId="10338" xr:uid="{00000000-0005-0000-0000-0000E60B0000}"/>
    <cellStyle name="Normal 2 2 2 3 6 2 2 5_SSL" xfId="17855" xr:uid="{00000000-0005-0000-0000-0000E70B0000}"/>
    <cellStyle name="Normal 2 2 2 3 6 2 2 6" xfId="4509" xr:uid="{00000000-0005-0000-0000-0000E80B0000}"/>
    <cellStyle name="Normal 2 2 2 3 6 2 2 6 2" xfId="11148" xr:uid="{00000000-0005-0000-0000-0000E90B0000}"/>
    <cellStyle name="Normal 2 2 2 3 6 2 2 6_SSL" xfId="16973" xr:uid="{00000000-0005-0000-0000-0000EA0B0000}"/>
    <cellStyle name="Normal 2 2 2 3 6 2 2 7" xfId="5319" xr:uid="{00000000-0005-0000-0000-0000EB0B0000}"/>
    <cellStyle name="Normal 2 2 2 3 6 2 2 7 2" xfId="11957" xr:uid="{00000000-0005-0000-0000-0000EC0B0000}"/>
    <cellStyle name="Normal 2 2 2 3 6 2 2 7_SSL" xfId="14624" xr:uid="{00000000-0005-0000-0000-0000ED0B0000}"/>
    <cellStyle name="Normal 2 2 2 3 6 2 2 8" xfId="7539" xr:uid="{00000000-0005-0000-0000-0000EE0B0000}"/>
    <cellStyle name="Normal 2 2 2 3 6 2 2 9" xfId="6236" xr:uid="{00000000-0005-0000-0000-0000EF0B0000}"/>
    <cellStyle name="Normal 2 2 2 3 6 2 2_SSL" xfId="13271" xr:uid="{00000000-0005-0000-0000-0000F00B0000}"/>
    <cellStyle name="Normal 2 2 2 3 6 2 3" xfId="1237" xr:uid="{00000000-0005-0000-0000-0000F10B0000}"/>
    <cellStyle name="Normal 2 2 2 3 6 2 3 2" xfId="7892" xr:uid="{00000000-0005-0000-0000-0000F20B0000}"/>
    <cellStyle name="Normal 2 2 2 3 6 2 3_SSL" xfId="14759" xr:uid="{00000000-0005-0000-0000-0000F30B0000}"/>
    <cellStyle name="Normal 2 2 2 3 6 2 4" xfId="2057" xr:uid="{00000000-0005-0000-0000-0000F40B0000}"/>
    <cellStyle name="Normal 2 2 2 3 6 2 4 2" xfId="8705" xr:uid="{00000000-0005-0000-0000-0000F50B0000}"/>
    <cellStyle name="Normal 2 2 2 3 6 2 4_SSL" xfId="17892" xr:uid="{00000000-0005-0000-0000-0000F60B0000}"/>
    <cellStyle name="Normal 2 2 2 3 6 2 5" xfId="2876" xr:uid="{00000000-0005-0000-0000-0000F70B0000}"/>
    <cellStyle name="Normal 2 2 2 3 6 2 5 2" xfId="9521" xr:uid="{00000000-0005-0000-0000-0000F80B0000}"/>
    <cellStyle name="Normal 2 2 2 3 6 2 5_SSL" xfId="13446" xr:uid="{00000000-0005-0000-0000-0000F90B0000}"/>
    <cellStyle name="Normal 2 2 2 3 6 2 6" xfId="3697" xr:uid="{00000000-0005-0000-0000-0000FA0B0000}"/>
    <cellStyle name="Normal 2 2 2 3 6 2 6 2" xfId="10337" xr:uid="{00000000-0005-0000-0000-0000FB0B0000}"/>
    <cellStyle name="Normal 2 2 2 3 6 2 6_SSL" xfId="12730" xr:uid="{00000000-0005-0000-0000-0000FC0B0000}"/>
    <cellStyle name="Normal 2 2 2 3 6 2 7" xfId="4508" xr:uid="{00000000-0005-0000-0000-0000FD0B0000}"/>
    <cellStyle name="Normal 2 2 2 3 6 2 7 2" xfId="11147" xr:uid="{00000000-0005-0000-0000-0000FE0B0000}"/>
    <cellStyle name="Normal 2 2 2 3 6 2 7_SSL" xfId="12729" xr:uid="{00000000-0005-0000-0000-0000FF0B0000}"/>
    <cellStyle name="Normal 2 2 2 3 6 2 8" xfId="5318" xr:uid="{00000000-0005-0000-0000-0000000C0000}"/>
    <cellStyle name="Normal 2 2 2 3 6 2 8 2" xfId="11956" xr:uid="{00000000-0005-0000-0000-0000010C0000}"/>
    <cellStyle name="Normal 2 2 2 3 6 2 8_SSL" xfId="14820" xr:uid="{00000000-0005-0000-0000-0000020C0000}"/>
    <cellStyle name="Normal 2 2 2 3 6 2 9" xfId="7155" xr:uid="{00000000-0005-0000-0000-0000030C0000}"/>
    <cellStyle name="Normal 2 2 2 3 6 2_SSL" xfId="17714" xr:uid="{00000000-0005-0000-0000-0000040C0000}"/>
    <cellStyle name="Normal 2 2 2 3 6 3" xfId="646" xr:uid="{00000000-0005-0000-0000-0000050C0000}"/>
    <cellStyle name="Normal 2 2 2 3 6 3 2" xfId="1239" xr:uid="{00000000-0005-0000-0000-0000060C0000}"/>
    <cellStyle name="Normal 2 2 2 3 6 3 2 2" xfId="7894" xr:uid="{00000000-0005-0000-0000-0000070C0000}"/>
    <cellStyle name="Normal 2 2 2 3 6 3 2_SSL" xfId="16499" xr:uid="{00000000-0005-0000-0000-0000080C0000}"/>
    <cellStyle name="Normal 2 2 2 3 6 3 3" xfId="2059" xr:uid="{00000000-0005-0000-0000-0000090C0000}"/>
    <cellStyle name="Normal 2 2 2 3 6 3 3 2" xfId="8707" xr:uid="{00000000-0005-0000-0000-00000A0C0000}"/>
    <cellStyle name="Normal 2 2 2 3 6 3 3_SSL" xfId="17715" xr:uid="{00000000-0005-0000-0000-00000B0C0000}"/>
    <cellStyle name="Normal 2 2 2 3 6 3 4" xfId="2878" xr:uid="{00000000-0005-0000-0000-00000C0C0000}"/>
    <cellStyle name="Normal 2 2 2 3 6 3 4 2" xfId="9523" xr:uid="{00000000-0005-0000-0000-00000D0C0000}"/>
    <cellStyle name="Normal 2 2 2 3 6 3 4_SSL" xfId="17340" xr:uid="{00000000-0005-0000-0000-00000E0C0000}"/>
    <cellStyle name="Normal 2 2 2 3 6 3 5" xfId="3699" xr:uid="{00000000-0005-0000-0000-00000F0C0000}"/>
    <cellStyle name="Normal 2 2 2 3 6 3 5 2" xfId="10339" xr:uid="{00000000-0005-0000-0000-0000100C0000}"/>
    <cellStyle name="Normal 2 2 2 3 6 3 5_SSL" xfId="14290" xr:uid="{00000000-0005-0000-0000-0000110C0000}"/>
    <cellStyle name="Normal 2 2 2 3 6 3 6" xfId="4510" xr:uid="{00000000-0005-0000-0000-0000120C0000}"/>
    <cellStyle name="Normal 2 2 2 3 6 3 6 2" xfId="11149" xr:uid="{00000000-0005-0000-0000-0000130C0000}"/>
    <cellStyle name="Normal 2 2 2 3 6 3 6_SSL" xfId="13153" xr:uid="{00000000-0005-0000-0000-0000140C0000}"/>
    <cellStyle name="Normal 2 2 2 3 6 3 7" xfId="5320" xr:uid="{00000000-0005-0000-0000-0000150C0000}"/>
    <cellStyle name="Normal 2 2 2 3 6 3 7 2" xfId="11958" xr:uid="{00000000-0005-0000-0000-0000160C0000}"/>
    <cellStyle name="Normal 2 2 2 3 6 3 7_SSL" xfId="15117" xr:uid="{00000000-0005-0000-0000-0000170C0000}"/>
    <cellStyle name="Normal 2 2 2 3 6 3 8" xfId="7502" xr:uid="{00000000-0005-0000-0000-0000180C0000}"/>
    <cellStyle name="Normal 2 2 2 3 6 3 9" xfId="6237" xr:uid="{00000000-0005-0000-0000-0000190C0000}"/>
    <cellStyle name="Normal 2 2 2 3 6 3_SSL" xfId="15250" xr:uid="{00000000-0005-0000-0000-00001A0C0000}"/>
    <cellStyle name="Normal 2 2 2 3 6 4" xfId="1236" xr:uid="{00000000-0005-0000-0000-00001B0C0000}"/>
    <cellStyle name="Normal 2 2 2 3 6 4 2" xfId="7891" xr:uid="{00000000-0005-0000-0000-00001C0C0000}"/>
    <cellStyle name="Normal 2 2 2 3 6 4_SSL" xfId="15187" xr:uid="{00000000-0005-0000-0000-00001D0C0000}"/>
    <cellStyle name="Normal 2 2 2 3 6 5" xfId="2056" xr:uid="{00000000-0005-0000-0000-00001E0C0000}"/>
    <cellStyle name="Normal 2 2 2 3 6 5 2" xfId="8704" xr:uid="{00000000-0005-0000-0000-00001F0C0000}"/>
    <cellStyle name="Normal 2 2 2 3 6 5_SSL" xfId="17465" xr:uid="{00000000-0005-0000-0000-0000200C0000}"/>
    <cellStyle name="Normal 2 2 2 3 6 6" xfId="2875" xr:uid="{00000000-0005-0000-0000-0000210C0000}"/>
    <cellStyle name="Normal 2 2 2 3 6 6 2" xfId="9520" xr:uid="{00000000-0005-0000-0000-0000220C0000}"/>
    <cellStyle name="Normal 2 2 2 3 6 6_SSL" xfId="17754" xr:uid="{00000000-0005-0000-0000-0000230C0000}"/>
    <cellStyle name="Normal 2 2 2 3 6 7" xfId="3696" xr:uid="{00000000-0005-0000-0000-0000240C0000}"/>
    <cellStyle name="Normal 2 2 2 3 6 7 2" xfId="10336" xr:uid="{00000000-0005-0000-0000-0000250C0000}"/>
    <cellStyle name="Normal 2 2 2 3 6 7_SSL" xfId="17921" xr:uid="{00000000-0005-0000-0000-0000260C0000}"/>
    <cellStyle name="Normal 2 2 2 3 6 8" xfId="4507" xr:uid="{00000000-0005-0000-0000-0000270C0000}"/>
    <cellStyle name="Normal 2 2 2 3 6 8 2" xfId="11146" xr:uid="{00000000-0005-0000-0000-0000280C0000}"/>
    <cellStyle name="Normal 2 2 2 3 6 8_SSL" xfId="17908" xr:uid="{00000000-0005-0000-0000-0000290C0000}"/>
    <cellStyle name="Normal 2 2 2 3 6 9" xfId="5317" xr:uid="{00000000-0005-0000-0000-00002A0C0000}"/>
    <cellStyle name="Normal 2 2 2 3 6 9 2" xfId="11955" xr:uid="{00000000-0005-0000-0000-00002B0C0000}"/>
    <cellStyle name="Normal 2 2 2 3 6 9_SSL" xfId="15093" xr:uid="{00000000-0005-0000-0000-00002C0C0000}"/>
    <cellStyle name="Normal 2 2 2 3 6_SSL" xfId="17450" xr:uid="{00000000-0005-0000-0000-00002D0C0000}"/>
    <cellStyle name="Normal 2 2 2 3 7" xfId="288" xr:uid="{00000000-0005-0000-0000-00002E0C0000}"/>
    <cellStyle name="Normal 2 2 2 3 7 10" xfId="6238" xr:uid="{00000000-0005-0000-0000-00002F0C0000}"/>
    <cellStyle name="Normal 2 2 2 3 7 2" xfId="676" xr:uid="{00000000-0005-0000-0000-0000300C0000}"/>
    <cellStyle name="Normal 2 2 2 3 7 2 2" xfId="1241" xr:uid="{00000000-0005-0000-0000-0000310C0000}"/>
    <cellStyle name="Normal 2 2 2 3 7 2 2 2" xfId="7896" xr:uid="{00000000-0005-0000-0000-0000320C0000}"/>
    <cellStyle name="Normal 2 2 2 3 7 2 2_SSL" xfId="13222" xr:uid="{00000000-0005-0000-0000-0000330C0000}"/>
    <cellStyle name="Normal 2 2 2 3 7 2 3" xfId="2061" xr:uid="{00000000-0005-0000-0000-0000340C0000}"/>
    <cellStyle name="Normal 2 2 2 3 7 2 3 2" xfId="8709" xr:uid="{00000000-0005-0000-0000-0000350C0000}"/>
    <cellStyle name="Normal 2 2 2 3 7 2 3_SSL" xfId="13809" xr:uid="{00000000-0005-0000-0000-0000360C0000}"/>
    <cellStyle name="Normal 2 2 2 3 7 2 4" xfId="2880" xr:uid="{00000000-0005-0000-0000-0000370C0000}"/>
    <cellStyle name="Normal 2 2 2 3 7 2 4 2" xfId="9525" xr:uid="{00000000-0005-0000-0000-0000380C0000}"/>
    <cellStyle name="Normal 2 2 2 3 7 2 4_SSL" xfId="17206" xr:uid="{00000000-0005-0000-0000-0000390C0000}"/>
    <cellStyle name="Normal 2 2 2 3 7 2 5" xfId="3701" xr:uid="{00000000-0005-0000-0000-00003A0C0000}"/>
    <cellStyle name="Normal 2 2 2 3 7 2 5 2" xfId="10341" xr:uid="{00000000-0005-0000-0000-00003B0C0000}"/>
    <cellStyle name="Normal 2 2 2 3 7 2 5_SSL" xfId="13212" xr:uid="{00000000-0005-0000-0000-00003C0C0000}"/>
    <cellStyle name="Normal 2 2 2 3 7 2 6" xfId="4512" xr:uid="{00000000-0005-0000-0000-00003D0C0000}"/>
    <cellStyle name="Normal 2 2 2 3 7 2 6 2" xfId="11151" xr:uid="{00000000-0005-0000-0000-00003E0C0000}"/>
    <cellStyle name="Normal 2 2 2 3 7 2 6_SSL" xfId="15764" xr:uid="{00000000-0005-0000-0000-00003F0C0000}"/>
    <cellStyle name="Normal 2 2 2 3 7 2 7" xfId="5322" xr:uid="{00000000-0005-0000-0000-0000400C0000}"/>
    <cellStyle name="Normal 2 2 2 3 7 2 7 2" xfId="11960" xr:uid="{00000000-0005-0000-0000-0000410C0000}"/>
    <cellStyle name="Normal 2 2 2 3 7 2 7_SSL" xfId="14423" xr:uid="{00000000-0005-0000-0000-0000420C0000}"/>
    <cellStyle name="Normal 2 2 2 3 7 2 8" xfId="7532" xr:uid="{00000000-0005-0000-0000-0000430C0000}"/>
    <cellStyle name="Normal 2 2 2 3 7 2 9" xfId="6239" xr:uid="{00000000-0005-0000-0000-0000440C0000}"/>
    <cellStyle name="Normal 2 2 2 3 7 2_SSL" xfId="17512" xr:uid="{00000000-0005-0000-0000-0000450C0000}"/>
    <cellStyle name="Normal 2 2 2 3 7 3" xfId="1240" xr:uid="{00000000-0005-0000-0000-0000460C0000}"/>
    <cellStyle name="Normal 2 2 2 3 7 3 2" xfId="7895" xr:uid="{00000000-0005-0000-0000-0000470C0000}"/>
    <cellStyle name="Normal 2 2 2 3 7 3_SSL" xfId="16508" xr:uid="{00000000-0005-0000-0000-0000480C0000}"/>
    <cellStyle name="Normal 2 2 2 3 7 4" xfId="2060" xr:uid="{00000000-0005-0000-0000-0000490C0000}"/>
    <cellStyle name="Normal 2 2 2 3 7 4 2" xfId="8708" xr:uid="{00000000-0005-0000-0000-00004A0C0000}"/>
    <cellStyle name="Normal 2 2 2 3 7 4_SSL" xfId="15826" xr:uid="{00000000-0005-0000-0000-00004B0C0000}"/>
    <cellStyle name="Normal 2 2 2 3 7 5" xfId="2879" xr:uid="{00000000-0005-0000-0000-00004C0C0000}"/>
    <cellStyle name="Normal 2 2 2 3 7 5 2" xfId="9524" xr:uid="{00000000-0005-0000-0000-00004D0C0000}"/>
    <cellStyle name="Normal 2 2 2 3 7 5_SSL" xfId="14597" xr:uid="{00000000-0005-0000-0000-00004E0C0000}"/>
    <cellStyle name="Normal 2 2 2 3 7 6" xfId="3700" xr:uid="{00000000-0005-0000-0000-00004F0C0000}"/>
    <cellStyle name="Normal 2 2 2 3 7 6 2" xfId="10340" xr:uid="{00000000-0005-0000-0000-0000500C0000}"/>
    <cellStyle name="Normal 2 2 2 3 7 6_SSL" xfId="7781" xr:uid="{00000000-0005-0000-0000-0000510C0000}"/>
    <cellStyle name="Normal 2 2 2 3 7 7" xfId="4511" xr:uid="{00000000-0005-0000-0000-0000520C0000}"/>
    <cellStyle name="Normal 2 2 2 3 7 7 2" xfId="11150" xr:uid="{00000000-0005-0000-0000-0000530C0000}"/>
    <cellStyle name="Normal 2 2 2 3 7 7_SSL" xfId="17336" xr:uid="{00000000-0005-0000-0000-0000540C0000}"/>
    <cellStyle name="Normal 2 2 2 3 7 8" xfId="5321" xr:uid="{00000000-0005-0000-0000-0000550C0000}"/>
    <cellStyle name="Normal 2 2 2 3 7 8 2" xfId="11959" xr:uid="{00000000-0005-0000-0000-0000560C0000}"/>
    <cellStyle name="Normal 2 2 2 3 7 8_SSL" xfId="15327" xr:uid="{00000000-0005-0000-0000-0000570C0000}"/>
    <cellStyle name="Normal 2 2 2 3 7 9" xfId="7148" xr:uid="{00000000-0005-0000-0000-0000580C0000}"/>
    <cellStyle name="Normal 2 2 2 3 7_SSL" xfId="16551" xr:uid="{00000000-0005-0000-0000-0000590C0000}"/>
    <cellStyle name="Normal 2 2 2 3 8" xfId="479" xr:uid="{00000000-0005-0000-0000-00005A0C0000}"/>
    <cellStyle name="Normal 2 2 2 3 8 2" xfId="1242" xr:uid="{00000000-0005-0000-0000-00005B0C0000}"/>
    <cellStyle name="Normal 2 2 2 3 8 2 2" xfId="7897" xr:uid="{00000000-0005-0000-0000-00005C0C0000}"/>
    <cellStyle name="Normal 2 2 2 3 8 2_SSL" xfId="15108" xr:uid="{00000000-0005-0000-0000-00005D0C0000}"/>
    <cellStyle name="Normal 2 2 2 3 8 3" xfId="2062" xr:uid="{00000000-0005-0000-0000-00005E0C0000}"/>
    <cellStyle name="Normal 2 2 2 3 8 3 2" xfId="8710" xr:uid="{00000000-0005-0000-0000-00005F0C0000}"/>
    <cellStyle name="Normal 2 2 2 3 8 3_SSL" xfId="15343" xr:uid="{00000000-0005-0000-0000-0000600C0000}"/>
    <cellStyle name="Normal 2 2 2 3 8 4" xfId="2881" xr:uid="{00000000-0005-0000-0000-0000610C0000}"/>
    <cellStyle name="Normal 2 2 2 3 8 4 2" xfId="9526" xr:uid="{00000000-0005-0000-0000-0000620C0000}"/>
    <cellStyle name="Normal 2 2 2 3 8 4_SSL" xfId="17555" xr:uid="{00000000-0005-0000-0000-0000630C0000}"/>
    <cellStyle name="Normal 2 2 2 3 8 5" xfId="3702" xr:uid="{00000000-0005-0000-0000-0000640C0000}"/>
    <cellStyle name="Normal 2 2 2 3 8 5 2" xfId="10342" xr:uid="{00000000-0005-0000-0000-0000650C0000}"/>
    <cellStyle name="Normal 2 2 2 3 8 5_SSL" xfId="17497" xr:uid="{00000000-0005-0000-0000-0000660C0000}"/>
    <cellStyle name="Normal 2 2 2 3 8 6" xfId="4513" xr:uid="{00000000-0005-0000-0000-0000670C0000}"/>
    <cellStyle name="Normal 2 2 2 3 8 6 2" xfId="11152" xr:uid="{00000000-0005-0000-0000-0000680C0000}"/>
    <cellStyle name="Normal 2 2 2 3 8 6_SSL" xfId="12674" xr:uid="{00000000-0005-0000-0000-0000690C0000}"/>
    <cellStyle name="Normal 2 2 2 3 8 7" xfId="5323" xr:uid="{00000000-0005-0000-0000-00006A0C0000}"/>
    <cellStyle name="Normal 2 2 2 3 8 7 2" xfId="11961" xr:uid="{00000000-0005-0000-0000-00006B0C0000}"/>
    <cellStyle name="Normal 2 2 2 3 8 7_SSL" xfId="13112" xr:uid="{00000000-0005-0000-0000-00006C0C0000}"/>
    <cellStyle name="Normal 2 2 2 3 8 8" xfId="7335" xr:uid="{00000000-0005-0000-0000-00006D0C0000}"/>
    <cellStyle name="Normal 2 2 2 3 8 9" xfId="6240" xr:uid="{00000000-0005-0000-0000-00006E0C0000}"/>
    <cellStyle name="Normal 2 2 2 3 8_SSL" xfId="13834" xr:uid="{00000000-0005-0000-0000-00006F0C0000}"/>
    <cellStyle name="Normal 2 2 2 3 9" xfId="1211" xr:uid="{00000000-0005-0000-0000-0000700C0000}"/>
    <cellStyle name="Normal 2 2 2 3 9 2" xfId="7866" xr:uid="{00000000-0005-0000-0000-0000710C0000}"/>
    <cellStyle name="Normal 2 2 2 3 9_SSL" xfId="14058" xr:uid="{00000000-0005-0000-0000-0000720C0000}"/>
    <cellStyle name="Normal 2 2 2 3_SSL" xfId="13886" xr:uid="{00000000-0005-0000-0000-0000730C0000}"/>
    <cellStyle name="Normal 2 2 2 4" xfId="81" xr:uid="{00000000-0005-0000-0000-0000740C0000}"/>
    <cellStyle name="Normal 2 2 2 4 10" xfId="5324" xr:uid="{00000000-0005-0000-0000-0000750C0000}"/>
    <cellStyle name="Normal 2 2 2 4 10 2" xfId="11962" xr:uid="{00000000-0005-0000-0000-0000760C0000}"/>
    <cellStyle name="Normal 2 2 2 4 10_SSL" xfId="17600" xr:uid="{00000000-0005-0000-0000-0000770C0000}"/>
    <cellStyle name="Normal 2 2 2 4 11" xfId="6962" xr:uid="{00000000-0005-0000-0000-0000780C0000}"/>
    <cellStyle name="Normal 2 2 2 4 12" xfId="6241" xr:uid="{00000000-0005-0000-0000-0000790C0000}"/>
    <cellStyle name="Normal 2 2 2 4 2" xfId="181" xr:uid="{00000000-0005-0000-0000-00007A0C0000}"/>
    <cellStyle name="Normal 2 2 2 4 2 10" xfId="7058" xr:uid="{00000000-0005-0000-0000-00007B0C0000}"/>
    <cellStyle name="Normal 2 2 2 4 2 11" xfId="6242" xr:uid="{00000000-0005-0000-0000-00007C0C0000}"/>
    <cellStyle name="Normal 2 2 2 4 2 2" xfId="297" xr:uid="{00000000-0005-0000-0000-00007D0C0000}"/>
    <cellStyle name="Normal 2 2 2 4 2 2 10" xfId="6243" xr:uid="{00000000-0005-0000-0000-00007E0C0000}"/>
    <cellStyle name="Normal 2 2 2 4 2 2 2" xfId="685" xr:uid="{00000000-0005-0000-0000-00007F0C0000}"/>
    <cellStyle name="Normal 2 2 2 4 2 2 2 2" xfId="1246" xr:uid="{00000000-0005-0000-0000-0000800C0000}"/>
    <cellStyle name="Normal 2 2 2 4 2 2 2 2 2" xfId="7901" xr:uid="{00000000-0005-0000-0000-0000810C0000}"/>
    <cellStyle name="Normal 2 2 2 4 2 2 2 2_SSL" xfId="12817" xr:uid="{00000000-0005-0000-0000-0000820C0000}"/>
    <cellStyle name="Normal 2 2 2 4 2 2 2 3" xfId="2066" xr:uid="{00000000-0005-0000-0000-0000830C0000}"/>
    <cellStyle name="Normal 2 2 2 4 2 2 2 3 2" xfId="8714" xr:uid="{00000000-0005-0000-0000-0000840C0000}"/>
    <cellStyle name="Normal 2 2 2 4 2 2 2 3_SSL" xfId="6010" xr:uid="{00000000-0005-0000-0000-0000850C0000}"/>
    <cellStyle name="Normal 2 2 2 4 2 2 2 4" xfId="2885" xr:uid="{00000000-0005-0000-0000-0000860C0000}"/>
    <cellStyle name="Normal 2 2 2 4 2 2 2 4 2" xfId="9530" xr:uid="{00000000-0005-0000-0000-0000870C0000}"/>
    <cellStyle name="Normal 2 2 2 4 2 2 2 4_SSL" xfId="17368" xr:uid="{00000000-0005-0000-0000-0000880C0000}"/>
    <cellStyle name="Normal 2 2 2 4 2 2 2 5" xfId="3706" xr:uid="{00000000-0005-0000-0000-0000890C0000}"/>
    <cellStyle name="Normal 2 2 2 4 2 2 2 5 2" xfId="10346" xr:uid="{00000000-0005-0000-0000-00008A0C0000}"/>
    <cellStyle name="Normal 2 2 2 4 2 2 2 5_SSL" xfId="13775" xr:uid="{00000000-0005-0000-0000-00008B0C0000}"/>
    <cellStyle name="Normal 2 2 2 4 2 2 2 6" xfId="4517" xr:uid="{00000000-0005-0000-0000-00008C0C0000}"/>
    <cellStyle name="Normal 2 2 2 4 2 2 2 6 2" xfId="11156" xr:uid="{00000000-0005-0000-0000-00008D0C0000}"/>
    <cellStyle name="Normal 2 2 2 4 2 2 2 6_SSL" xfId="16922" xr:uid="{00000000-0005-0000-0000-00008E0C0000}"/>
    <cellStyle name="Normal 2 2 2 4 2 2 2 7" xfId="5327" xr:uid="{00000000-0005-0000-0000-00008F0C0000}"/>
    <cellStyle name="Normal 2 2 2 4 2 2 2 7 2" xfId="11965" xr:uid="{00000000-0005-0000-0000-0000900C0000}"/>
    <cellStyle name="Normal 2 2 2 4 2 2 2 7_SSL" xfId="14092" xr:uid="{00000000-0005-0000-0000-0000910C0000}"/>
    <cellStyle name="Normal 2 2 2 4 2 2 2 8" xfId="7541" xr:uid="{00000000-0005-0000-0000-0000920C0000}"/>
    <cellStyle name="Normal 2 2 2 4 2 2 2 9" xfId="6244" xr:uid="{00000000-0005-0000-0000-0000930C0000}"/>
    <cellStyle name="Normal 2 2 2 4 2 2 2_SSL" xfId="14090" xr:uid="{00000000-0005-0000-0000-0000940C0000}"/>
    <cellStyle name="Normal 2 2 2 4 2 2 3" xfId="1245" xr:uid="{00000000-0005-0000-0000-0000950C0000}"/>
    <cellStyle name="Normal 2 2 2 4 2 2 3 2" xfId="7900" xr:uid="{00000000-0005-0000-0000-0000960C0000}"/>
    <cellStyle name="Normal 2 2 2 4 2 2 3_SSL" xfId="16393" xr:uid="{00000000-0005-0000-0000-0000970C0000}"/>
    <cellStyle name="Normal 2 2 2 4 2 2 4" xfId="2065" xr:uid="{00000000-0005-0000-0000-0000980C0000}"/>
    <cellStyle name="Normal 2 2 2 4 2 2 4 2" xfId="8713" xr:uid="{00000000-0005-0000-0000-0000990C0000}"/>
    <cellStyle name="Normal 2 2 2 4 2 2 4_SSL" xfId="16134" xr:uid="{00000000-0005-0000-0000-00009A0C0000}"/>
    <cellStyle name="Normal 2 2 2 4 2 2 5" xfId="2884" xr:uid="{00000000-0005-0000-0000-00009B0C0000}"/>
    <cellStyle name="Normal 2 2 2 4 2 2 5 2" xfId="9529" xr:uid="{00000000-0005-0000-0000-00009C0C0000}"/>
    <cellStyle name="Normal 2 2 2 4 2 2 5_SSL" xfId="16871" xr:uid="{00000000-0005-0000-0000-00009D0C0000}"/>
    <cellStyle name="Normal 2 2 2 4 2 2 6" xfId="3705" xr:uid="{00000000-0005-0000-0000-00009E0C0000}"/>
    <cellStyle name="Normal 2 2 2 4 2 2 6 2" xfId="10345" xr:uid="{00000000-0005-0000-0000-00009F0C0000}"/>
    <cellStyle name="Normal 2 2 2 4 2 2 6_SSL" xfId="16571" xr:uid="{00000000-0005-0000-0000-0000A00C0000}"/>
    <cellStyle name="Normal 2 2 2 4 2 2 7" xfId="4516" xr:uid="{00000000-0005-0000-0000-0000A10C0000}"/>
    <cellStyle name="Normal 2 2 2 4 2 2 7 2" xfId="11155" xr:uid="{00000000-0005-0000-0000-0000A20C0000}"/>
    <cellStyle name="Normal 2 2 2 4 2 2 7_SSL" xfId="6710" xr:uid="{00000000-0005-0000-0000-0000A30C0000}"/>
    <cellStyle name="Normal 2 2 2 4 2 2 8" xfId="5326" xr:uid="{00000000-0005-0000-0000-0000A40C0000}"/>
    <cellStyle name="Normal 2 2 2 4 2 2 8 2" xfId="11964" xr:uid="{00000000-0005-0000-0000-0000A50C0000}"/>
    <cellStyle name="Normal 2 2 2 4 2 2 8_SSL" xfId="16317" xr:uid="{00000000-0005-0000-0000-0000A60C0000}"/>
    <cellStyle name="Normal 2 2 2 4 2 2 9" xfId="7157" xr:uid="{00000000-0005-0000-0000-0000A70C0000}"/>
    <cellStyle name="Normal 2 2 2 4 2 2_SSL" xfId="16288" xr:uid="{00000000-0005-0000-0000-0000A80C0000}"/>
    <cellStyle name="Normal 2 2 2 4 2 3" xfId="586" xr:uid="{00000000-0005-0000-0000-0000A90C0000}"/>
    <cellStyle name="Normal 2 2 2 4 2 3 2" xfId="1247" xr:uid="{00000000-0005-0000-0000-0000AA0C0000}"/>
    <cellStyle name="Normal 2 2 2 4 2 3 2 2" xfId="7902" xr:uid="{00000000-0005-0000-0000-0000AB0C0000}"/>
    <cellStyle name="Normal 2 2 2 4 2 3 2_SSL" xfId="13797" xr:uid="{00000000-0005-0000-0000-0000AC0C0000}"/>
    <cellStyle name="Normal 2 2 2 4 2 3 3" xfId="2067" xr:uid="{00000000-0005-0000-0000-0000AD0C0000}"/>
    <cellStyle name="Normal 2 2 2 4 2 3 3 2" xfId="8715" xr:uid="{00000000-0005-0000-0000-0000AE0C0000}"/>
    <cellStyle name="Normal 2 2 2 4 2 3 3_SSL" xfId="12988" xr:uid="{00000000-0005-0000-0000-0000AF0C0000}"/>
    <cellStyle name="Normal 2 2 2 4 2 3 4" xfId="2886" xr:uid="{00000000-0005-0000-0000-0000B00C0000}"/>
    <cellStyle name="Normal 2 2 2 4 2 3 4 2" xfId="9531" xr:uid="{00000000-0005-0000-0000-0000B10C0000}"/>
    <cellStyle name="Normal 2 2 2 4 2 3 4_SSL" xfId="13480" xr:uid="{00000000-0005-0000-0000-0000B20C0000}"/>
    <cellStyle name="Normal 2 2 2 4 2 3 5" xfId="3707" xr:uid="{00000000-0005-0000-0000-0000B30C0000}"/>
    <cellStyle name="Normal 2 2 2 4 2 3 5 2" xfId="10347" xr:uid="{00000000-0005-0000-0000-0000B40C0000}"/>
    <cellStyle name="Normal 2 2 2 4 2 3 5_SSL" xfId="6029" xr:uid="{00000000-0005-0000-0000-0000B50C0000}"/>
    <cellStyle name="Normal 2 2 2 4 2 3 6" xfId="4518" xr:uid="{00000000-0005-0000-0000-0000B60C0000}"/>
    <cellStyle name="Normal 2 2 2 4 2 3 6 2" xfId="11157" xr:uid="{00000000-0005-0000-0000-0000B70C0000}"/>
    <cellStyle name="Normal 2 2 2 4 2 3 6_SSL" xfId="14993" xr:uid="{00000000-0005-0000-0000-0000B80C0000}"/>
    <cellStyle name="Normal 2 2 2 4 2 3 7" xfId="5328" xr:uid="{00000000-0005-0000-0000-0000B90C0000}"/>
    <cellStyle name="Normal 2 2 2 4 2 3 7 2" xfId="11966" xr:uid="{00000000-0005-0000-0000-0000BA0C0000}"/>
    <cellStyle name="Normal 2 2 2 4 2 3 7_SSL" xfId="15866" xr:uid="{00000000-0005-0000-0000-0000BB0C0000}"/>
    <cellStyle name="Normal 2 2 2 4 2 3 8" xfId="7442" xr:uid="{00000000-0005-0000-0000-0000BC0C0000}"/>
    <cellStyle name="Normal 2 2 2 4 2 3 9" xfId="6245" xr:uid="{00000000-0005-0000-0000-0000BD0C0000}"/>
    <cellStyle name="Normal 2 2 2 4 2 3_SSL" xfId="16587" xr:uid="{00000000-0005-0000-0000-0000BE0C0000}"/>
    <cellStyle name="Normal 2 2 2 4 2 4" xfId="1244" xr:uid="{00000000-0005-0000-0000-0000BF0C0000}"/>
    <cellStyle name="Normal 2 2 2 4 2 4 2" xfId="7899" xr:uid="{00000000-0005-0000-0000-0000C00C0000}"/>
    <cellStyle name="Normal 2 2 2 4 2 4_SSL" xfId="14571" xr:uid="{00000000-0005-0000-0000-0000C10C0000}"/>
    <cellStyle name="Normal 2 2 2 4 2 5" xfId="2064" xr:uid="{00000000-0005-0000-0000-0000C20C0000}"/>
    <cellStyle name="Normal 2 2 2 4 2 5 2" xfId="8712" xr:uid="{00000000-0005-0000-0000-0000C30C0000}"/>
    <cellStyle name="Normal 2 2 2 4 2 5_SSL" xfId="15026" xr:uid="{00000000-0005-0000-0000-0000C40C0000}"/>
    <cellStyle name="Normal 2 2 2 4 2 6" xfId="2883" xr:uid="{00000000-0005-0000-0000-0000C50C0000}"/>
    <cellStyle name="Normal 2 2 2 4 2 6 2" xfId="9528" xr:uid="{00000000-0005-0000-0000-0000C60C0000}"/>
    <cellStyle name="Normal 2 2 2 4 2 6_SSL" xfId="13484" xr:uid="{00000000-0005-0000-0000-0000C70C0000}"/>
    <cellStyle name="Normal 2 2 2 4 2 7" xfId="3704" xr:uid="{00000000-0005-0000-0000-0000C80C0000}"/>
    <cellStyle name="Normal 2 2 2 4 2 7 2" xfId="10344" xr:uid="{00000000-0005-0000-0000-0000C90C0000}"/>
    <cellStyle name="Normal 2 2 2 4 2 7_SSL" xfId="15738" xr:uid="{00000000-0005-0000-0000-0000CA0C0000}"/>
    <cellStyle name="Normal 2 2 2 4 2 8" xfId="4515" xr:uid="{00000000-0005-0000-0000-0000CB0C0000}"/>
    <cellStyle name="Normal 2 2 2 4 2 8 2" xfId="11154" xr:uid="{00000000-0005-0000-0000-0000CC0C0000}"/>
    <cellStyle name="Normal 2 2 2 4 2 8_SSL" xfId="16446" xr:uid="{00000000-0005-0000-0000-0000CD0C0000}"/>
    <cellStyle name="Normal 2 2 2 4 2 9" xfId="5325" xr:uid="{00000000-0005-0000-0000-0000CE0C0000}"/>
    <cellStyle name="Normal 2 2 2 4 2 9 2" xfId="11963" xr:uid="{00000000-0005-0000-0000-0000CF0C0000}"/>
    <cellStyle name="Normal 2 2 2 4 2 9_SSL" xfId="15074" xr:uid="{00000000-0005-0000-0000-0000D00C0000}"/>
    <cellStyle name="Normal 2 2 2 4 2_SSL" xfId="13743" xr:uid="{00000000-0005-0000-0000-0000D10C0000}"/>
    <cellStyle name="Normal 2 2 2 4 3" xfId="296" xr:uid="{00000000-0005-0000-0000-0000D20C0000}"/>
    <cellStyle name="Normal 2 2 2 4 3 10" xfId="6246" xr:uid="{00000000-0005-0000-0000-0000D30C0000}"/>
    <cellStyle name="Normal 2 2 2 4 3 2" xfId="684" xr:uid="{00000000-0005-0000-0000-0000D40C0000}"/>
    <cellStyle name="Normal 2 2 2 4 3 2 2" xfId="1249" xr:uid="{00000000-0005-0000-0000-0000D50C0000}"/>
    <cellStyle name="Normal 2 2 2 4 3 2 2 2" xfId="7904" xr:uid="{00000000-0005-0000-0000-0000D60C0000}"/>
    <cellStyle name="Normal 2 2 2 4 3 2 2_SSL" xfId="12808" xr:uid="{00000000-0005-0000-0000-0000D70C0000}"/>
    <cellStyle name="Normal 2 2 2 4 3 2 3" xfId="2069" xr:uid="{00000000-0005-0000-0000-0000D80C0000}"/>
    <cellStyle name="Normal 2 2 2 4 3 2 3 2" xfId="8717" xr:uid="{00000000-0005-0000-0000-0000D90C0000}"/>
    <cellStyle name="Normal 2 2 2 4 3 2 3_SSL" xfId="16343" xr:uid="{00000000-0005-0000-0000-0000DA0C0000}"/>
    <cellStyle name="Normal 2 2 2 4 3 2 4" xfId="2888" xr:uid="{00000000-0005-0000-0000-0000DB0C0000}"/>
    <cellStyle name="Normal 2 2 2 4 3 2 4 2" xfId="9533" xr:uid="{00000000-0005-0000-0000-0000DC0C0000}"/>
    <cellStyle name="Normal 2 2 2 4 3 2 4_SSL" xfId="13971" xr:uid="{00000000-0005-0000-0000-0000DD0C0000}"/>
    <cellStyle name="Normal 2 2 2 4 3 2 5" xfId="3709" xr:uid="{00000000-0005-0000-0000-0000DE0C0000}"/>
    <cellStyle name="Normal 2 2 2 4 3 2 5 2" xfId="10349" xr:uid="{00000000-0005-0000-0000-0000DF0C0000}"/>
    <cellStyle name="Normal 2 2 2 4 3 2 5_SSL" xfId="16147" xr:uid="{00000000-0005-0000-0000-0000E00C0000}"/>
    <cellStyle name="Normal 2 2 2 4 3 2 6" xfId="4520" xr:uid="{00000000-0005-0000-0000-0000E10C0000}"/>
    <cellStyle name="Normal 2 2 2 4 3 2 6 2" xfId="11159" xr:uid="{00000000-0005-0000-0000-0000E20C0000}"/>
    <cellStyle name="Normal 2 2 2 4 3 2 6_SSL" xfId="15571" xr:uid="{00000000-0005-0000-0000-0000E30C0000}"/>
    <cellStyle name="Normal 2 2 2 4 3 2 7" xfId="5330" xr:uid="{00000000-0005-0000-0000-0000E40C0000}"/>
    <cellStyle name="Normal 2 2 2 4 3 2 7 2" xfId="11968" xr:uid="{00000000-0005-0000-0000-0000E50C0000}"/>
    <cellStyle name="Normal 2 2 2 4 3 2 7_SSL" xfId="14697" xr:uid="{00000000-0005-0000-0000-0000E60C0000}"/>
    <cellStyle name="Normal 2 2 2 4 3 2 8" xfId="7540" xr:uid="{00000000-0005-0000-0000-0000E70C0000}"/>
    <cellStyle name="Normal 2 2 2 4 3 2 9" xfId="6247" xr:uid="{00000000-0005-0000-0000-0000E80C0000}"/>
    <cellStyle name="Normal 2 2 2 4 3 2_SSL" xfId="14400" xr:uid="{00000000-0005-0000-0000-0000E90C0000}"/>
    <cellStyle name="Normal 2 2 2 4 3 3" xfId="1248" xr:uid="{00000000-0005-0000-0000-0000EA0C0000}"/>
    <cellStyle name="Normal 2 2 2 4 3 3 2" xfId="7903" xr:uid="{00000000-0005-0000-0000-0000EB0C0000}"/>
    <cellStyle name="Normal 2 2 2 4 3 3_SSL" xfId="12747" xr:uid="{00000000-0005-0000-0000-0000EC0C0000}"/>
    <cellStyle name="Normal 2 2 2 4 3 4" xfId="2068" xr:uid="{00000000-0005-0000-0000-0000ED0C0000}"/>
    <cellStyle name="Normal 2 2 2 4 3 4 2" xfId="8716" xr:uid="{00000000-0005-0000-0000-0000EE0C0000}"/>
    <cellStyle name="Normal 2 2 2 4 3 4_SSL" xfId="15342" xr:uid="{00000000-0005-0000-0000-0000EF0C0000}"/>
    <cellStyle name="Normal 2 2 2 4 3 5" xfId="2887" xr:uid="{00000000-0005-0000-0000-0000F00C0000}"/>
    <cellStyle name="Normal 2 2 2 4 3 5 2" xfId="9532" xr:uid="{00000000-0005-0000-0000-0000F10C0000}"/>
    <cellStyle name="Normal 2 2 2 4 3 5_SSL" xfId="16381" xr:uid="{00000000-0005-0000-0000-0000F20C0000}"/>
    <cellStyle name="Normal 2 2 2 4 3 6" xfId="3708" xr:uid="{00000000-0005-0000-0000-0000F30C0000}"/>
    <cellStyle name="Normal 2 2 2 4 3 6 2" xfId="10348" xr:uid="{00000000-0005-0000-0000-0000F40C0000}"/>
    <cellStyle name="Normal 2 2 2 4 3 6_SSL" xfId="17563" xr:uid="{00000000-0005-0000-0000-0000F50C0000}"/>
    <cellStyle name="Normal 2 2 2 4 3 7" xfId="4519" xr:uid="{00000000-0005-0000-0000-0000F60C0000}"/>
    <cellStyle name="Normal 2 2 2 4 3 7 2" xfId="11158" xr:uid="{00000000-0005-0000-0000-0000F70C0000}"/>
    <cellStyle name="Normal 2 2 2 4 3 7_SSL" xfId="16709" xr:uid="{00000000-0005-0000-0000-0000F80C0000}"/>
    <cellStyle name="Normal 2 2 2 4 3 8" xfId="5329" xr:uid="{00000000-0005-0000-0000-0000F90C0000}"/>
    <cellStyle name="Normal 2 2 2 4 3 8 2" xfId="11967" xr:uid="{00000000-0005-0000-0000-0000FA0C0000}"/>
    <cellStyle name="Normal 2 2 2 4 3 8_SSL" xfId="16620" xr:uid="{00000000-0005-0000-0000-0000FB0C0000}"/>
    <cellStyle name="Normal 2 2 2 4 3 9" xfId="7156" xr:uid="{00000000-0005-0000-0000-0000FC0C0000}"/>
    <cellStyle name="Normal 2 2 2 4 3_SSL" xfId="15340" xr:uid="{00000000-0005-0000-0000-0000FD0C0000}"/>
    <cellStyle name="Normal 2 2 2 4 4" xfId="490" xr:uid="{00000000-0005-0000-0000-0000FE0C0000}"/>
    <cellStyle name="Normal 2 2 2 4 4 2" xfId="1250" xr:uid="{00000000-0005-0000-0000-0000FF0C0000}"/>
    <cellStyle name="Normal 2 2 2 4 4 2 2" xfId="7905" xr:uid="{00000000-0005-0000-0000-0000000D0000}"/>
    <cellStyle name="Normal 2 2 2 4 4 2_SSL" xfId="13998" xr:uid="{00000000-0005-0000-0000-0000010D0000}"/>
    <cellStyle name="Normal 2 2 2 4 4 3" xfId="2070" xr:uid="{00000000-0005-0000-0000-0000020D0000}"/>
    <cellStyle name="Normal 2 2 2 4 4 3 2" xfId="8718" xr:uid="{00000000-0005-0000-0000-0000030D0000}"/>
    <cellStyle name="Normal 2 2 2 4 4 3_SSL" xfId="16850" xr:uid="{00000000-0005-0000-0000-0000040D0000}"/>
    <cellStyle name="Normal 2 2 2 4 4 4" xfId="2889" xr:uid="{00000000-0005-0000-0000-0000050D0000}"/>
    <cellStyle name="Normal 2 2 2 4 4 4 2" xfId="9534" xr:uid="{00000000-0005-0000-0000-0000060D0000}"/>
    <cellStyle name="Normal 2 2 2 4 4 4_SSL" xfId="14159" xr:uid="{00000000-0005-0000-0000-0000070D0000}"/>
    <cellStyle name="Normal 2 2 2 4 4 5" xfId="3710" xr:uid="{00000000-0005-0000-0000-0000080D0000}"/>
    <cellStyle name="Normal 2 2 2 4 4 5 2" xfId="10350" xr:uid="{00000000-0005-0000-0000-0000090D0000}"/>
    <cellStyle name="Normal 2 2 2 4 4 5_SSL" xfId="14316" xr:uid="{00000000-0005-0000-0000-00000A0D0000}"/>
    <cellStyle name="Normal 2 2 2 4 4 6" xfId="4521" xr:uid="{00000000-0005-0000-0000-00000B0D0000}"/>
    <cellStyle name="Normal 2 2 2 4 4 6 2" xfId="11160" xr:uid="{00000000-0005-0000-0000-00000C0D0000}"/>
    <cellStyle name="Normal 2 2 2 4 4 6_SSL" xfId="13612" xr:uid="{00000000-0005-0000-0000-00000D0D0000}"/>
    <cellStyle name="Normal 2 2 2 4 4 7" xfId="5331" xr:uid="{00000000-0005-0000-0000-00000E0D0000}"/>
    <cellStyle name="Normal 2 2 2 4 4 7 2" xfId="11969" xr:uid="{00000000-0005-0000-0000-00000F0D0000}"/>
    <cellStyle name="Normal 2 2 2 4 4 7_SSL" xfId="15207" xr:uid="{00000000-0005-0000-0000-0000100D0000}"/>
    <cellStyle name="Normal 2 2 2 4 4 8" xfId="7346" xr:uid="{00000000-0005-0000-0000-0000110D0000}"/>
    <cellStyle name="Normal 2 2 2 4 4 9" xfId="6248" xr:uid="{00000000-0005-0000-0000-0000120D0000}"/>
    <cellStyle name="Normal 2 2 2 4 4_SSL" xfId="16101" xr:uid="{00000000-0005-0000-0000-0000130D0000}"/>
    <cellStyle name="Normal 2 2 2 4 5" xfId="1243" xr:uid="{00000000-0005-0000-0000-0000140D0000}"/>
    <cellStyle name="Normal 2 2 2 4 5 2" xfId="7898" xr:uid="{00000000-0005-0000-0000-0000150D0000}"/>
    <cellStyle name="Normal 2 2 2 4 5_SSL" xfId="16212" xr:uid="{00000000-0005-0000-0000-0000160D0000}"/>
    <cellStyle name="Normal 2 2 2 4 6" xfId="2063" xr:uid="{00000000-0005-0000-0000-0000170D0000}"/>
    <cellStyle name="Normal 2 2 2 4 6 2" xfId="8711" xr:uid="{00000000-0005-0000-0000-0000180D0000}"/>
    <cellStyle name="Normal 2 2 2 4 6_SSL" xfId="13469" xr:uid="{00000000-0005-0000-0000-0000190D0000}"/>
    <cellStyle name="Normal 2 2 2 4 7" xfId="2882" xr:uid="{00000000-0005-0000-0000-00001A0D0000}"/>
    <cellStyle name="Normal 2 2 2 4 7 2" xfId="9527" xr:uid="{00000000-0005-0000-0000-00001B0D0000}"/>
    <cellStyle name="Normal 2 2 2 4 7_SSL" xfId="17324" xr:uid="{00000000-0005-0000-0000-00001C0D0000}"/>
    <cellStyle name="Normal 2 2 2 4 8" xfId="3703" xr:uid="{00000000-0005-0000-0000-00001D0D0000}"/>
    <cellStyle name="Normal 2 2 2 4 8 2" xfId="10343" xr:uid="{00000000-0005-0000-0000-00001E0D0000}"/>
    <cellStyle name="Normal 2 2 2 4 8_SSL" xfId="6070" xr:uid="{00000000-0005-0000-0000-00001F0D0000}"/>
    <cellStyle name="Normal 2 2 2 4 9" xfId="4514" xr:uid="{00000000-0005-0000-0000-0000200D0000}"/>
    <cellStyle name="Normal 2 2 2 4 9 2" xfId="11153" xr:uid="{00000000-0005-0000-0000-0000210D0000}"/>
    <cellStyle name="Normal 2 2 2 4 9_SSL" xfId="17083" xr:uid="{00000000-0005-0000-0000-0000220D0000}"/>
    <cellStyle name="Normal 2 2 2 4_SSL" xfId="17135" xr:uid="{00000000-0005-0000-0000-0000230D0000}"/>
    <cellStyle name="Normal 2 2 2 5" xfId="108" xr:uid="{00000000-0005-0000-0000-0000240D0000}"/>
    <cellStyle name="Normal 2 2 2 5 10" xfId="5332" xr:uid="{00000000-0005-0000-0000-0000250D0000}"/>
    <cellStyle name="Normal 2 2 2 5 10 2" xfId="11970" xr:uid="{00000000-0005-0000-0000-0000260D0000}"/>
    <cellStyle name="Normal 2 2 2 5 10_SSL" xfId="17200" xr:uid="{00000000-0005-0000-0000-0000270D0000}"/>
    <cellStyle name="Normal 2 2 2 5 11" xfId="6985" xr:uid="{00000000-0005-0000-0000-0000280D0000}"/>
    <cellStyle name="Normal 2 2 2 5 12" xfId="6249" xr:uid="{00000000-0005-0000-0000-0000290D0000}"/>
    <cellStyle name="Normal 2 2 2 5 2" xfId="204" xr:uid="{00000000-0005-0000-0000-00002A0D0000}"/>
    <cellStyle name="Normal 2 2 2 5 2 10" xfId="7081" xr:uid="{00000000-0005-0000-0000-00002B0D0000}"/>
    <cellStyle name="Normal 2 2 2 5 2 11" xfId="6250" xr:uid="{00000000-0005-0000-0000-00002C0D0000}"/>
    <cellStyle name="Normal 2 2 2 5 2 2" xfId="299" xr:uid="{00000000-0005-0000-0000-00002D0D0000}"/>
    <cellStyle name="Normal 2 2 2 5 2 2 10" xfId="6251" xr:uid="{00000000-0005-0000-0000-00002E0D0000}"/>
    <cellStyle name="Normal 2 2 2 5 2 2 2" xfId="687" xr:uid="{00000000-0005-0000-0000-00002F0D0000}"/>
    <cellStyle name="Normal 2 2 2 5 2 2 2 2" xfId="1254" xr:uid="{00000000-0005-0000-0000-0000300D0000}"/>
    <cellStyle name="Normal 2 2 2 5 2 2 2 2 2" xfId="7909" xr:uid="{00000000-0005-0000-0000-0000310D0000}"/>
    <cellStyle name="Normal 2 2 2 5 2 2 2 2_SSL" xfId="16271" xr:uid="{00000000-0005-0000-0000-0000320D0000}"/>
    <cellStyle name="Normal 2 2 2 5 2 2 2 3" xfId="2074" xr:uid="{00000000-0005-0000-0000-0000330D0000}"/>
    <cellStyle name="Normal 2 2 2 5 2 2 2 3 2" xfId="8722" xr:uid="{00000000-0005-0000-0000-0000340D0000}"/>
    <cellStyle name="Normal 2 2 2 5 2 2 2 3_SSL" xfId="17573" xr:uid="{00000000-0005-0000-0000-0000350D0000}"/>
    <cellStyle name="Normal 2 2 2 5 2 2 2 4" xfId="2893" xr:uid="{00000000-0005-0000-0000-0000360D0000}"/>
    <cellStyle name="Normal 2 2 2 5 2 2 2 4 2" xfId="9538" xr:uid="{00000000-0005-0000-0000-0000370D0000}"/>
    <cellStyle name="Normal 2 2 2 5 2 2 2 4_SSL" xfId="14875" xr:uid="{00000000-0005-0000-0000-0000380D0000}"/>
    <cellStyle name="Normal 2 2 2 5 2 2 2 5" xfId="3714" xr:uid="{00000000-0005-0000-0000-0000390D0000}"/>
    <cellStyle name="Normal 2 2 2 5 2 2 2 5 2" xfId="10354" xr:uid="{00000000-0005-0000-0000-00003A0D0000}"/>
    <cellStyle name="Normal 2 2 2 5 2 2 2 5_SSL" xfId="15795" xr:uid="{00000000-0005-0000-0000-00003B0D0000}"/>
    <cellStyle name="Normal 2 2 2 5 2 2 2 6" xfId="4525" xr:uid="{00000000-0005-0000-0000-00003C0D0000}"/>
    <cellStyle name="Normal 2 2 2 5 2 2 2 6 2" xfId="11164" xr:uid="{00000000-0005-0000-0000-00003D0D0000}"/>
    <cellStyle name="Normal 2 2 2 5 2 2 2 6_SSL" xfId="15370" xr:uid="{00000000-0005-0000-0000-00003E0D0000}"/>
    <cellStyle name="Normal 2 2 2 5 2 2 2 7" xfId="5335" xr:uid="{00000000-0005-0000-0000-00003F0D0000}"/>
    <cellStyle name="Normal 2 2 2 5 2 2 2 7 2" xfId="11973" xr:uid="{00000000-0005-0000-0000-0000400D0000}"/>
    <cellStyle name="Normal 2 2 2 5 2 2 2 7_SSL" xfId="14669" xr:uid="{00000000-0005-0000-0000-0000410D0000}"/>
    <cellStyle name="Normal 2 2 2 5 2 2 2 8" xfId="7543" xr:uid="{00000000-0005-0000-0000-0000420D0000}"/>
    <cellStyle name="Normal 2 2 2 5 2 2 2 9" xfId="6252" xr:uid="{00000000-0005-0000-0000-0000430D0000}"/>
    <cellStyle name="Normal 2 2 2 5 2 2 2_SSL" xfId="12915" xr:uid="{00000000-0005-0000-0000-0000440D0000}"/>
    <cellStyle name="Normal 2 2 2 5 2 2 3" xfId="1253" xr:uid="{00000000-0005-0000-0000-0000450D0000}"/>
    <cellStyle name="Normal 2 2 2 5 2 2 3 2" xfId="7908" xr:uid="{00000000-0005-0000-0000-0000460D0000}"/>
    <cellStyle name="Normal 2 2 2 5 2 2 3_SSL" xfId="17541" xr:uid="{00000000-0005-0000-0000-0000470D0000}"/>
    <cellStyle name="Normal 2 2 2 5 2 2 4" xfId="2073" xr:uid="{00000000-0005-0000-0000-0000480D0000}"/>
    <cellStyle name="Normal 2 2 2 5 2 2 4 2" xfId="8721" xr:uid="{00000000-0005-0000-0000-0000490D0000}"/>
    <cellStyle name="Normal 2 2 2 5 2 2 4_SSL" xfId="13733" xr:uid="{00000000-0005-0000-0000-00004A0D0000}"/>
    <cellStyle name="Normal 2 2 2 5 2 2 5" xfId="2892" xr:uid="{00000000-0005-0000-0000-00004B0D0000}"/>
    <cellStyle name="Normal 2 2 2 5 2 2 5 2" xfId="9537" xr:uid="{00000000-0005-0000-0000-00004C0D0000}"/>
    <cellStyle name="Normal 2 2 2 5 2 2 5_SSL" xfId="15609" xr:uid="{00000000-0005-0000-0000-00004D0D0000}"/>
    <cellStyle name="Normal 2 2 2 5 2 2 6" xfId="3713" xr:uid="{00000000-0005-0000-0000-00004E0D0000}"/>
    <cellStyle name="Normal 2 2 2 5 2 2 6 2" xfId="10353" xr:uid="{00000000-0005-0000-0000-00004F0D0000}"/>
    <cellStyle name="Normal 2 2 2 5 2 2 6_SSL" xfId="14038" xr:uid="{00000000-0005-0000-0000-0000500D0000}"/>
    <cellStyle name="Normal 2 2 2 5 2 2 7" xfId="4524" xr:uid="{00000000-0005-0000-0000-0000510D0000}"/>
    <cellStyle name="Normal 2 2 2 5 2 2 7 2" xfId="11163" xr:uid="{00000000-0005-0000-0000-0000520D0000}"/>
    <cellStyle name="Normal 2 2 2 5 2 2 7_SSL" xfId="16834" xr:uid="{00000000-0005-0000-0000-0000530D0000}"/>
    <cellStyle name="Normal 2 2 2 5 2 2 8" xfId="5334" xr:uid="{00000000-0005-0000-0000-0000540D0000}"/>
    <cellStyle name="Normal 2 2 2 5 2 2 8 2" xfId="11972" xr:uid="{00000000-0005-0000-0000-0000550D0000}"/>
    <cellStyle name="Normal 2 2 2 5 2 2 8_SSL" xfId="15658" xr:uid="{00000000-0005-0000-0000-0000560D0000}"/>
    <cellStyle name="Normal 2 2 2 5 2 2 9" xfId="7159" xr:uid="{00000000-0005-0000-0000-0000570D0000}"/>
    <cellStyle name="Normal 2 2 2 5 2 2_SSL" xfId="17033" xr:uid="{00000000-0005-0000-0000-0000580D0000}"/>
    <cellStyle name="Normal 2 2 2 5 2 3" xfId="609" xr:uid="{00000000-0005-0000-0000-0000590D0000}"/>
    <cellStyle name="Normal 2 2 2 5 2 3 2" xfId="1255" xr:uid="{00000000-0005-0000-0000-00005A0D0000}"/>
    <cellStyle name="Normal 2 2 2 5 2 3 2 2" xfId="7910" xr:uid="{00000000-0005-0000-0000-00005B0D0000}"/>
    <cellStyle name="Normal 2 2 2 5 2 3 2_SSL" xfId="13205" xr:uid="{00000000-0005-0000-0000-00005C0D0000}"/>
    <cellStyle name="Normal 2 2 2 5 2 3 3" xfId="2075" xr:uid="{00000000-0005-0000-0000-00005D0D0000}"/>
    <cellStyle name="Normal 2 2 2 5 2 3 3 2" xfId="8723" xr:uid="{00000000-0005-0000-0000-00005E0D0000}"/>
    <cellStyle name="Normal 2 2 2 5 2 3 3_SSL" xfId="16741" xr:uid="{00000000-0005-0000-0000-00005F0D0000}"/>
    <cellStyle name="Normal 2 2 2 5 2 3 4" xfId="2894" xr:uid="{00000000-0005-0000-0000-0000600D0000}"/>
    <cellStyle name="Normal 2 2 2 5 2 3 4 2" xfId="9539" xr:uid="{00000000-0005-0000-0000-0000610D0000}"/>
    <cellStyle name="Normal 2 2 2 5 2 3 4_SSL" xfId="13500" xr:uid="{00000000-0005-0000-0000-0000620D0000}"/>
    <cellStyle name="Normal 2 2 2 5 2 3 5" xfId="3715" xr:uid="{00000000-0005-0000-0000-0000630D0000}"/>
    <cellStyle name="Normal 2 2 2 5 2 3 5 2" xfId="10355" xr:uid="{00000000-0005-0000-0000-0000640D0000}"/>
    <cellStyle name="Normal 2 2 2 5 2 3 5_SSL" xfId="16465" xr:uid="{00000000-0005-0000-0000-0000650D0000}"/>
    <cellStyle name="Normal 2 2 2 5 2 3 6" xfId="4526" xr:uid="{00000000-0005-0000-0000-0000660D0000}"/>
    <cellStyle name="Normal 2 2 2 5 2 3 6 2" xfId="11165" xr:uid="{00000000-0005-0000-0000-0000670D0000}"/>
    <cellStyle name="Normal 2 2 2 5 2 3 6_SSL" xfId="17651" xr:uid="{00000000-0005-0000-0000-0000680D0000}"/>
    <cellStyle name="Normal 2 2 2 5 2 3 7" xfId="5336" xr:uid="{00000000-0005-0000-0000-0000690D0000}"/>
    <cellStyle name="Normal 2 2 2 5 2 3 7 2" xfId="11974" xr:uid="{00000000-0005-0000-0000-00006A0D0000}"/>
    <cellStyle name="Normal 2 2 2 5 2 3 7_SSL" xfId="14211" xr:uid="{00000000-0005-0000-0000-00006B0D0000}"/>
    <cellStyle name="Normal 2 2 2 5 2 3 8" xfId="7465" xr:uid="{00000000-0005-0000-0000-00006C0D0000}"/>
    <cellStyle name="Normal 2 2 2 5 2 3 9" xfId="6253" xr:uid="{00000000-0005-0000-0000-00006D0D0000}"/>
    <cellStyle name="Normal 2 2 2 5 2 3_SSL" xfId="17630" xr:uid="{00000000-0005-0000-0000-00006E0D0000}"/>
    <cellStyle name="Normal 2 2 2 5 2 4" xfId="1252" xr:uid="{00000000-0005-0000-0000-00006F0D0000}"/>
    <cellStyle name="Normal 2 2 2 5 2 4 2" xfId="7907" xr:uid="{00000000-0005-0000-0000-0000700D0000}"/>
    <cellStyle name="Normal 2 2 2 5 2 4_SSL" xfId="17608" xr:uid="{00000000-0005-0000-0000-0000710D0000}"/>
    <cellStyle name="Normal 2 2 2 5 2 5" xfId="2072" xr:uid="{00000000-0005-0000-0000-0000720D0000}"/>
    <cellStyle name="Normal 2 2 2 5 2 5 2" xfId="8720" xr:uid="{00000000-0005-0000-0000-0000730D0000}"/>
    <cellStyle name="Normal 2 2 2 5 2 5_SSL" xfId="15663" xr:uid="{00000000-0005-0000-0000-0000740D0000}"/>
    <cellStyle name="Normal 2 2 2 5 2 6" xfId="2891" xr:uid="{00000000-0005-0000-0000-0000750D0000}"/>
    <cellStyle name="Normal 2 2 2 5 2 6 2" xfId="9536" xr:uid="{00000000-0005-0000-0000-0000760D0000}"/>
    <cellStyle name="Normal 2 2 2 5 2 6_SSL" xfId="5994" xr:uid="{00000000-0005-0000-0000-0000770D0000}"/>
    <cellStyle name="Normal 2 2 2 5 2 7" xfId="3712" xr:uid="{00000000-0005-0000-0000-0000780D0000}"/>
    <cellStyle name="Normal 2 2 2 5 2 7 2" xfId="10352" xr:uid="{00000000-0005-0000-0000-0000790D0000}"/>
    <cellStyle name="Normal 2 2 2 5 2 7_SSL" xfId="14882" xr:uid="{00000000-0005-0000-0000-00007A0D0000}"/>
    <cellStyle name="Normal 2 2 2 5 2 8" xfId="4523" xr:uid="{00000000-0005-0000-0000-00007B0D0000}"/>
    <cellStyle name="Normal 2 2 2 5 2 8 2" xfId="11162" xr:uid="{00000000-0005-0000-0000-00007C0D0000}"/>
    <cellStyle name="Normal 2 2 2 5 2 8_SSL" xfId="13685" xr:uid="{00000000-0005-0000-0000-00007D0D0000}"/>
    <cellStyle name="Normal 2 2 2 5 2 9" xfId="5333" xr:uid="{00000000-0005-0000-0000-00007E0D0000}"/>
    <cellStyle name="Normal 2 2 2 5 2 9 2" xfId="11971" xr:uid="{00000000-0005-0000-0000-00007F0D0000}"/>
    <cellStyle name="Normal 2 2 2 5 2 9_SSL" xfId="17372" xr:uid="{00000000-0005-0000-0000-0000800D0000}"/>
    <cellStyle name="Normal 2 2 2 5 2_SSL" xfId="13438" xr:uid="{00000000-0005-0000-0000-0000810D0000}"/>
    <cellStyle name="Normal 2 2 2 5 3" xfId="298" xr:uid="{00000000-0005-0000-0000-0000820D0000}"/>
    <cellStyle name="Normal 2 2 2 5 3 10" xfId="6254" xr:uid="{00000000-0005-0000-0000-0000830D0000}"/>
    <cellStyle name="Normal 2 2 2 5 3 2" xfId="686" xr:uid="{00000000-0005-0000-0000-0000840D0000}"/>
    <cellStyle name="Normal 2 2 2 5 3 2 2" xfId="1257" xr:uid="{00000000-0005-0000-0000-0000850D0000}"/>
    <cellStyle name="Normal 2 2 2 5 3 2 2 2" xfId="7912" xr:uid="{00000000-0005-0000-0000-0000860D0000}"/>
    <cellStyle name="Normal 2 2 2 5 3 2 2_SSL" xfId="17143" xr:uid="{00000000-0005-0000-0000-0000870D0000}"/>
    <cellStyle name="Normal 2 2 2 5 3 2 3" xfId="2077" xr:uid="{00000000-0005-0000-0000-0000880D0000}"/>
    <cellStyle name="Normal 2 2 2 5 3 2 3 2" xfId="8725" xr:uid="{00000000-0005-0000-0000-0000890D0000}"/>
    <cellStyle name="Normal 2 2 2 5 3 2 3_SSL" xfId="17469" xr:uid="{00000000-0005-0000-0000-00008A0D0000}"/>
    <cellStyle name="Normal 2 2 2 5 3 2 4" xfId="2896" xr:uid="{00000000-0005-0000-0000-00008B0D0000}"/>
    <cellStyle name="Normal 2 2 2 5 3 2 4 2" xfId="9541" xr:uid="{00000000-0005-0000-0000-00008C0D0000}"/>
    <cellStyle name="Normal 2 2 2 5 3 2 4_SSL" xfId="16442" xr:uid="{00000000-0005-0000-0000-00008D0D0000}"/>
    <cellStyle name="Normal 2 2 2 5 3 2 5" xfId="3717" xr:uid="{00000000-0005-0000-0000-00008E0D0000}"/>
    <cellStyle name="Normal 2 2 2 5 3 2 5 2" xfId="10357" xr:uid="{00000000-0005-0000-0000-00008F0D0000}"/>
    <cellStyle name="Normal 2 2 2 5 3 2 5_SSL" xfId="16702" xr:uid="{00000000-0005-0000-0000-0000900D0000}"/>
    <cellStyle name="Normal 2 2 2 5 3 2 6" xfId="4528" xr:uid="{00000000-0005-0000-0000-0000910D0000}"/>
    <cellStyle name="Normal 2 2 2 5 3 2 6 2" xfId="11167" xr:uid="{00000000-0005-0000-0000-0000920D0000}"/>
    <cellStyle name="Normal 2 2 2 5 3 2 6_SSL" xfId="13193" xr:uid="{00000000-0005-0000-0000-0000930D0000}"/>
    <cellStyle name="Normal 2 2 2 5 3 2 7" xfId="5338" xr:uid="{00000000-0005-0000-0000-0000940D0000}"/>
    <cellStyle name="Normal 2 2 2 5 3 2 7 2" xfId="11976" xr:uid="{00000000-0005-0000-0000-0000950D0000}"/>
    <cellStyle name="Normal 2 2 2 5 3 2 7_SSL" xfId="15702" xr:uid="{00000000-0005-0000-0000-0000960D0000}"/>
    <cellStyle name="Normal 2 2 2 5 3 2 8" xfId="7542" xr:uid="{00000000-0005-0000-0000-0000970D0000}"/>
    <cellStyle name="Normal 2 2 2 5 3 2 9" xfId="6255" xr:uid="{00000000-0005-0000-0000-0000980D0000}"/>
    <cellStyle name="Normal 2 2 2 5 3 2_SSL" xfId="17470" xr:uid="{00000000-0005-0000-0000-0000990D0000}"/>
    <cellStyle name="Normal 2 2 2 5 3 3" xfId="1256" xr:uid="{00000000-0005-0000-0000-00009A0D0000}"/>
    <cellStyle name="Normal 2 2 2 5 3 3 2" xfId="7911" xr:uid="{00000000-0005-0000-0000-00009B0D0000}"/>
    <cellStyle name="Normal 2 2 2 5 3 3_SSL" xfId="15367" xr:uid="{00000000-0005-0000-0000-00009C0D0000}"/>
    <cellStyle name="Normal 2 2 2 5 3 4" xfId="2076" xr:uid="{00000000-0005-0000-0000-00009D0D0000}"/>
    <cellStyle name="Normal 2 2 2 5 3 4 2" xfId="8724" xr:uid="{00000000-0005-0000-0000-00009E0D0000}"/>
    <cellStyle name="Normal 2 2 2 5 3 4_SSL" xfId="17448" xr:uid="{00000000-0005-0000-0000-00009F0D0000}"/>
    <cellStyle name="Normal 2 2 2 5 3 5" xfId="2895" xr:uid="{00000000-0005-0000-0000-0000A00D0000}"/>
    <cellStyle name="Normal 2 2 2 5 3 5 2" xfId="9540" xr:uid="{00000000-0005-0000-0000-0000A10D0000}"/>
    <cellStyle name="Normal 2 2 2 5 3 5_SSL" xfId="13860" xr:uid="{00000000-0005-0000-0000-0000A20D0000}"/>
    <cellStyle name="Normal 2 2 2 5 3 6" xfId="3716" xr:uid="{00000000-0005-0000-0000-0000A30D0000}"/>
    <cellStyle name="Normal 2 2 2 5 3 6 2" xfId="10356" xr:uid="{00000000-0005-0000-0000-0000A40D0000}"/>
    <cellStyle name="Normal 2 2 2 5 3 6_SSL" xfId="17478" xr:uid="{00000000-0005-0000-0000-0000A50D0000}"/>
    <cellStyle name="Normal 2 2 2 5 3 7" xfId="4527" xr:uid="{00000000-0005-0000-0000-0000A60D0000}"/>
    <cellStyle name="Normal 2 2 2 5 3 7 2" xfId="11166" xr:uid="{00000000-0005-0000-0000-0000A70D0000}"/>
    <cellStyle name="Normal 2 2 2 5 3 7_SSL" xfId="16158" xr:uid="{00000000-0005-0000-0000-0000A80D0000}"/>
    <cellStyle name="Normal 2 2 2 5 3 8" xfId="5337" xr:uid="{00000000-0005-0000-0000-0000A90D0000}"/>
    <cellStyle name="Normal 2 2 2 5 3 8 2" xfId="11975" xr:uid="{00000000-0005-0000-0000-0000AA0D0000}"/>
    <cellStyle name="Normal 2 2 2 5 3 8_SSL" xfId="6069" xr:uid="{00000000-0005-0000-0000-0000AB0D0000}"/>
    <cellStyle name="Normal 2 2 2 5 3 9" xfId="7158" xr:uid="{00000000-0005-0000-0000-0000AC0D0000}"/>
    <cellStyle name="Normal 2 2 2 5 3_SSL" xfId="16474" xr:uid="{00000000-0005-0000-0000-0000AD0D0000}"/>
    <cellStyle name="Normal 2 2 2 5 4" xfId="513" xr:uid="{00000000-0005-0000-0000-0000AE0D0000}"/>
    <cellStyle name="Normal 2 2 2 5 4 2" xfId="1258" xr:uid="{00000000-0005-0000-0000-0000AF0D0000}"/>
    <cellStyle name="Normal 2 2 2 5 4 2 2" xfId="7913" xr:uid="{00000000-0005-0000-0000-0000B00D0000}"/>
    <cellStyle name="Normal 2 2 2 5 4 2_SSL" xfId="16554" xr:uid="{00000000-0005-0000-0000-0000B10D0000}"/>
    <cellStyle name="Normal 2 2 2 5 4 3" xfId="2078" xr:uid="{00000000-0005-0000-0000-0000B20D0000}"/>
    <cellStyle name="Normal 2 2 2 5 4 3 2" xfId="8726" xr:uid="{00000000-0005-0000-0000-0000B30D0000}"/>
    <cellStyle name="Normal 2 2 2 5 4 3_SSL" xfId="17260" xr:uid="{00000000-0005-0000-0000-0000B40D0000}"/>
    <cellStyle name="Normal 2 2 2 5 4 4" xfId="2897" xr:uid="{00000000-0005-0000-0000-0000B50D0000}"/>
    <cellStyle name="Normal 2 2 2 5 4 4 2" xfId="9542" xr:uid="{00000000-0005-0000-0000-0000B60D0000}"/>
    <cellStyle name="Normal 2 2 2 5 4 4_SSL" xfId="13632" xr:uid="{00000000-0005-0000-0000-0000B70D0000}"/>
    <cellStyle name="Normal 2 2 2 5 4 5" xfId="3718" xr:uid="{00000000-0005-0000-0000-0000B80D0000}"/>
    <cellStyle name="Normal 2 2 2 5 4 5 2" xfId="10358" xr:uid="{00000000-0005-0000-0000-0000B90D0000}"/>
    <cellStyle name="Normal 2 2 2 5 4 5_SSL" xfId="6021" xr:uid="{00000000-0005-0000-0000-0000BA0D0000}"/>
    <cellStyle name="Normal 2 2 2 5 4 6" xfId="4529" xr:uid="{00000000-0005-0000-0000-0000BB0D0000}"/>
    <cellStyle name="Normal 2 2 2 5 4 6 2" xfId="11168" xr:uid="{00000000-0005-0000-0000-0000BC0D0000}"/>
    <cellStyle name="Normal 2 2 2 5 4 6_SSL" xfId="16242" xr:uid="{00000000-0005-0000-0000-0000BD0D0000}"/>
    <cellStyle name="Normal 2 2 2 5 4 7" xfId="5339" xr:uid="{00000000-0005-0000-0000-0000BE0D0000}"/>
    <cellStyle name="Normal 2 2 2 5 4 7 2" xfId="11977" xr:uid="{00000000-0005-0000-0000-0000BF0D0000}"/>
    <cellStyle name="Normal 2 2 2 5 4 7_SSL" xfId="16900" xr:uid="{00000000-0005-0000-0000-0000C00D0000}"/>
    <cellStyle name="Normal 2 2 2 5 4 8" xfId="7369" xr:uid="{00000000-0005-0000-0000-0000C10D0000}"/>
    <cellStyle name="Normal 2 2 2 5 4 9" xfId="6256" xr:uid="{00000000-0005-0000-0000-0000C20D0000}"/>
    <cellStyle name="Normal 2 2 2 5 4_SSL" xfId="14029" xr:uid="{00000000-0005-0000-0000-0000C30D0000}"/>
    <cellStyle name="Normal 2 2 2 5 5" xfId="1251" xr:uid="{00000000-0005-0000-0000-0000C40D0000}"/>
    <cellStyle name="Normal 2 2 2 5 5 2" xfId="7906" xr:uid="{00000000-0005-0000-0000-0000C50D0000}"/>
    <cellStyle name="Normal 2 2 2 5 5_SSL" xfId="14476" xr:uid="{00000000-0005-0000-0000-0000C60D0000}"/>
    <cellStyle name="Normal 2 2 2 5 6" xfId="2071" xr:uid="{00000000-0005-0000-0000-0000C70D0000}"/>
    <cellStyle name="Normal 2 2 2 5 6 2" xfId="8719" xr:uid="{00000000-0005-0000-0000-0000C80D0000}"/>
    <cellStyle name="Normal 2 2 2 5 6_SSL" xfId="13056" xr:uid="{00000000-0005-0000-0000-0000C90D0000}"/>
    <cellStyle name="Normal 2 2 2 5 7" xfId="2890" xr:uid="{00000000-0005-0000-0000-0000CA0D0000}"/>
    <cellStyle name="Normal 2 2 2 5 7 2" xfId="9535" xr:uid="{00000000-0005-0000-0000-0000CB0D0000}"/>
    <cellStyle name="Normal 2 2 2 5 7_SSL" xfId="14778" xr:uid="{00000000-0005-0000-0000-0000CC0D0000}"/>
    <cellStyle name="Normal 2 2 2 5 8" xfId="3711" xr:uid="{00000000-0005-0000-0000-0000CD0D0000}"/>
    <cellStyle name="Normal 2 2 2 5 8 2" xfId="10351" xr:uid="{00000000-0005-0000-0000-0000CE0D0000}"/>
    <cellStyle name="Normal 2 2 2 5 8_SSL" xfId="16292" xr:uid="{00000000-0005-0000-0000-0000CF0D0000}"/>
    <cellStyle name="Normal 2 2 2 5 9" xfId="4522" xr:uid="{00000000-0005-0000-0000-0000D00D0000}"/>
    <cellStyle name="Normal 2 2 2 5 9 2" xfId="11161" xr:uid="{00000000-0005-0000-0000-0000D10D0000}"/>
    <cellStyle name="Normal 2 2 2 5 9_SSL" xfId="14384" xr:uid="{00000000-0005-0000-0000-0000D20D0000}"/>
    <cellStyle name="Normal 2 2 2 5_SSL" xfId="14888" xr:uid="{00000000-0005-0000-0000-0000D30D0000}"/>
    <cellStyle name="Normal 2 2 2 6" xfId="133" xr:uid="{00000000-0005-0000-0000-0000D40D0000}"/>
    <cellStyle name="Normal 2 2 2 6 10" xfId="7010" xr:uid="{00000000-0005-0000-0000-0000D50D0000}"/>
    <cellStyle name="Normal 2 2 2 6 11" xfId="6257" xr:uid="{00000000-0005-0000-0000-0000D60D0000}"/>
    <cellStyle name="Normal 2 2 2 6 2" xfId="300" xr:uid="{00000000-0005-0000-0000-0000D70D0000}"/>
    <cellStyle name="Normal 2 2 2 6 2 10" xfId="6258" xr:uid="{00000000-0005-0000-0000-0000D80D0000}"/>
    <cellStyle name="Normal 2 2 2 6 2 2" xfId="688" xr:uid="{00000000-0005-0000-0000-0000D90D0000}"/>
    <cellStyle name="Normal 2 2 2 6 2 2 2" xfId="1261" xr:uid="{00000000-0005-0000-0000-0000DA0D0000}"/>
    <cellStyle name="Normal 2 2 2 6 2 2 2 2" xfId="7916" xr:uid="{00000000-0005-0000-0000-0000DB0D0000}"/>
    <cellStyle name="Normal 2 2 2 6 2 2 2_SSL" xfId="16691" xr:uid="{00000000-0005-0000-0000-0000DC0D0000}"/>
    <cellStyle name="Normal 2 2 2 6 2 2 3" xfId="2081" xr:uid="{00000000-0005-0000-0000-0000DD0D0000}"/>
    <cellStyle name="Normal 2 2 2 6 2 2 3 2" xfId="8729" xr:uid="{00000000-0005-0000-0000-0000DE0D0000}"/>
    <cellStyle name="Normal 2 2 2 6 2 2 3_SSL" xfId="14892" xr:uid="{00000000-0005-0000-0000-0000DF0D0000}"/>
    <cellStyle name="Normal 2 2 2 6 2 2 4" xfId="2900" xr:uid="{00000000-0005-0000-0000-0000E00D0000}"/>
    <cellStyle name="Normal 2 2 2 6 2 2 4 2" xfId="9545" xr:uid="{00000000-0005-0000-0000-0000E10D0000}"/>
    <cellStyle name="Normal 2 2 2 6 2 2 4_SSL" xfId="12710" xr:uid="{00000000-0005-0000-0000-0000E20D0000}"/>
    <cellStyle name="Normal 2 2 2 6 2 2 5" xfId="3721" xr:uid="{00000000-0005-0000-0000-0000E30D0000}"/>
    <cellStyle name="Normal 2 2 2 6 2 2 5 2" xfId="10361" xr:uid="{00000000-0005-0000-0000-0000E40D0000}"/>
    <cellStyle name="Normal 2 2 2 6 2 2 5_SSL" xfId="13464" xr:uid="{00000000-0005-0000-0000-0000E50D0000}"/>
    <cellStyle name="Normal 2 2 2 6 2 2 6" xfId="4532" xr:uid="{00000000-0005-0000-0000-0000E60D0000}"/>
    <cellStyle name="Normal 2 2 2 6 2 2 6 2" xfId="11171" xr:uid="{00000000-0005-0000-0000-0000E70D0000}"/>
    <cellStyle name="Normal 2 2 2 6 2 2 6_SSL" xfId="13065" xr:uid="{00000000-0005-0000-0000-0000E80D0000}"/>
    <cellStyle name="Normal 2 2 2 6 2 2 7" xfId="5342" xr:uid="{00000000-0005-0000-0000-0000E90D0000}"/>
    <cellStyle name="Normal 2 2 2 6 2 2 7 2" xfId="11980" xr:uid="{00000000-0005-0000-0000-0000EA0D0000}"/>
    <cellStyle name="Normal 2 2 2 6 2 2 7_SSL" xfId="13041" xr:uid="{00000000-0005-0000-0000-0000EB0D0000}"/>
    <cellStyle name="Normal 2 2 2 6 2 2 8" xfId="7544" xr:uid="{00000000-0005-0000-0000-0000EC0D0000}"/>
    <cellStyle name="Normal 2 2 2 6 2 2 9" xfId="6259" xr:uid="{00000000-0005-0000-0000-0000ED0D0000}"/>
    <cellStyle name="Normal 2 2 2 6 2 2_SSL" xfId="17572" xr:uid="{00000000-0005-0000-0000-0000EE0D0000}"/>
    <cellStyle name="Normal 2 2 2 6 2 3" xfId="1260" xr:uid="{00000000-0005-0000-0000-0000EF0D0000}"/>
    <cellStyle name="Normal 2 2 2 6 2 3 2" xfId="7915" xr:uid="{00000000-0005-0000-0000-0000F00D0000}"/>
    <cellStyle name="Normal 2 2 2 6 2 3_SSL" xfId="15395" xr:uid="{00000000-0005-0000-0000-0000F10D0000}"/>
    <cellStyle name="Normal 2 2 2 6 2 4" xfId="2080" xr:uid="{00000000-0005-0000-0000-0000F20D0000}"/>
    <cellStyle name="Normal 2 2 2 6 2 4 2" xfId="8728" xr:uid="{00000000-0005-0000-0000-0000F30D0000}"/>
    <cellStyle name="Normal 2 2 2 6 2 4_SSL" xfId="15454" xr:uid="{00000000-0005-0000-0000-0000F40D0000}"/>
    <cellStyle name="Normal 2 2 2 6 2 5" xfId="2899" xr:uid="{00000000-0005-0000-0000-0000F50D0000}"/>
    <cellStyle name="Normal 2 2 2 6 2 5 2" xfId="9544" xr:uid="{00000000-0005-0000-0000-0000F60D0000}"/>
    <cellStyle name="Normal 2 2 2 6 2 5_SSL" xfId="16926" xr:uid="{00000000-0005-0000-0000-0000F70D0000}"/>
    <cellStyle name="Normal 2 2 2 6 2 6" xfId="3720" xr:uid="{00000000-0005-0000-0000-0000F80D0000}"/>
    <cellStyle name="Normal 2 2 2 6 2 6 2" xfId="10360" xr:uid="{00000000-0005-0000-0000-0000F90D0000}"/>
    <cellStyle name="Normal 2 2 2 6 2 6_SSL" xfId="13808" xr:uid="{00000000-0005-0000-0000-0000FA0D0000}"/>
    <cellStyle name="Normal 2 2 2 6 2 7" xfId="4531" xr:uid="{00000000-0005-0000-0000-0000FB0D0000}"/>
    <cellStyle name="Normal 2 2 2 6 2 7 2" xfId="11170" xr:uid="{00000000-0005-0000-0000-0000FC0D0000}"/>
    <cellStyle name="Normal 2 2 2 6 2 7_SSL" xfId="16425" xr:uid="{00000000-0005-0000-0000-0000FD0D0000}"/>
    <cellStyle name="Normal 2 2 2 6 2 8" xfId="5341" xr:uid="{00000000-0005-0000-0000-0000FE0D0000}"/>
    <cellStyle name="Normal 2 2 2 6 2 8 2" xfId="11979" xr:uid="{00000000-0005-0000-0000-0000FF0D0000}"/>
    <cellStyle name="Normal 2 2 2 6 2 8_SSL" xfId="15990" xr:uid="{00000000-0005-0000-0000-0000000E0000}"/>
    <cellStyle name="Normal 2 2 2 6 2 9" xfId="7160" xr:uid="{00000000-0005-0000-0000-0000010E0000}"/>
    <cellStyle name="Normal 2 2 2 6 2_SSL" xfId="15525" xr:uid="{00000000-0005-0000-0000-0000020E0000}"/>
    <cellStyle name="Normal 2 2 2 6 3" xfId="538" xr:uid="{00000000-0005-0000-0000-0000030E0000}"/>
    <cellStyle name="Normal 2 2 2 6 3 2" xfId="1262" xr:uid="{00000000-0005-0000-0000-0000040E0000}"/>
    <cellStyle name="Normal 2 2 2 6 3 2 2" xfId="7917" xr:uid="{00000000-0005-0000-0000-0000050E0000}"/>
    <cellStyle name="Normal 2 2 2 6 3 2_SSL" xfId="13972" xr:uid="{00000000-0005-0000-0000-0000060E0000}"/>
    <cellStyle name="Normal 2 2 2 6 3 3" xfId="2082" xr:uid="{00000000-0005-0000-0000-0000070E0000}"/>
    <cellStyle name="Normal 2 2 2 6 3 3 2" xfId="8730" xr:uid="{00000000-0005-0000-0000-0000080E0000}"/>
    <cellStyle name="Normal 2 2 2 6 3 3_SSL" xfId="13986" xr:uid="{00000000-0005-0000-0000-0000090E0000}"/>
    <cellStyle name="Normal 2 2 2 6 3 4" xfId="2901" xr:uid="{00000000-0005-0000-0000-00000A0E0000}"/>
    <cellStyle name="Normal 2 2 2 6 3 4 2" xfId="9546" xr:uid="{00000000-0005-0000-0000-00000B0E0000}"/>
    <cellStyle name="Normal 2 2 2 6 3 4_SSL" xfId="16277" xr:uid="{00000000-0005-0000-0000-00000C0E0000}"/>
    <cellStyle name="Normal 2 2 2 6 3 5" xfId="3722" xr:uid="{00000000-0005-0000-0000-00000D0E0000}"/>
    <cellStyle name="Normal 2 2 2 6 3 5 2" xfId="10362" xr:uid="{00000000-0005-0000-0000-00000E0E0000}"/>
    <cellStyle name="Normal 2 2 2 6 3 5_SSL" xfId="15206" xr:uid="{00000000-0005-0000-0000-00000F0E0000}"/>
    <cellStyle name="Normal 2 2 2 6 3 6" xfId="4533" xr:uid="{00000000-0005-0000-0000-0000100E0000}"/>
    <cellStyle name="Normal 2 2 2 6 3 6 2" xfId="11172" xr:uid="{00000000-0005-0000-0000-0000110E0000}"/>
    <cellStyle name="Normal 2 2 2 6 3 6_SSL" xfId="17333" xr:uid="{00000000-0005-0000-0000-0000120E0000}"/>
    <cellStyle name="Normal 2 2 2 6 3 7" xfId="5343" xr:uid="{00000000-0005-0000-0000-0000130E0000}"/>
    <cellStyle name="Normal 2 2 2 6 3 7 2" xfId="11981" xr:uid="{00000000-0005-0000-0000-0000140E0000}"/>
    <cellStyle name="Normal 2 2 2 6 3 7_SSL" xfId="16461" xr:uid="{00000000-0005-0000-0000-0000150E0000}"/>
    <cellStyle name="Normal 2 2 2 6 3 8" xfId="7394" xr:uid="{00000000-0005-0000-0000-0000160E0000}"/>
    <cellStyle name="Normal 2 2 2 6 3 9" xfId="6260" xr:uid="{00000000-0005-0000-0000-0000170E0000}"/>
    <cellStyle name="Normal 2 2 2 6 3_SSL" xfId="16449" xr:uid="{00000000-0005-0000-0000-0000180E0000}"/>
    <cellStyle name="Normal 2 2 2 6 4" xfId="1259" xr:uid="{00000000-0005-0000-0000-0000190E0000}"/>
    <cellStyle name="Normal 2 2 2 6 4 2" xfId="7914" xr:uid="{00000000-0005-0000-0000-00001A0E0000}"/>
    <cellStyle name="Normal 2 2 2 6 4_SSL" xfId="15097" xr:uid="{00000000-0005-0000-0000-00001B0E0000}"/>
    <cellStyle name="Normal 2 2 2 6 5" xfId="2079" xr:uid="{00000000-0005-0000-0000-00001C0E0000}"/>
    <cellStyle name="Normal 2 2 2 6 5 2" xfId="8727" xr:uid="{00000000-0005-0000-0000-00001D0E0000}"/>
    <cellStyle name="Normal 2 2 2 6 5_SSL" xfId="12855" xr:uid="{00000000-0005-0000-0000-00001E0E0000}"/>
    <cellStyle name="Normal 2 2 2 6 6" xfId="2898" xr:uid="{00000000-0005-0000-0000-00001F0E0000}"/>
    <cellStyle name="Normal 2 2 2 6 6 2" xfId="9543" xr:uid="{00000000-0005-0000-0000-0000200E0000}"/>
    <cellStyle name="Normal 2 2 2 6 6_SSL" xfId="15605" xr:uid="{00000000-0005-0000-0000-0000210E0000}"/>
    <cellStyle name="Normal 2 2 2 6 7" xfId="3719" xr:uid="{00000000-0005-0000-0000-0000220E0000}"/>
    <cellStyle name="Normal 2 2 2 6 7 2" xfId="10359" xr:uid="{00000000-0005-0000-0000-0000230E0000}"/>
    <cellStyle name="Normal 2 2 2 6 7_SSL" xfId="14728" xr:uid="{00000000-0005-0000-0000-0000240E0000}"/>
    <cellStyle name="Normal 2 2 2 6 8" xfId="4530" xr:uid="{00000000-0005-0000-0000-0000250E0000}"/>
    <cellStyle name="Normal 2 2 2 6 8 2" xfId="11169" xr:uid="{00000000-0005-0000-0000-0000260E0000}"/>
    <cellStyle name="Normal 2 2 2 6 8_SSL" xfId="16556" xr:uid="{00000000-0005-0000-0000-0000270E0000}"/>
    <cellStyle name="Normal 2 2 2 6 9" xfId="5340" xr:uid="{00000000-0005-0000-0000-0000280E0000}"/>
    <cellStyle name="Normal 2 2 2 6 9 2" xfId="11978" xr:uid="{00000000-0005-0000-0000-0000290E0000}"/>
    <cellStyle name="Normal 2 2 2 6 9_SSL" xfId="16408" xr:uid="{00000000-0005-0000-0000-00002A0E0000}"/>
    <cellStyle name="Normal 2 2 2 6_SSL" xfId="15080" xr:uid="{00000000-0005-0000-0000-00002B0E0000}"/>
    <cellStyle name="Normal 2 2 2 7" xfId="158" xr:uid="{00000000-0005-0000-0000-00002C0E0000}"/>
    <cellStyle name="Normal 2 2 2 7 10" xfId="7035" xr:uid="{00000000-0005-0000-0000-00002D0E0000}"/>
    <cellStyle name="Normal 2 2 2 7 11" xfId="6261" xr:uid="{00000000-0005-0000-0000-00002E0E0000}"/>
    <cellStyle name="Normal 2 2 2 7 2" xfId="301" xr:uid="{00000000-0005-0000-0000-00002F0E0000}"/>
    <cellStyle name="Normal 2 2 2 7 2 10" xfId="6262" xr:uid="{00000000-0005-0000-0000-0000300E0000}"/>
    <cellStyle name="Normal 2 2 2 7 2 2" xfId="689" xr:uid="{00000000-0005-0000-0000-0000310E0000}"/>
    <cellStyle name="Normal 2 2 2 7 2 2 2" xfId="1265" xr:uid="{00000000-0005-0000-0000-0000320E0000}"/>
    <cellStyle name="Normal 2 2 2 7 2 2 2 2" xfId="7920" xr:uid="{00000000-0005-0000-0000-0000330E0000}"/>
    <cellStyle name="Normal 2 2 2 7 2 2 2_SSL" xfId="15153" xr:uid="{00000000-0005-0000-0000-0000340E0000}"/>
    <cellStyle name="Normal 2 2 2 7 2 2 3" xfId="2085" xr:uid="{00000000-0005-0000-0000-0000350E0000}"/>
    <cellStyle name="Normal 2 2 2 7 2 2 3 2" xfId="8733" xr:uid="{00000000-0005-0000-0000-0000360E0000}"/>
    <cellStyle name="Normal 2 2 2 7 2 2 3_SSL" xfId="6050" xr:uid="{00000000-0005-0000-0000-0000370E0000}"/>
    <cellStyle name="Normal 2 2 2 7 2 2 4" xfId="2904" xr:uid="{00000000-0005-0000-0000-0000380E0000}"/>
    <cellStyle name="Normal 2 2 2 7 2 2 4 2" xfId="9549" xr:uid="{00000000-0005-0000-0000-0000390E0000}"/>
    <cellStyle name="Normal 2 2 2 7 2 2 4_SSL" xfId="17108" xr:uid="{00000000-0005-0000-0000-00003A0E0000}"/>
    <cellStyle name="Normal 2 2 2 7 2 2 5" xfId="3725" xr:uid="{00000000-0005-0000-0000-00003B0E0000}"/>
    <cellStyle name="Normal 2 2 2 7 2 2 5 2" xfId="10365" xr:uid="{00000000-0005-0000-0000-00003C0E0000}"/>
    <cellStyle name="Normal 2 2 2 7 2 2 5_SSL" xfId="14337" xr:uid="{00000000-0005-0000-0000-00003D0E0000}"/>
    <cellStyle name="Normal 2 2 2 7 2 2 6" xfId="4536" xr:uid="{00000000-0005-0000-0000-00003E0E0000}"/>
    <cellStyle name="Normal 2 2 2 7 2 2 6 2" xfId="11175" xr:uid="{00000000-0005-0000-0000-00003F0E0000}"/>
    <cellStyle name="Normal 2 2 2 7 2 2 6_SSL" xfId="15987" xr:uid="{00000000-0005-0000-0000-0000400E0000}"/>
    <cellStyle name="Normal 2 2 2 7 2 2 7" xfId="5346" xr:uid="{00000000-0005-0000-0000-0000410E0000}"/>
    <cellStyle name="Normal 2 2 2 7 2 2 7 2" xfId="11984" xr:uid="{00000000-0005-0000-0000-0000420E0000}"/>
    <cellStyle name="Normal 2 2 2 7 2 2 7_SSL" xfId="16568" xr:uid="{00000000-0005-0000-0000-0000430E0000}"/>
    <cellStyle name="Normal 2 2 2 7 2 2 8" xfId="7545" xr:uid="{00000000-0005-0000-0000-0000440E0000}"/>
    <cellStyle name="Normal 2 2 2 7 2 2 9" xfId="6263" xr:uid="{00000000-0005-0000-0000-0000450E0000}"/>
    <cellStyle name="Normal 2 2 2 7 2 2_SSL" xfId="14223" xr:uid="{00000000-0005-0000-0000-0000460E0000}"/>
    <cellStyle name="Normal 2 2 2 7 2 3" xfId="1264" xr:uid="{00000000-0005-0000-0000-0000470E0000}"/>
    <cellStyle name="Normal 2 2 2 7 2 3 2" xfId="7919" xr:uid="{00000000-0005-0000-0000-0000480E0000}"/>
    <cellStyle name="Normal 2 2 2 7 2 3_SSL" xfId="17418" xr:uid="{00000000-0005-0000-0000-0000490E0000}"/>
    <cellStyle name="Normal 2 2 2 7 2 4" xfId="2084" xr:uid="{00000000-0005-0000-0000-00004A0E0000}"/>
    <cellStyle name="Normal 2 2 2 7 2 4 2" xfId="8732" xr:uid="{00000000-0005-0000-0000-00004B0E0000}"/>
    <cellStyle name="Normal 2 2 2 7 2 4_SSL" xfId="12667" xr:uid="{00000000-0005-0000-0000-00004C0E0000}"/>
    <cellStyle name="Normal 2 2 2 7 2 5" xfId="2903" xr:uid="{00000000-0005-0000-0000-00004D0E0000}"/>
    <cellStyle name="Normal 2 2 2 7 2 5 2" xfId="9548" xr:uid="{00000000-0005-0000-0000-00004E0E0000}"/>
    <cellStyle name="Normal 2 2 2 7 2 5_SSL" xfId="16544" xr:uid="{00000000-0005-0000-0000-00004F0E0000}"/>
    <cellStyle name="Normal 2 2 2 7 2 6" xfId="3724" xr:uid="{00000000-0005-0000-0000-0000500E0000}"/>
    <cellStyle name="Normal 2 2 2 7 2 6 2" xfId="10364" xr:uid="{00000000-0005-0000-0000-0000510E0000}"/>
    <cellStyle name="Normal 2 2 2 7 2 6_SSL" xfId="16542" xr:uid="{00000000-0005-0000-0000-0000520E0000}"/>
    <cellStyle name="Normal 2 2 2 7 2 7" xfId="4535" xr:uid="{00000000-0005-0000-0000-0000530E0000}"/>
    <cellStyle name="Normal 2 2 2 7 2 7 2" xfId="11174" xr:uid="{00000000-0005-0000-0000-0000540E0000}"/>
    <cellStyle name="Normal 2 2 2 7 2 7_SSL" xfId="14578" xr:uid="{00000000-0005-0000-0000-0000550E0000}"/>
    <cellStyle name="Normal 2 2 2 7 2 8" xfId="5345" xr:uid="{00000000-0005-0000-0000-0000560E0000}"/>
    <cellStyle name="Normal 2 2 2 7 2 8 2" xfId="11983" xr:uid="{00000000-0005-0000-0000-0000570E0000}"/>
    <cellStyle name="Normal 2 2 2 7 2 8_SSL" xfId="15219" xr:uid="{00000000-0005-0000-0000-0000580E0000}"/>
    <cellStyle name="Normal 2 2 2 7 2 9" xfId="7161" xr:uid="{00000000-0005-0000-0000-0000590E0000}"/>
    <cellStyle name="Normal 2 2 2 7 2_SSL" xfId="15081" xr:uid="{00000000-0005-0000-0000-00005A0E0000}"/>
    <cellStyle name="Normal 2 2 2 7 3" xfId="563" xr:uid="{00000000-0005-0000-0000-00005B0E0000}"/>
    <cellStyle name="Normal 2 2 2 7 3 2" xfId="1266" xr:uid="{00000000-0005-0000-0000-00005C0E0000}"/>
    <cellStyle name="Normal 2 2 2 7 3 2 2" xfId="7921" xr:uid="{00000000-0005-0000-0000-00005D0E0000}"/>
    <cellStyle name="Normal 2 2 2 7 3 2_SSL" xfId="17187" xr:uid="{00000000-0005-0000-0000-00005E0E0000}"/>
    <cellStyle name="Normal 2 2 2 7 3 3" xfId="2086" xr:uid="{00000000-0005-0000-0000-00005F0E0000}"/>
    <cellStyle name="Normal 2 2 2 7 3 3 2" xfId="8734" xr:uid="{00000000-0005-0000-0000-0000600E0000}"/>
    <cellStyle name="Normal 2 2 2 7 3 3_SSL" xfId="16555" xr:uid="{00000000-0005-0000-0000-0000610E0000}"/>
    <cellStyle name="Normal 2 2 2 7 3 4" xfId="2905" xr:uid="{00000000-0005-0000-0000-0000620E0000}"/>
    <cellStyle name="Normal 2 2 2 7 3 4 2" xfId="9550" xr:uid="{00000000-0005-0000-0000-0000630E0000}"/>
    <cellStyle name="Normal 2 2 2 7 3 4_SSL" xfId="13836" xr:uid="{00000000-0005-0000-0000-0000640E0000}"/>
    <cellStyle name="Normal 2 2 2 7 3 5" xfId="3726" xr:uid="{00000000-0005-0000-0000-0000650E0000}"/>
    <cellStyle name="Normal 2 2 2 7 3 5 2" xfId="10366" xr:uid="{00000000-0005-0000-0000-0000660E0000}"/>
    <cellStyle name="Normal 2 2 2 7 3 5_SSL" xfId="13101" xr:uid="{00000000-0005-0000-0000-0000670E0000}"/>
    <cellStyle name="Normal 2 2 2 7 3 6" xfId="4537" xr:uid="{00000000-0005-0000-0000-0000680E0000}"/>
    <cellStyle name="Normal 2 2 2 7 3 6 2" xfId="11176" xr:uid="{00000000-0005-0000-0000-0000690E0000}"/>
    <cellStyle name="Normal 2 2 2 7 3 6_SSL" xfId="15293" xr:uid="{00000000-0005-0000-0000-00006A0E0000}"/>
    <cellStyle name="Normal 2 2 2 7 3 7" xfId="5347" xr:uid="{00000000-0005-0000-0000-00006B0E0000}"/>
    <cellStyle name="Normal 2 2 2 7 3 7 2" xfId="11985" xr:uid="{00000000-0005-0000-0000-00006C0E0000}"/>
    <cellStyle name="Normal 2 2 2 7 3 7_SSL" xfId="5990" xr:uid="{00000000-0005-0000-0000-00006D0E0000}"/>
    <cellStyle name="Normal 2 2 2 7 3 8" xfId="7419" xr:uid="{00000000-0005-0000-0000-00006E0E0000}"/>
    <cellStyle name="Normal 2 2 2 7 3 9" xfId="6264" xr:uid="{00000000-0005-0000-0000-00006F0E0000}"/>
    <cellStyle name="Normal 2 2 2 7 3_SSL" xfId="17873" xr:uid="{00000000-0005-0000-0000-0000700E0000}"/>
    <cellStyle name="Normal 2 2 2 7 4" xfId="1263" xr:uid="{00000000-0005-0000-0000-0000710E0000}"/>
    <cellStyle name="Normal 2 2 2 7 4 2" xfId="7918" xr:uid="{00000000-0005-0000-0000-0000720E0000}"/>
    <cellStyle name="Normal 2 2 2 7 4_SSL" xfId="16684" xr:uid="{00000000-0005-0000-0000-0000730E0000}"/>
    <cellStyle name="Normal 2 2 2 7 5" xfId="2083" xr:uid="{00000000-0005-0000-0000-0000740E0000}"/>
    <cellStyle name="Normal 2 2 2 7 5 2" xfId="8731" xr:uid="{00000000-0005-0000-0000-0000750E0000}"/>
    <cellStyle name="Normal 2 2 2 7 5_SSL" xfId="14106" xr:uid="{00000000-0005-0000-0000-0000760E0000}"/>
    <cellStyle name="Normal 2 2 2 7 6" xfId="2902" xr:uid="{00000000-0005-0000-0000-0000770E0000}"/>
    <cellStyle name="Normal 2 2 2 7 6 2" xfId="9547" xr:uid="{00000000-0005-0000-0000-0000780E0000}"/>
    <cellStyle name="Normal 2 2 2 7 6_SSL" xfId="15198" xr:uid="{00000000-0005-0000-0000-0000790E0000}"/>
    <cellStyle name="Normal 2 2 2 7 7" xfId="3723" xr:uid="{00000000-0005-0000-0000-00007A0E0000}"/>
    <cellStyle name="Normal 2 2 2 7 7 2" xfId="10363" xr:uid="{00000000-0005-0000-0000-00007B0E0000}"/>
    <cellStyle name="Normal 2 2 2 7 7_SSL" xfId="13648" xr:uid="{00000000-0005-0000-0000-00007C0E0000}"/>
    <cellStyle name="Normal 2 2 2 7 8" xfId="4534" xr:uid="{00000000-0005-0000-0000-00007D0E0000}"/>
    <cellStyle name="Normal 2 2 2 7 8 2" xfId="11173" xr:uid="{00000000-0005-0000-0000-00007E0E0000}"/>
    <cellStyle name="Normal 2 2 2 7 8_SSL" xfId="17269" xr:uid="{00000000-0005-0000-0000-00007F0E0000}"/>
    <cellStyle name="Normal 2 2 2 7 9" xfId="5344" xr:uid="{00000000-0005-0000-0000-0000800E0000}"/>
    <cellStyle name="Normal 2 2 2 7 9 2" xfId="11982" xr:uid="{00000000-0005-0000-0000-0000810E0000}"/>
    <cellStyle name="Normal 2 2 2 7 9_SSL" xfId="16432" xr:uid="{00000000-0005-0000-0000-0000820E0000}"/>
    <cellStyle name="Normal 2 2 2 7_SSL" xfId="17348" xr:uid="{00000000-0005-0000-0000-0000830E0000}"/>
    <cellStyle name="Normal 2 2 2 8" xfId="229" xr:uid="{00000000-0005-0000-0000-0000840E0000}"/>
    <cellStyle name="Normal 2 2 2 8 10" xfId="7106" xr:uid="{00000000-0005-0000-0000-0000850E0000}"/>
    <cellStyle name="Normal 2 2 2 8 11" xfId="6265" xr:uid="{00000000-0005-0000-0000-0000860E0000}"/>
    <cellStyle name="Normal 2 2 2 8 2" xfId="302" xr:uid="{00000000-0005-0000-0000-0000870E0000}"/>
    <cellStyle name="Normal 2 2 2 8 2 10" xfId="6266" xr:uid="{00000000-0005-0000-0000-0000880E0000}"/>
    <cellStyle name="Normal 2 2 2 8 2 2" xfId="690" xr:uid="{00000000-0005-0000-0000-0000890E0000}"/>
    <cellStyle name="Normal 2 2 2 8 2 2 2" xfId="1269" xr:uid="{00000000-0005-0000-0000-00008A0E0000}"/>
    <cellStyle name="Normal 2 2 2 8 2 2 2 2" xfId="7924" xr:uid="{00000000-0005-0000-0000-00008B0E0000}"/>
    <cellStyle name="Normal 2 2 2 8 2 2 2_SSL" xfId="14385" xr:uid="{00000000-0005-0000-0000-00008C0E0000}"/>
    <cellStyle name="Normal 2 2 2 8 2 2 3" xfId="2089" xr:uid="{00000000-0005-0000-0000-00008D0E0000}"/>
    <cellStyle name="Normal 2 2 2 8 2 2 3 2" xfId="8737" xr:uid="{00000000-0005-0000-0000-00008E0E0000}"/>
    <cellStyle name="Normal 2 2 2 8 2 2 3_SSL" xfId="16799" xr:uid="{00000000-0005-0000-0000-00008F0E0000}"/>
    <cellStyle name="Normal 2 2 2 8 2 2 4" xfId="2908" xr:uid="{00000000-0005-0000-0000-0000900E0000}"/>
    <cellStyle name="Normal 2 2 2 8 2 2 4 2" xfId="9553" xr:uid="{00000000-0005-0000-0000-0000910E0000}"/>
    <cellStyle name="Normal 2 2 2 8 2 2 4_SSL" xfId="13456" xr:uid="{00000000-0005-0000-0000-0000920E0000}"/>
    <cellStyle name="Normal 2 2 2 8 2 2 5" xfId="3729" xr:uid="{00000000-0005-0000-0000-0000930E0000}"/>
    <cellStyle name="Normal 2 2 2 8 2 2 5 2" xfId="10369" xr:uid="{00000000-0005-0000-0000-0000940E0000}"/>
    <cellStyle name="Normal 2 2 2 8 2 2 5_SSL" xfId="13035" xr:uid="{00000000-0005-0000-0000-0000950E0000}"/>
    <cellStyle name="Normal 2 2 2 8 2 2 6" xfId="4540" xr:uid="{00000000-0005-0000-0000-0000960E0000}"/>
    <cellStyle name="Normal 2 2 2 8 2 2 6 2" xfId="11179" xr:uid="{00000000-0005-0000-0000-0000970E0000}"/>
    <cellStyle name="Normal 2 2 2 8 2 2 6_SSL" xfId="16451" xr:uid="{00000000-0005-0000-0000-0000980E0000}"/>
    <cellStyle name="Normal 2 2 2 8 2 2 7" xfId="5350" xr:uid="{00000000-0005-0000-0000-0000990E0000}"/>
    <cellStyle name="Normal 2 2 2 8 2 2 7 2" xfId="11988" xr:uid="{00000000-0005-0000-0000-00009A0E0000}"/>
    <cellStyle name="Normal 2 2 2 8 2 2 7_SSL" xfId="16762" xr:uid="{00000000-0005-0000-0000-00009B0E0000}"/>
    <cellStyle name="Normal 2 2 2 8 2 2 8" xfId="7546" xr:uid="{00000000-0005-0000-0000-00009C0E0000}"/>
    <cellStyle name="Normal 2 2 2 8 2 2 9" xfId="6267" xr:uid="{00000000-0005-0000-0000-00009D0E0000}"/>
    <cellStyle name="Normal 2 2 2 8 2 2_SSL" xfId="16118" xr:uid="{00000000-0005-0000-0000-00009E0E0000}"/>
    <cellStyle name="Normal 2 2 2 8 2 3" xfId="1268" xr:uid="{00000000-0005-0000-0000-00009F0E0000}"/>
    <cellStyle name="Normal 2 2 2 8 2 3 2" xfId="7923" xr:uid="{00000000-0005-0000-0000-0000A00E0000}"/>
    <cellStyle name="Normal 2 2 2 8 2 3_SSL" xfId="17223" xr:uid="{00000000-0005-0000-0000-0000A10E0000}"/>
    <cellStyle name="Normal 2 2 2 8 2 4" xfId="2088" xr:uid="{00000000-0005-0000-0000-0000A20E0000}"/>
    <cellStyle name="Normal 2 2 2 8 2 4 2" xfId="8736" xr:uid="{00000000-0005-0000-0000-0000A30E0000}"/>
    <cellStyle name="Normal 2 2 2 8 2 4_SSL" xfId="15194" xr:uid="{00000000-0005-0000-0000-0000A40E0000}"/>
    <cellStyle name="Normal 2 2 2 8 2 5" xfId="2907" xr:uid="{00000000-0005-0000-0000-0000A50E0000}"/>
    <cellStyle name="Normal 2 2 2 8 2 5 2" xfId="9552" xr:uid="{00000000-0005-0000-0000-0000A60E0000}"/>
    <cellStyle name="Normal 2 2 2 8 2 5_SSL" xfId="13554" xr:uid="{00000000-0005-0000-0000-0000A70E0000}"/>
    <cellStyle name="Normal 2 2 2 8 2 6" xfId="3728" xr:uid="{00000000-0005-0000-0000-0000A80E0000}"/>
    <cellStyle name="Normal 2 2 2 8 2 6 2" xfId="10368" xr:uid="{00000000-0005-0000-0000-0000A90E0000}"/>
    <cellStyle name="Normal 2 2 2 8 2 6_SSL" xfId="17447" xr:uid="{00000000-0005-0000-0000-0000AA0E0000}"/>
    <cellStyle name="Normal 2 2 2 8 2 7" xfId="4539" xr:uid="{00000000-0005-0000-0000-0000AB0E0000}"/>
    <cellStyle name="Normal 2 2 2 8 2 7 2" xfId="11178" xr:uid="{00000000-0005-0000-0000-0000AC0E0000}"/>
    <cellStyle name="Normal 2 2 2 8 2 7_SSL" xfId="15029" xr:uid="{00000000-0005-0000-0000-0000AD0E0000}"/>
    <cellStyle name="Normal 2 2 2 8 2 8" xfId="5349" xr:uid="{00000000-0005-0000-0000-0000AE0E0000}"/>
    <cellStyle name="Normal 2 2 2 8 2 8 2" xfId="11987" xr:uid="{00000000-0005-0000-0000-0000AF0E0000}"/>
    <cellStyle name="Normal 2 2 2 8 2 8_SSL" xfId="13831" xr:uid="{00000000-0005-0000-0000-0000B00E0000}"/>
    <cellStyle name="Normal 2 2 2 8 2 9" xfId="7162" xr:uid="{00000000-0005-0000-0000-0000B10E0000}"/>
    <cellStyle name="Normal 2 2 2 8 2_SSL" xfId="15872" xr:uid="{00000000-0005-0000-0000-0000B20E0000}"/>
    <cellStyle name="Normal 2 2 2 8 3" xfId="634" xr:uid="{00000000-0005-0000-0000-0000B30E0000}"/>
    <cellStyle name="Normal 2 2 2 8 3 2" xfId="1270" xr:uid="{00000000-0005-0000-0000-0000B40E0000}"/>
    <cellStyle name="Normal 2 2 2 8 3 2 2" xfId="7925" xr:uid="{00000000-0005-0000-0000-0000B50E0000}"/>
    <cellStyle name="Normal 2 2 2 8 3 2_SSL" xfId="16184" xr:uid="{00000000-0005-0000-0000-0000B60E0000}"/>
    <cellStyle name="Normal 2 2 2 8 3 3" xfId="2090" xr:uid="{00000000-0005-0000-0000-0000B70E0000}"/>
    <cellStyle name="Normal 2 2 2 8 3 3 2" xfId="8738" xr:uid="{00000000-0005-0000-0000-0000B80E0000}"/>
    <cellStyle name="Normal 2 2 2 8 3 3_SSL" xfId="13172" xr:uid="{00000000-0005-0000-0000-0000B90E0000}"/>
    <cellStyle name="Normal 2 2 2 8 3 4" xfId="2909" xr:uid="{00000000-0005-0000-0000-0000BA0E0000}"/>
    <cellStyle name="Normal 2 2 2 8 3 4 2" xfId="9554" xr:uid="{00000000-0005-0000-0000-0000BB0E0000}"/>
    <cellStyle name="Normal 2 2 2 8 3 4_SSL" xfId="16608" xr:uid="{00000000-0005-0000-0000-0000BC0E0000}"/>
    <cellStyle name="Normal 2 2 2 8 3 5" xfId="3730" xr:uid="{00000000-0005-0000-0000-0000BD0E0000}"/>
    <cellStyle name="Normal 2 2 2 8 3 5 2" xfId="10370" xr:uid="{00000000-0005-0000-0000-0000BE0E0000}"/>
    <cellStyle name="Normal 2 2 2 8 3 5_SSL" xfId="12786" xr:uid="{00000000-0005-0000-0000-0000BF0E0000}"/>
    <cellStyle name="Normal 2 2 2 8 3 6" xfId="4541" xr:uid="{00000000-0005-0000-0000-0000C00E0000}"/>
    <cellStyle name="Normal 2 2 2 8 3 6 2" xfId="11180" xr:uid="{00000000-0005-0000-0000-0000C10E0000}"/>
    <cellStyle name="Normal 2 2 2 8 3 6_SSL" xfId="13856" xr:uid="{00000000-0005-0000-0000-0000C20E0000}"/>
    <cellStyle name="Normal 2 2 2 8 3 7" xfId="5351" xr:uid="{00000000-0005-0000-0000-0000C30E0000}"/>
    <cellStyle name="Normal 2 2 2 8 3 7 2" xfId="11989" xr:uid="{00000000-0005-0000-0000-0000C40E0000}"/>
    <cellStyle name="Normal 2 2 2 8 3 7_SSL" xfId="16017" xr:uid="{00000000-0005-0000-0000-0000C50E0000}"/>
    <cellStyle name="Normal 2 2 2 8 3 8" xfId="7490" xr:uid="{00000000-0005-0000-0000-0000C60E0000}"/>
    <cellStyle name="Normal 2 2 2 8 3 9" xfId="6268" xr:uid="{00000000-0005-0000-0000-0000C70E0000}"/>
    <cellStyle name="Normal 2 2 2 8 3_SSL" xfId="6040" xr:uid="{00000000-0005-0000-0000-0000C80E0000}"/>
    <cellStyle name="Normal 2 2 2 8 4" xfId="1267" xr:uid="{00000000-0005-0000-0000-0000C90E0000}"/>
    <cellStyle name="Normal 2 2 2 8 4 2" xfId="7922" xr:uid="{00000000-0005-0000-0000-0000CA0E0000}"/>
    <cellStyle name="Normal 2 2 2 8 4_SSL" xfId="15422" xr:uid="{00000000-0005-0000-0000-0000CB0E0000}"/>
    <cellStyle name="Normal 2 2 2 8 5" xfId="2087" xr:uid="{00000000-0005-0000-0000-0000CC0E0000}"/>
    <cellStyle name="Normal 2 2 2 8 5 2" xfId="8735" xr:uid="{00000000-0005-0000-0000-0000CD0E0000}"/>
    <cellStyle name="Normal 2 2 2 8 5_SSL" xfId="12712" xr:uid="{00000000-0005-0000-0000-0000CE0E0000}"/>
    <cellStyle name="Normal 2 2 2 8 6" xfId="2906" xr:uid="{00000000-0005-0000-0000-0000CF0E0000}"/>
    <cellStyle name="Normal 2 2 2 8 6 2" xfId="9551" xr:uid="{00000000-0005-0000-0000-0000D00E0000}"/>
    <cellStyle name="Normal 2 2 2 8 6_SSL" xfId="15313" xr:uid="{00000000-0005-0000-0000-0000D10E0000}"/>
    <cellStyle name="Normal 2 2 2 8 7" xfId="3727" xr:uid="{00000000-0005-0000-0000-0000D20E0000}"/>
    <cellStyle name="Normal 2 2 2 8 7 2" xfId="10367" xr:uid="{00000000-0005-0000-0000-0000D30E0000}"/>
    <cellStyle name="Normal 2 2 2 8 7_SSL" xfId="14991" xr:uid="{00000000-0005-0000-0000-0000D40E0000}"/>
    <cellStyle name="Normal 2 2 2 8 8" xfId="4538" xr:uid="{00000000-0005-0000-0000-0000D50E0000}"/>
    <cellStyle name="Normal 2 2 2 8 8 2" xfId="11177" xr:uid="{00000000-0005-0000-0000-0000D60E0000}"/>
    <cellStyle name="Normal 2 2 2 8 8_SSL" xfId="14897" xr:uid="{00000000-0005-0000-0000-0000D70E0000}"/>
    <cellStyle name="Normal 2 2 2 8 9" xfId="5348" xr:uid="{00000000-0005-0000-0000-0000D80E0000}"/>
    <cellStyle name="Normal 2 2 2 8 9 2" xfId="11986" xr:uid="{00000000-0005-0000-0000-0000D90E0000}"/>
    <cellStyle name="Normal 2 2 2 8 9_SSL" xfId="17707" xr:uid="{00000000-0005-0000-0000-0000DA0E0000}"/>
    <cellStyle name="Normal 2 2 2 8_SSL" xfId="12773" xr:uid="{00000000-0005-0000-0000-0000DB0E0000}"/>
    <cellStyle name="Normal 2 2 2 9" xfId="271" xr:uid="{00000000-0005-0000-0000-0000DC0E0000}"/>
    <cellStyle name="Normal 2 2 2 9 10" xfId="6269" xr:uid="{00000000-0005-0000-0000-0000DD0E0000}"/>
    <cellStyle name="Normal 2 2 2 9 2" xfId="659" xr:uid="{00000000-0005-0000-0000-0000DE0E0000}"/>
    <cellStyle name="Normal 2 2 2 9 2 2" xfId="1272" xr:uid="{00000000-0005-0000-0000-0000DF0E0000}"/>
    <cellStyle name="Normal 2 2 2 9 2 2 2" xfId="7927" xr:uid="{00000000-0005-0000-0000-0000E00E0000}"/>
    <cellStyle name="Normal 2 2 2 9 2 2_SSL" xfId="16928" xr:uid="{00000000-0005-0000-0000-0000E10E0000}"/>
    <cellStyle name="Normal 2 2 2 9 2 3" xfId="2092" xr:uid="{00000000-0005-0000-0000-0000E20E0000}"/>
    <cellStyle name="Normal 2 2 2 9 2 3 2" xfId="8740" xr:uid="{00000000-0005-0000-0000-0000E30E0000}"/>
    <cellStyle name="Normal 2 2 2 9 2 3_SSL" xfId="16106" xr:uid="{00000000-0005-0000-0000-0000E40E0000}"/>
    <cellStyle name="Normal 2 2 2 9 2 4" xfId="2911" xr:uid="{00000000-0005-0000-0000-0000E50E0000}"/>
    <cellStyle name="Normal 2 2 2 9 2 4 2" xfId="9556" xr:uid="{00000000-0005-0000-0000-0000E60E0000}"/>
    <cellStyle name="Normal 2 2 2 9 2 4_SSL" xfId="15694" xr:uid="{00000000-0005-0000-0000-0000E70E0000}"/>
    <cellStyle name="Normal 2 2 2 9 2 5" xfId="3732" xr:uid="{00000000-0005-0000-0000-0000E80E0000}"/>
    <cellStyle name="Normal 2 2 2 9 2 5 2" xfId="10372" xr:uid="{00000000-0005-0000-0000-0000E90E0000}"/>
    <cellStyle name="Normal 2 2 2 9 2 5_SSL" xfId="15426" xr:uid="{00000000-0005-0000-0000-0000EA0E0000}"/>
    <cellStyle name="Normal 2 2 2 9 2 6" xfId="4543" xr:uid="{00000000-0005-0000-0000-0000EB0E0000}"/>
    <cellStyle name="Normal 2 2 2 9 2 6 2" xfId="11182" xr:uid="{00000000-0005-0000-0000-0000EC0E0000}"/>
    <cellStyle name="Normal 2 2 2 9 2 6_SSL" xfId="17794" xr:uid="{00000000-0005-0000-0000-0000ED0E0000}"/>
    <cellStyle name="Normal 2 2 2 9 2 7" xfId="5353" xr:uid="{00000000-0005-0000-0000-0000EE0E0000}"/>
    <cellStyle name="Normal 2 2 2 9 2 7 2" xfId="11991" xr:uid="{00000000-0005-0000-0000-0000EF0E0000}"/>
    <cellStyle name="Normal 2 2 2 9 2 7_SSL" xfId="13340" xr:uid="{00000000-0005-0000-0000-0000F00E0000}"/>
    <cellStyle name="Normal 2 2 2 9 2 8" xfId="7515" xr:uid="{00000000-0005-0000-0000-0000F10E0000}"/>
    <cellStyle name="Normal 2 2 2 9 2 9" xfId="6270" xr:uid="{00000000-0005-0000-0000-0000F20E0000}"/>
    <cellStyle name="Normal 2 2 2 9 2_SSL" xfId="14075" xr:uid="{00000000-0005-0000-0000-0000F30E0000}"/>
    <cellStyle name="Normal 2 2 2 9 3" xfId="1271" xr:uid="{00000000-0005-0000-0000-0000F40E0000}"/>
    <cellStyle name="Normal 2 2 2 9 3 2" xfId="7926" xr:uid="{00000000-0005-0000-0000-0000F50E0000}"/>
    <cellStyle name="Normal 2 2 2 9 3_SSL" xfId="16340" xr:uid="{00000000-0005-0000-0000-0000F60E0000}"/>
    <cellStyle name="Normal 2 2 2 9 4" xfId="2091" xr:uid="{00000000-0005-0000-0000-0000F70E0000}"/>
    <cellStyle name="Normal 2 2 2 9 4 2" xfId="8739" xr:uid="{00000000-0005-0000-0000-0000F80E0000}"/>
    <cellStyle name="Normal 2 2 2 9 4_SSL" xfId="15467" xr:uid="{00000000-0005-0000-0000-0000F90E0000}"/>
    <cellStyle name="Normal 2 2 2 9 5" xfId="2910" xr:uid="{00000000-0005-0000-0000-0000FA0E0000}"/>
    <cellStyle name="Normal 2 2 2 9 5 2" xfId="9555" xr:uid="{00000000-0005-0000-0000-0000FB0E0000}"/>
    <cellStyle name="Normal 2 2 2 9 5_SSL" xfId="15014" xr:uid="{00000000-0005-0000-0000-0000FC0E0000}"/>
    <cellStyle name="Normal 2 2 2 9 6" xfId="3731" xr:uid="{00000000-0005-0000-0000-0000FD0E0000}"/>
    <cellStyle name="Normal 2 2 2 9 6 2" xfId="10371" xr:uid="{00000000-0005-0000-0000-0000FE0E0000}"/>
    <cellStyle name="Normal 2 2 2 9 6_SSL" xfId="17023" xr:uid="{00000000-0005-0000-0000-0000FF0E0000}"/>
    <cellStyle name="Normal 2 2 2 9 7" xfId="4542" xr:uid="{00000000-0005-0000-0000-0000000F0000}"/>
    <cellStyle name="Normal 2 2 2 9 7 2" xfId="11181" xr:uid="{00000000-0005-0000-0000-0000010F0000}"/>
    <cellStyle name="Normal 2 2 2 9 7_SSL" xfId="12856" xr:uid="{00000000-0005-0000-0000-0000020F0000}"/>
    <cellStyle name="Normal 2 2 2 9 8" xfId="5352" xr:uid="{00000000-0005-0000-0000-0000030F0000}"/>
    <cellStyle name="Normal 2 2 2 9 8 2" xfId="11990" xr:uid="{00000000-0005-0000-0000-0000040F0000}"/>
    <cellStyle name="Normal 2 2 2 9 8_SSL" xfId="12657" xr:uid="{00000000-0005-0000-0000-0000050F0000}"/>
    <cellStyle name="Normal 2 2 2 9 9" xfId="7131" xr:uid="{00000000-0005-0000-0000-0000060F0000}"/>
    <cellStyle name="Normal 2 2 2 9_SSL" xfId="15512" xr:uid="{00000000-0005-0000-0000-0000070F0000}"/>
    <cellStyle name="Normal 2 2 2_SSL" xfId="16966" xr:uid="{00000000-0005-0000-0000-0000080F0000}"/>
    <cellStyle name="Normal 2 2 3" xfId="38" xr:uid="{00000000-0005-0000-0000-0000090F0000}"/>
    <cellStyle name="Normal 2 2 3 10" xfId="1273" xr:uid="{00000000-0005-0000-0000-00000A0F0000}"/>
    <cellStyle name="Normal 2 2 3 10 2" xfId="7928" xr:uid="{00000000-0005-0000-0000-00000B0F0000}"/>
    <cellStyle name="Normal 2 2 3 10_SSL" xfId="13510" xr:uid="{00000000-0005-0000-0000-00000C0F0000}"/>
    <cellStyle name="Normal 2 2 3 11" xfId="2093" xr:uid="{00000000-0005-0000-0000-00000D0F0000}"/>
    <cellStyle name="Normal 2 2 3 11 2" xfId="8741" xr:uid="{00000000-0005-0000-0000-00000E0F0000}"/>
    <cellStyle name="Normal 2 2 3 11_SSL" xfId="17040" xr:uid="{00000000-0005-0000-0000-00000F0F0000}"/>
    <cellStyle name="Normal 2 2 3 12" xfId="2912" xr:uid="{00000000-0005-0000-0000-0000100F0000}"/>
    <cellStyle name="Normal 2 2 3 12 2" xfId="9557" xr:uid="{00000000-0005-0000-0000-0000110F0000}"/>
    <cellStyle name="Normal 2 2 3 12_SSL" xfId="16040" xr:uid="{00000000-0005-0000-0000-0000120F0000}"/>
    <cellStyle name="Normal 2 2 3 13" xfId="3733" xr:uid="{00000000-0005-0000-0000-0000130F0000}"/>
    <cellStyle name="Normal 2 2 3 13 2" xfId="10373" xr:uid="{00000000-0005-0000-0000-0000140F0000}"/>
    <cellStyle name="Normal 2 2 3 13_SSL" xfId="15768" xr:uid="{00000000-0005-0000-0000-0000150F0000}"/>
    <cellStyle name="Normal 2 2 3 14" xfId="4544" xr:uid="{00000000-0005-0000-0000-0000160F0000}"/>
    <cellStyle name="Normal 2 2 3 14 2" xfId="11183" xr:uid="{00000000-0005-0000-0000-0000170F0000}"/>
    <cellStyle name="Normal 2 2 3 14_SSL" xfId="14518" xr:uid="{00000000-0005-0000-0000-0000180F0000}"/>
    <cellStyle name="Normal 2 2 3 15" xfId="5354" xr:uid="{00000000-0005-0000-0000-0000190F0000}"/>
    <cellStyle name="Normal 2 2 3 15 2" xfId="11992" xr:uid="{00000000-0005-0000-0000-00001A0F0000}"/>
    <cellStyle name="Normal 2 2 3 15_SSL" xfId="16723" xr:uid="{00000000-0005-0000-0000-00001B0F0000}"/>
    <cellStyle name="Normal 2 2 3 16" xfId="6939" xr:uid="{00000000-0005-0000-0000-00001C0F0000}"/>
    <cellStyle name="Normal 2 2 3 17" xfId="6271" xr:uid="{00000000-0005-0000-0000-00001D0F0000}"/>
    <cellStyle name="Normal 2 2 3 2" xfId="68" xr:uid="{00000000-0005-0000-0000-00001E0F0000}"/>
    <cellStyle name="Normal 2 2 3 2 10" xfId="2094" xr:uid="{00000000-0005-0000-0000-00001F0F0000}"/>
    <cellStyle name="Normal 2 2 3 2 10 2" xfId="8742" xr:uid="{00000000-0005-0000-0000-0000200F0000}"/>
    <cellStyle name="Normal 2 2 3 2 10_SSL" xfId="16153" xr:uid="{00000000-0005-0000-0000-0000210F0000}"/>
    <cellStyle name="Normal 2 2 3 2 11" xfId="2913" xr:uid="{00000000-0005-0000-0000-0000220F0000}"/>
    <cellStyle name="Normal 2 2 3 2 11 2" xfId="9558" xr:uid="{00000000-0005-0000-0000-0000230F0000}"/>
    <cellStyle name="Normal 2 2 3 2 11_SSL" xfId="15537" xr:uid="{00000000-0005-0000-0000-0000240F0000}"/>
    <cellStyle name="Normal 2 2 3 2 12" xfId="3734" xr:uid="{00000000-0005-0000-0000-0000250F0000}"/>
    <cellStyle name="Normal 2 2 3 2 12 2" xfId="10374" xr:uid="{00000000-0005-0000-0000-0000260F0000}"/>
    <cellStyle name="Normal 2 2 3 2 12_SSL" xfId="16397" xr:uid="{00000000-0005-0000-0000-0000270F0000}"/>
    <cellStyle name="Normal 2 2 3 2 13" xfId="4545" xr:uid="{00000000-0005-0000-0000-0000280F0000}"/>
    <cellStyle name="Normal 2 2 3 2 13 2" xfId="11184" xr:uid="{00000000-0005-0000-0000-0000290F0000}"/>
    <cellStyle name="Normal 2 2 3 2 13_SSL" xfId="17381" xr:uid="{00000000-0005-0000-0000-00002A0F0000}"/>
    <cellStyle name="Normal 2 2 3 2 14" xfId="5355" xr:uid="{00000000-0005-0000-0000-00002B0F0000}"/>
    <cellStyle name="Normal 2 2 3 2 14 2" xfId="11993" xr:uid="{00000000-0005-0000-0000-00002C0F0000}"/>
    <cellStyle name="Normal 2 2 3 2 14_SSL" xfId="14928" xr:uid="{00000000-0005-0000-0000-00002D0F0000}"/>
    <cellStyle name="Normal 2 2 3 2 15" xfId="6953" xr:uid="{00000000-0005-0000-0000-00002E0F0000}"/>
    <cellStyle name="Normal 2 2 3 2 16" xfId="6272" xr:uid="{00000000-0005-0000-0000-00002F0F0000}"/>
    <cellStyle name="Normal 2 2 3 2 2" xfId="97" xr:uid="{00000000-0005-0000-0000-0000300F0000}"/>
    <cellStyle name="Normal 2 2 3 2 2 10" xfId="5356" xr:uid="{00000000-0005-0000-0000-0000310F0000}"/>
    <cellStyle name="Normal 2 2 3 2 2 10 2" xfId="11994" xr:uid="{00000000-0005-0000-0000-0000320F0000}"/>
    <cellStyle name="Normal 2 2 3 2 2 10_SSL" xfId="17957" xr:uid="{00000000-0005-0000-0000-0000330F0000}"/>
    <cellStyle name="Normal 2 2 3 2 2 11" xfId="6976" xr:uid="{00000000-0005-0000-0000-0000340F0000}"/>
    <cellStyle name="Normal 2 2 3 2 2 12" xfId="6273" xr:uid="{00000000-0005-0000-0000-0000350F0000}"/>
    <cellStyle name="Normal 2 2 3 2 2 2" xfId="195" xr:uid="{00000000-0005-0000-0000-0000360F0000}"/>
    <cellStyle name="Normal 2 2 3 2 2 2 10" xfId="7072" xr:uid="{00000000-0005-0000-0000-0000370F0000}"/>
    <cellStyle name="Normal 2 2 3 2 2 2 11" xfId="6274" xr:uid="{00000000-0005-0000-0000-0000380F0000}"/>
    <cellStyle name="Normal 2 2 3 2 2 2 2" xfId="306" xr:uid="{00000000-0005-0000-0000-0000390F0000}"/>
    <cellStyle name="Normal 2 2 3 2 2 2 2 10" xfId="6275" xr:uid="{00000000-0005-0000-0000-00003A0F0000}"/>
    <cellStyle name="Normal 2 2 3 2 2 2 2 2" xfId="694" xr:uid="{00000000-0005-0000-0000-00003B0F0000}"/>
    <cellStyle name="Normal 2 2 3 2 2 2 2 2 2" xfId="1278" xr:uid="{00000000-0005-0000-0000-00003C0F0000}"/>
    <cellStyle name="Normal 2 2 3 2 2 2 2 2 2 2" xfId="7933" xr:uid="{00000000-0005-0000-0000-00003D0F0000}"/>
    <cellStyle name="Normal 2 2 3 2 2 2 2 2 2_SSL" xfId="14294" xr:uid="{00000000-0005-0000-0000-00003E0F0000}"/>
    <cellStyle name="Normal 2 2 3 2 2 2 2 2 3" xfId="2098" xr:uid="{00000000-0005-0000-0000-00003F0F0000}"/>
    <cellStyle name="Normal 2 2 3 2 2 2 2 2 3 2" xfId="8746" xr:uid="{00000000-0005-0000-0000-0000400F0000}"/>
    <cellStyle name="Normal 2 2 3 2 2 2 2 2 3_SSL" xfId="16943" xr:uid="{00000000-0005-0000-0000-0000410F0000}"/>
    <cellStyle name="Normal 2 2 3 2 2 2 2 2 4" xfId="2917" xr:uid="{00000000-0005-0000-0000-0000420F0000}"/>
    <cellStyle name="Normal 2 2 3 2 2 2 2 2 4 2" xfId="9562" xr:uid="{00000000-0005-0000-0000-0000430F0000}"/>
    <cellStyle name="Normal 2 2 3 2 2 2 2 2 4_SSL" xfId="16405" xr:uid="{00000000-0005-0000-0000-0000440F0000}"/>
    <cellStyle name="Normal 2 2 3 2 2 2 2 2 5" xfId="3738" xr:uid="{00000000-0005-0000-0000-0000450F0000}"/>
    <cellStyle name="Normal 2 2 3 2 2 2 2 2 5 2" xfId="10378" xr:uid="{00000000-0005-0000-0000-0000460F0000}"/>
    <cellStyle name="Normal 2 2 3 2 2 2 2 2 5_SSL" xfId="14398" xr:uid="{00000000-0005-0000-0000-0000470F0000}"/>
    <cellStyle name="Normal 2 2 3 2 2 2 2 2 6" xfId="4549" xr:uid="{00000000-0005-0000-0000-0000480F0000}"/>
    <cellStyle name="Normal 2 2 3 2 2 2 2 2 6 2" xfId="11188" xr:uid="{00000000-0005-0000-0000-0000490F0000}"/>
    <cellStyle name="Normal 2 2 3 2 2 2 2 2 6_SSL" xfId="17606" xr:uid="{00000000-0005-0000-0000-00004A0F0000}"/>
    <cellStyle name="Normal 2 2 3 2 2 2 2 2 7" xfId="5359" xr:uid="{00000000-0005-0000-0000-00004B0F0000}"/>
    <cellStyle name="Normal 2 2 3 2 2 2 2 2 7 2" xfId="11997" xr:uid="{00000000-0005-0000-0000-00004C0F0000}"/>
    <cellStyle name="Normal 2 2 3 2 2 2 2 2 7_SSL" xfId="17342" xr:uid="{00000000-0005-0000-0000-00004D0F0000}"/>
    <cellStyle name="Normal 2 2 3 2 2 2 2 2 8" xfId="7550" xr:uid="{00000000-0005-0000-0000-00004E0F0000}"/>
    <cellStyle name="Normal 2 2 3 2 2 2 2 2 9" xfId="6276" xr:uid="{00000000-0005-0000-0000-00004F0F0000}"/>
    <cellStyle name="Normal 2 2 3 2 2 2 2 2_SSL" xfId="17123" xr:uid="{00000000-0005-0000-0000-0000500F0000}"/>
    <cellStyle name="Normal 2 2 3 2 2 2 2 3" xfId="1277" xr:uid="{00000000-0005-0000-0000-0000510F0000}"/>
    <cellStyle name="Normal 2 2 3 2 2 2 2 3 2" xfId="7932" xr:uid="{00000000-0005-0000-0000-0000520F0000}"/>
    <cellStyle name="Normal 2 2 3 2 2 2 2 3_SSL" xfId="14289" xr:uid="{00000000-0005-0000-0000-0000530F0000}"/>
    <cellStyle name="Normal 2 2 3 2 2 2 2 4" xfId="2097" xr:uid="{00000000-0005-0000-0000-0000540F0000}"/>
    <cellStyle name="Normal 2 2 3 2 2 2 2 4 2" xfId="8745" xr:uid="{00000000-0005-0000-0000-0000550F0000}"/>
    <cellStyle name="Normal 2 2 3 2 2 2 2 4_SSL" xfId="13365" xr:uid="{00000000-0005-0000-0000-0000560F0000}"/>
    <cellStyle name="Normal 2 2 3 2 2 2 2 5" xfId="2916" xr:uid="{00000000-0005-0000-0000-0000570F0000}"/>
    <cellStyle name="Normal 2 2 3 2 2 2 2 5 2" xfId="9561" xr:uid="{00000000-0005-0000-0000-0000580F0000}"/>
    <cellStyle name="Normal 2 2 3 2 2 2 2 5_SSL" xfId="15111" xr:uid="{00000000-0005-0000-0000-0000590F0000}"/>
    <cellStyle name="Normal 2 2 3 2 2 2 2 6" xfId="3737" xr:uid="{00000000-0005-0000-0000-00005A0F0000}"/>
    <cellStyle name="Normal 2 2 3 2 2 2 2 6 2" xfId="10377" xr:uid="{00000000-0005-0000-0000-00005B0F0000}"/>
    <cellStyle name="Normal 2 2 3 2 2 2 2 6_SSL" xfId="12788" xr:uid="{00000000-0005-0000-0000-00005C0F0000}"/>
    <cellStyle name="Normal 2 2 3 2 2 2 2 7" xfId="4548" xr:uid="{00000000-0005-0000-0000-00005D0F0000}"/>
    <cellStyle name="Normal 2 2 3 2 2 2 2 7 2" xfId="11187" xr:uid="{00000000-0005-0000-0000-00005E0F0000}"/>
    <cellStyle name="Normal 2 2 3 2 2 2 2 7_SSL" xfId="14436" xr:uid="{00000000-0005-0000-0000-00005F0F0000}"/>
    <cellStyle name="Normal 2 2 3 2 2 2 2 8" xfId="5358" xr:uid="{00000000-0005-0000-0000-0000600F0000}"/>
    <cellStyle name="Normal 2 2 3 2 2 2 2 8 2" xfId="11996" xr:uid="{00000000-0005-0000-0000-0000610F0000}"/>
    <cellStyle name="Normal 2 2 3 2 2 2 2 8_SSL" xfId="17941" xr:uid="{00000000-0005-0000-0000-0000620F0000}"/>
    <cellStyle name="Normal 2 2 3 2 2 2 2 9" xfId="7166" xr:uid="{00000000-0005-0000-0000-0000630F0000}"/>
    <cellStyle name="Normal 2 2 3 2 2 2 2_SSL" xfId="15548" xr:uid="{00000000-0005-0000-0000-0000640F0000}"/>
    <cellStyle name="Normal 2 2 3 2 2 2 3" xfId="600" xr:uid="{00000000-0005-0000-0000-0000650F0000}"/>
    <cellStyle name="Normal 2 2 3 2 2 2 3 2" xfId="1279" xr:uid="{00000000-0005-0000-0000-0000660F0000}"/>
    <cellStyle name="Normal 2 2 3 2 2 2 3 2 2" xfId="7934" xr:uid="{00000000-0005-0000-0000-0000670F0000}"/>
    <cellStyle name="Normal 2 2 3 2 2 2 3 2_SSL" xfId="16656" xr:uid="{00000000-0005-0000-0000-0000680F0000}"/>
    <cellStyle name="Normal 2 2 3 2 2 2 3 3" xfId="2099" xr:uid="{00000000-0005-0000-0000-0000690F0000}"/>
    <cellStyle name="Normal 2 2 3 2 2 2 3 3 2" xfId="8747" xr:uid="{00000000-0005-0000-0000-00006A0F0000}"/>
    <cellStyle name="Normal 2 2 3 2 2 2 3 3_SSL" xfId="13143" xr:uid="{00000000-0005-0000-0000-00006B0F0000}"/>
    <cellStyle name="Normal 2 2 3 2 2 2 3 4" xfId="2918" xr:uid="{00000000-0005-0000-0000-00006C0F0000}"/>
    <cellStyle name="Normal 2 2 3 2 2 2 3 4 2" xfId="9563" xr:uid="{00000000-0005-0000-0000-00006D0F0000}"/>
    <cellStyle name="Normal 2 2 3 2 2 2 3 4_SSL" xfId="14200" xr:uid="{00000000-0005-0000-0000-00006E0F0000}"/>
    <cellStyle name="Normal 2 2 3 2 2 2 3 5" xfId="3739" xr:uid="{00000000-0005-0000-0000-00006F0F0000}"/>
    <cellStyle name="Normal 2 2 3 2 2 2 3 5 2" xfId="10379" xr:uid="{00000000-0005-0000-0000-0000700F0000}"/>
    <cellStyle name="Normal 2 2 3 2 2 2 3 5_SSL" xfId="14479" xr:uid="{00000000-0005-0000-0000-0000710F0000}"/>
    <cellStyle name="Normal 2 2 3 2 2 2 3 6" xfId="4550" xr:uid="{00000000-0005-0000-0000-0000720F0000}"/>
    <cellStyle name="Normal 2 2 3 2 2 2 3 6 2" xfId="11189" xr:uid="{00000000-0005-0000-0000-0000730F0000}"/>
    <cellStyle name="Normal 2 2 3 2 2 2 3 6_SSL" xfId="16180" xr:uid="{00000000-0005-0000-0000-0000740F0000}"/>
    <cellStyle name="Normal 2 2 3 2 2 2 3 7" xfId="5360" xr:uid="{00000000-0005-0000-0000-0000750F0000}"/>
    <cellStyle name="Normal 2 2 3 2 2 2 3 7 2" xfId="11998" xr:uid="{00000000-0005-0000-0000-0000760F0000}"/>
    <cellStyle name="Normal 2 2 3 2 2 2 3 7_SSL" xfId="15396" xr:uid="{00000000-0005-0000-0000-0000770F0000}"/>
    <cellStyle name="Normal 2 2 3 2 2 2 3 8" xfId="7456" xr:uid="{00000000-0005-0000-0000-0000780F0000}"/>
    <cellStyle name="Normal 2 2 3 2 2 2 3 9" xfId="6277" xr:uid="{00000000-0005-0000-0000-0000790F0000}"/>
    <cellStyle name="Normal 2 2 3 2 2 2 3_SSL" xfId="17463" xr:uid="{00000000-0005-0000-0000-00007A0F0000}"/>
    <cellStyle name="Normal 2 2 3 2 2 2 4" xfId="1276" xr:uid="{00000000-0005-0000-0000-00007B0F0000}"/>
    <cellStyle name="Normal 2 2 3 2 2 2 4 2" xfId="7931" xr:uid="{00000000-0005-0000-0000-00007C0F0000}"/>
    <cellStyle name="Normal 2 2 3 2 2 2 4_SSL" xfId="15921" xr:uid="{00000000-0005-0000-0000-00007D0F0000}"/>
    <cellStyle name="Normal 2 2 3 2 2 2 5" xfId="2096" xr:uid="{00000000-0005-0000-0000-00007E0F0000}"/>
    <cellStyle name="Normal 2 2 3 2 2 2 5 2" xfId="8744" xr:uid="{00000000-0005-0000-0000-00007F0F0000}"/>
    <cellStyle name="Normal 2 2 3 2 2 2 5_SSL" xfId="12753" xr:uid="{00000000-0005-0000-0000-0000800F0000}"/>
    <cellStyle name="Normal 2 2 3 2 2 2 6" xfId="2915" xr:uid="{00000000-0005-0000-0000-0000810F0000}"/>
    <cellStyle name="Normal 2 2 3 2 2 2 6 2" xfId="9560" xr:uid="{00000000-0005-0000-0000-0000820F0000}"/>
    <cellStyle name="Normal 2 2 3 2 2 2 6_SSL" xfId="16080" xr:uid="{00000000-0005-0000-0000-0000830F0000}"/>
    <cellStyle name="Normal 2 2 3 2 2 2 7" xfId="3736" xr:uid="{00000000-0005-0000-0000-0000840F0000}"/>
    <cellStyle name="Normal 2 2 3 2 2 2 7 2" xfId="10376" xr:uid="{00000000-0005-0000-0000-0000850F0000}"/>
    <cellStyle name="Normal 2 2 3 2 2 2 7_SSL" xfId="13658" xr:uid="{00000000-0005-0000-0000-0000860F0000}"/>
    <cellStyle name="Normal 2 2 3 2 2 2 8" xfId="4547" xr:uid="{00000000-0005-0000-0000-0000870F0000}"/>
    <cellStyle name="Normal 2 2 3 2 2 2 8 2" xfId="11186" xr:uid="{00000000-0005-0000-0000-0000880F0000}"/>
    <cellStyle name="Normal 2 2 3 2 2 2 8_SSL" xfId="17365" xr:uid="{00000000-0005-0000-0000-0000890F0000}"/>
    <cellStyle name="Normal 2 2 3 2 2 2 9" xfId="5357" xr:uid="{00000000-0005-0000-0000-00008A0F0000}"/>
    <cellStyle name="Normal 2 2 3 2 2 2 9 2" xfId="11995" xr:uid="{00000000-0005-0000-0000-00008B0F0000}"/>
    <cellStyle name="Normal 2 2 3 2 2 2 9_SSL" xfId="14691" xr:uid="{00000000-0005-0000-0000-00008C0F0000}"/>
    <cellStyle name="Normal 2 2 3 2 2 2_SSL" xfId="17011" xr:uid="{00000000-0005-0000-0000-00008D0F0000}"/>
    <cellStyle name="Normal 2 2 3 2 2 3" xfId="305" xr:uid="{00000000-0005-0000-0000-00008E0F0000}"/>
    <cellStyle name="Normal 2 2 3 2 2 3 10" xfId="6278" xr:uid="{00000000-0005-0000-0000-00008F0F0000}"/>
    <cellStyle name="Normal 2 2 3 2 2 3 2" xfId="693" xr:uid="{00000000-0005-0000-0000-0000900F0000}"/>
    <cellStyle name="Normal 2 2 3 2 2 3 2 2" xfId="1281" xr:uid="{00000000-0005-0000-0000-0000910F0000}"/>
    <cellStyle name="Normal 2 2 3 2 2 3 2 2 2" xfId="7936" xr:uid="{00000000-0005-0000-0000-0000920F0000}"/>
    <cellStyle name="Normal 2 2 3 2 2 3 2 2_SSL" xfId="14184" xr:uid="{00000000-0005-0000-0000-0000930F0000}"/>
    <cellStyle name="Normal 2 2 3 2 2 3 2 3" xfId="2101" xr:uid="{00000000-0005-0000-0000-0000940F0000}"/>
    <cellStyle name="Normal 2 2 3 2 2 3 2 3 2" xfId="8749" xr:uid="{00000000-0005-0000-0000-0000950F0000}"/>
    <cellStyle name="Normal 2 2 3 2 2 3 2 3_SSL" xfId="13312" xr:uid="{00000000-0005-0000-0000-0000960F0000}"/>
    <cellStyle name="Normal 2 2 3 2 2 3 2 4" xfId="2920" xr:uid="{00000000-0005-0000-0000-0000970F0000}"/>
    <cellStyle name="Normal 2 2 3 2 2 3 2 4 2" xfId="9565" xr:uid="{00000000-0005-0000-0000-0000980F0000}"/>
    <cellStyle name="Normal 2 2 3 2 2 3 2 4_SSL" xfId="14625" xr:uid="{00000000-0005-0000-0000-0000990F0000}"/>
    <cellStyle name="Normal 2 2 3 2 2 3 2 5" xfId="3741" xr:uid="{00000000-0005-0000-0000-00009A0F0000}"/>
    <cellStyle name="Normal 2 2 3 2 2 3 2 5 2" xfId="10381" xr:uid="{00000000-0005-0000-0000-00009B0F0000}"/>
    <cellStyle name="Normal 2 2 3 2 2 3 2 5_SSL" xfId="14670" xr:uid="{00000000-0005-0000-0000-00009C0F0000}"/>
    <cellStyle name="Normal 2 2 3 2 2 3 2 6" xfId="4552" xr:uid="{00000000-0005-0000-0000-00009D0F0000}"/>
    <cellStyle name="Normal 2 2 3 2 2 3 2 6 2" xfId="11191" xr:uid="{00000000-0005-0000-0000-00009E0F0000}"/>
    <cellStyle name="Normal 2 2 3 2 2 3 2 6_SSL" xfId="15042" xr:uid="{00000000-0005-0000-0000-00009F0F0000}"/>
    <cellStyle name="Normal 2 2 3 2 2 3 2 7" xfId="5362" xr:uid="{00000000-0005-0000-0000-0000A00F0000}"/>
    <cellStyle name="Normal 2 2 3 2 2 3 2 7 2" xfId="12000" xr:uid="{00000000-0005-0000-0000-0000A10F0000}"/>
    <cellStyle name="Normal 2 2 3 2 2 3 2 7_SSL" xfId="16069" xr:uid="{00000000-0005-0000-0000-0000A20F0000}"/>
    <cellStyle name="Normal 2 2 3 2 2 3 2 8" xfId="7549" xr:uid="{00000000-0005-0000-0000-0000A30F0000}"/>
    <cellStyle name="Normal 2 2 3 2 2 3 2 9" xfId="6279" xr:uid="{00000000-0005-0000-0000-0000A40F0000}"/>
    <cellStyle name="Normal 2 2 3 2 2 3 2_SSL" xfId="14440" xr:uid="{00000000-0005-0000-0000-0000A50F0000}"/>
    <cellStyle name="Normal 2 2 3 2 2 3 3" xfId="1280" xr:uid="{00000000-0005-0000-0000-0000A60F0000}"/>
    <cellStyle name="Normal 2 2 3 2 2 3 3 2" xfId="7935" xr:uid="{00000000-0005-0000-0000-0000A70F0000}"/>
    <cellStyle name="Normal 2 2 3 2 2 3 3_SSL" xfId="17962" xr:uid="{00000000-0005-0000-0000-0000A80F0000}"/>
    <cellStyle name="Normal 2 2 3 2 2 3 4" xfId="2100" xr:uid="{00000000-0005-0000-0000-0000A90F0000}"/>
    <cellStyle name="Normal 2 2 3 2 2 3 4 2" xfId="8748" xr:uid="{00000000-0005-0000-0000-0000AA0F0000}"/>
    <cellStyle name="Normal 2 2 3 2 2 3 4_SSL" xfId="15515" xr:uid="{00000000-0005-0000-0000-0000AB0F0000}"/>
    <cellStyle name="Normal 2 2 3 2 2 3 5" xfId="2919" xr:uid="{00000000-0005-0000-0000-0000AC0F0000}"/>
    <cellStyle name="Normal 2 2 3 2 2 3 5 2" xfId="9564" xr:uid="{00000000-0005-0000-0000-0000AD0F0000}"/>
    <cellStyle name="Normal 2 2 3 2 2 3 5_SSL" xfId="17423" xr:uid="{00000000-0005-0000-0000-0000AE0F0000}"/>
    <cellStyle name="Normal 2 2 3 2 2 3 6" xfId="3740" xr:uid="{00000000-0005-0000-0000-0000AF0F0000}"/>
    <cellStyle name="Normal 2 2 3 2 2 3 6 2" xfId="10380" xr:uid="{00000000-0005-0000-0000-0000B00F0000}"/>
    <cellStyle name="Normal 2 2 3 2 2 3 6_SSL" xfId="14989" xr:uid="{00000000-0005-0000-0000-0000B10F0000}"/>
    <cellStyle name="Normal 2 2 3 2 2 3 7" xfId="4551" xr:uid="{00000000-0005-0000-0000-0000B20F0000}"/>
    <cellStyle name="Normal 2 2 3 2 2 3 7 2" xfId="11190" xr:uid="{00000000-0005-0000-0000-0000B30F0000}"/>
    <cellStyle name="Normal 2 2 3 2 2 3 7_SSL" xfId="13339" xr:uid="{00000000-0005-0000-0000-0000B40F0000}"/>
    <cellStyle name="Normal 2 2 3 2 2 3 8" xfId="5361" xr:uid="{00000000-0005-0000-0000-0000B50F0000}"/>
    <cellStyle name="Normal 2 2 3 2 2 3 8 2" xfId="11999" xr:uid="{00000000-0005-0000-0000-0000B60F0000}"/>
    <cellStyle name="Normal 2 2 3 2 2 3 8_SSL" xfId="14171" xr:uid="{00000000-0005-0000-0000-0000B70F0000}"/>
    <cellStyle name="Normal 2 2 3 2 2 3 9" xfId="7165" xr:uid="{00000000-0005-0000-0000-0000B80F0000}"/>
    <cellStyle name="Normal 2 2 3 2 2 3_SSL" xfId="15424" xr:uid="{00000000-0005-0000-0000-0000B90F0000}"/>
    <cellStyle name="Normal 2 2 3 2 2 4" xfId="504" xr:uid="{00000000-0005-0000-0000-0000BA0F0000}"/>
    <cellStyle name="Normal 2 2 3 2 2 4 2" xfId="1282" xr:uid="{00000000-0005-0000-0000-0000BB0F0000}"/>
    <cellStyle name="Normal 2 2 3 2 2 4 2 2" xfId="7937" xr:uid="{00000000-0005-0000-0000-0000BC0F0000}"/>
    <cellStyle name="Normal 2 2 3 2 2 4 2_SSL" xfId="14591" xr:uid="{00000000-0005-0000-0000-0000BD0F0000}"/>
    <cellStyle name="Normal 2 2 3 2 2 4 3" xfId="2102" xr:uid="{00000000-0005-0000-0000-0000BE0F0000}"/>
    <cellStyle name="Normal 2 2 3 2 2 4 3 2" xfId="8750" xr:uid="{00000000-0005-0000-0000-0000BF0F0000}"/>
    <cellStyle name="Normal 2 2 3 2 2 4 3_SSL" xfId="15282" xr:uid="{00000000-0005-0000-0000-0000C00F0000}"/>
    <cellStyle name="Normal 2 2 3 2 2 4 4" xfId="2921" xr:uid="{00000000-0005-0000-0000-0000C10F0000}"/>
    <cellStyle name="Normal 2 2 3 2 2 4 4 2" xfId="9566" xr:uid="{00000000-0005-0000-0000-0000C20F0000}"/>
    <cellStyle name="Normal 2 2 3 2 2 4 4_SSL" xfId="12648" xr:uid="{00000000-0005-0000-0000-0000C30F0000}"/>
    <cellStyle name="Normal 2 2 3 2 2 4 5" xfId="3742" xr:uid="{00000000-0005-0000-0000-0000C40F0000}"/>
    <cellStyle name="Normal 2 2 3 2 2 4 5 2" xfId="10382" xr:uid="{00000000-0005-0000-0000-0000C50F0000}"/>
    <cellStyle name="Normal 2 2 3 2 2 4 5_SSL" xfId="16989" xr:uid="{00000000-0005-0000-0000-0000C60F0000}"/>
    <cellStyle name="Normal 2 2 3 2 2 4 6" xfId="4553" xr:uid="{00000000-0005-0000-0000-0000C70F0000}"/>
    <cellStyle name="Normal 2 2 3 2 2 4 6 2" xfId="11192" xr:uid="{00000000-0005-0000-0000-0000C80F0000}"/>
    <cellStyle name="Normal 2 2 3 2 2 4 6_SSL" xfId="14037" xr:uid="{00000000-0005-0000-0000-0000C90F0000}"/>
    <cellStyle name="Normal 2 2 3 2 2 4 7" xfId="5363" xr:uid="{00000000-0005-0000-0000-0000CA0F0000}"/>
    <cellStyle name="Normal 2 2 3 2 2 4 7 2" xfId="12001" xr:uid="{00000000-0005-0000-0000-0000CB0F0000}"/>
    <cellStyle name="Normal 2 2 3 2 2 4 7_SSL" xfId="16454" xr:uid="{00000000-0005-0000-0000-0000CC0F0000}"/>
    <cellStyle name="Normal 2 2 3 2 2 4 8" xfId="7360" xr:uid="{00000000-0005-0000-0000-0000CD0F0000}"/>
    <cellStyle name="Normal 2 2 3 2 2 4 9" xfId="6280" xr:uid="{00000000-0005-0000-0000-0000CE0F0000}"/>
    <cellStyle name="Normal 2 2 3 2 2 4_SSL" xfId="15496" xr:uid="{00000000-0005-0000-0000-0000CF0F0000}"/>
    <cellStyle name="Normal 2 2 3 2 2 5" xfId="1275" xr:uid="{00000000-0005-0000-0000-0000D00F0000}"/>
    <cellStyle name="Normal 2 2 3 2 2 5 2" xfId="7930" xr:uid="{00000000-0005-0000-0000-0000D10F0000}"/>
    <cellStyle name="Normal 2 2 3 2 2 5_SSL" xfId="18025" xr:uid="{00000000-0005-0000-0000-0000D20F0000}"/>
    <cellStyle name="Normal 2 2 3 2 2 6" xfId="2095" xr:uid="{00000000-0005-0000-0000-0000D30F0000}"/>
    <cellStyle name="Normal 2 2 3 2 2 6 2" xfId="8743" xr:uid="{00000000-0005-0000-0000-0000D40F0000}"/>
    <cellStyle name="Normal 2 2 3 2 2 6_SSL" xfId="16606" xr:uid="{00000000-0005-0000-0000-0000D50F0000}"/>
    <cellStyle name="Normal 2 2 3 2 2 7" xfId="2914" xr:uid="{00000000-0005-0000-0000-0000D60F0000}"/>
    <cellStyle name="Normal 2 2 3 2 2 7 2" xfId="9559" xr:uid="{00000000-0005-0000-0000-0000D70F0000}"/>
    <cellStyle name="Normal 2 2 3 2 2 7_SSL" xfId="17014" xr:uid="{00000000-0005-0000-0000-0000D80F0000}"/>
    <cellStyle name="Normal 2 2 3 2 2 8" xfId="3735" xr:uid="{00000000-0005-0000-0000-0000D90F0000}"/>
    <cellStyle name="Normal 2 2 3 2 2 8 2" xfId="10375" xr:uid="{00000000-0005-0000-0000-0000DA0F0000}"/>
    <cellStyle name="Normal 2 2 3 2 2 8_SSL" xfId="13634" xr:uid="{00000000-0005-0000-0000-0000DB0F0000}"/>
    <cellStyle name="Normal 2 2 3 2 2 9" xfId="4546" xr:uid="{00000000-0005-0000-0000-0000DC0F0000}"/>
    <cellStyle name="Normal 2 2 3 2 2 9 2" xfId="11185" xr:uid="{00000000-0005-0000-0000-0000DD0F0000}"/>
    <cellStyle name="Normal 2 2 3 2 2 9_SSL" xfId="16198" xr:uid="{00000000-0005-0000-0000-0000DE0F0000}"/>
    <cellStyle name="Normal 2 2 3 2 2_SSL" xfId="14817" xr:uid="{00000000-0005-0000-0000-0000DF0F0000}"/>
    <cellStyle name="Normal 2 2 3 2 3" xfId="122" xr:uid="{00000000-0005-0000-0000-0000E00F0000}"/>
    <cellStyle name="Normal 2 2 3 2 3 10" xfId="5364" xr:uid="{00000000-0005-0000-0000-0000E10F0000}"/>
    <cellStyle name="Normal 2 2 3 2 3 10 2" xfId="12002" xr:uid="{00000000-0005-0000-0000-0000E20F0000}"/>
    <cellStyle name="Normal 2 2 3 2 3 10_SSL" xfId="14249" xr:uid="{00000000-0005-0000-0000-0000E30F0000}"/>
    <cellStyle name="Normal 2 2 3 2 3 11" xfId="6999" xr:uid="{00000000-0005-0000-0000-0000E40F0000}"/>
    <cellStyle name="Normal 2 2 3 2 3 12" xfId="6281" xr:uid="{00000000-0005-0000-0000-0000E50F0000}"/>
    <cellStyle name="Normal 2 2 3 2 3 2" xfId="218" xr:uid="{00000000-0005-0000-0000-0000E60F0000}"/>
    <cellStyle name="Normal 2 2 3 2 3 2 10" xfId="7095" xr:uid="{00000000-0005-0000-0000-0000E70F0000}"/>
    <cellStyle name="Normal 2 2 3 2 3 2 11" xfId="6282" xr:uid="{00000000-0005-0000-0000-0000E80F0000}"/>
    <cellStyle name="Normal 2 2 3 2 3 2 2" xfId="308" xr:uid="{00000000-0005-0000-0000-0000E90F0000}"/>
    <cellStyle name="Normal 2 2 3 2 3 2 2 10" xfId="6283" xr:uid="{00000000-0005-0000-0000-0000EA0F0000}"/>
    <cellStyle name="Normal 2 2 3 2 3 2 2 2" xfId="696" xr:uid="{00000000-0005-0000-0000-0000EB0F0000}"/>
    <cellStyle name="Normal 2 2 3 2 3 2 2 2 2" xfId="1286" xr:uid="{00000000-0005-0000-0000-0000EC0F0000}"/>
    <cellStyle name="Normal 2 2 3 2 3 2 2 2 2 2" xfId="7941" xr:uid="{00000000-0005-0000-0000-0000ED0F0000}"/>
    <cellStyle name="Normal 2 2 3 2 3 2 2 2 2_SSL" xfId="17253" xr:uid="{00000000-0005-0000-0000-0000EE0F0000}"/>
    <cellStyle name="Normal 2 2 3 2 3 2 2 2 3" xfId="2106" xr:uid="{00000000-0005-0000-0000-0000EF0F0000}"/>
    <cellStyle name="Normal 2 2 3 2 3 2 2 2 3 2" xfId="8754" xr:uid="{00000000-0005-0000-0000-0000F00F0000}"/>
    <cellStyle name="Normal 2 2 3 2 3 2 2 2 3_SSL" xfId="17091" xr:uid="{00000000-0005-0000-0000-0000F10F0000}"/>
    <cellStyle name="Normal 2 2 3 2 3 2 2 2 4" xfId="2925" xr:uid="{00000000-0005-0000-0000-0000F20F0000}"/>
    <cellStyle name="Normal 2 2 3 2 3 2 2 2 4 2" xfId="9570" xr:uid="{00000000-0005-0000-0000-0000F30F0000}"/>
    <cellStyle name="Normal 2 2 3 2 3 2 2 2 4_SSL" xfId="12826" xr:uid="{00000000-0005-0000-0000-0000F40F0000}"/>
    <cellStyle name="Normal 2 2 3 2 3 2 2 2 5" xfId="3746" xr:uid="{00000000-0005-0000-0000-0000F50F0000}"/>
    <cellStyle name="Normal 2 2 3 2 3 2 2 2 5 2" xfId="10386" xr:uid="{00000000-0005-0000-0000-0000F60F0000}"/>
    <cellStyle name="Normal 2 2 3 2 3 2 2 2 5_SSL" xfId="14515" xr:uid="{00000000-0005-0000-0000-0000F70F0000}"/>
    <cellStyle name="Normal 2 2 3 2 3 2 2 2 6" xfId="4557" xr:uid="{00000000-0005-0000-0000-0000F80F0000}"/>
    <cellStyle name="Normal 2 2 3 2 3 2 2 2 6 2" xfId="11196" xr:uid="{00000000-0005-0000-0000-0000F90F0000}"/>
    <cellStyle name="Normal 2 2 3 2 3 2 2 2 6_SSL" xfId="14480" xr:uid="{00000000-0005-0000-0000-0000FA0F0000}"/>
    <cellStyle name="Normal 2 2 3 2 3 2 2 2 7" xfId="5367" xr:uid="{00000000-0005-0000-0000-0000FB0F0000}"/>
    <cellStyle name="Normal 2 2 3 2 3 2 2 2 7 2" xfId="12005" xr:uid="{00000000-0005-0000-0000-0000FC0F0000}"/>
    <cellStyle name="Normal 2 2 3 2 3 2 2 2 7_SSL" xfId="6714" xr:uid="{00000000-0005-0000-0000-0000FD0F0000}"/>
    <cellStyle name="Normal 2 2 3 2 3 2 2 2 8" xfId="7552" xr:uid="{00000000-0005-0000-0000-0000FE0F0000}"/>
    <cellStyle name="Normal 2 2 3 2 3 2 2 2 9" xfId="6284" xr:uid="{00000000-0005-0000-0000-0000FF0F0000}"/>
    <cellStyle name="Normal 2 2 3 2 3 2 2 2_SSL" xfId="12937" xr:uid="{00000000-0005-0000-0000-000000100000}"/>
    <cellStyle name="Normal 2 2 3 2 3 2 2 3" xfId="1285" xr:uid="{00000000-0005-0000-0000-000001100000}"/>
    <cellStyle name="Normal 2 2 3 2 3 2 2 3 2" xfId="7940" xr:uid="{00000000-0005-0000-0000-000002100000}"/>
    <cellStyle name="Normal 2 2 3 2 3 2 2 3_SSL" xfId="17106" xr:uid="{00000000-0005-0000-0000-000003100000}"/>
    <cellStyle name="Normal 2 2 3 2 3 2 2 4" xfId="2105" xr:uid="{00000000-0005-0000-0000-000004100000}"/>
    <cellStyle name="Normal 2 2 3 2 3 2 2 4 2" xfId="8753" xr:uid="{00000000-0005-0000-0000-000005100000}"/>
    <cellStyle name="Normal 2 2 3 2 3 2 2 4_SSL" xfId="16753" xr:uid="{00000000-0005-0000-0000-000006100000}"/>
    <cellStyle name="Normal 2 2 3 2 3 2 2 5" xfId="2924" xr:uid="{00000000-0005-0000-0000-000007100000}"/>
    <cellStyle name="Normal 2 2 3 2 3 2 2 5 2" xfId="9569" xr:uid="{00000000-0005-0000-0000-000008100000}"/>
    <cellStyle name="Normal 2 2 3 2 3 2 2 5_SSL" xfId="13954" xr:uid="{00000000-0005-0000-0000-000009100000}"/>
    <cellStyle name="Normal 2 2 3 2 3 2 2 6" xfId="3745" xr:uid="{00000000-0005-0000-0000-00000A100000}"/>
    <cellStyle name="Normal 2 2 3 2 3 2 2 6 2" xfId="10385" xr:uid="{00000000-0005-0000-0000-00000B100000}"/>
    <cellStyle name="Normal 2 2 3 2 3 2 2 6_SSL" xfId="16506" xr:uid="{00000000-0005-0000-0000-00000C100000}"/>
    <cellStyle name="Normal 2 2 3 2 3 2 2 7" xfId="4556" xr:uid="{00000000-0005-0000-0000-00000D100000}"/>
    <cellStyle name="Normal 2 2 3 2 3 2 2 7 2" xfId="11195" xr:uid="{00000000-0005-0000-0000-00000E100000}"/>
    <cellStyle name="Normal 2 2 3 2 3 2 2 7_SSL" xfId="15885" xr:uid="{00000000-0005-0000-0000-00000F100000}"/>
    <cellStyle name="Normal 2 2 3 2 3 2 2 8" xfId="5366" xr:uid="{00000000-0005-0000-0000-000010100000}"/>
    <cellStyle name="Normal 2 2 3 2 3 2 2 8 2" xfId="12004" xr:uid="{00000000-0005-0000-0000-000011100000}"/>
    <cellStyle name="Normal 2 2 3 2 3 2 2 8_SSL" xfId="15222" xr:uid="{00000000-0005-0000-0000-000012100000}"/>
    <cellStyle name="Normal 2 2 3 2 3 2 2 9" xfId="7168" xr:uid="{00000000-0005-0000-0000-000013100000}"/>
    <cellStyle name="Normal 2 2 3 2 3 2 2_SSL" xfId="15749" xr:uid="{00000000-0005-0000-0000-000014100000}"/>
    <cellStyle name="Normal 2 2 3 2 3 2 3" xfId="623" xr:uid="{00000000-0005-0000-0000-000015100000}"/>
    <cellStyle name="Normal 2 2 3 2 3 2 3 2" xfId="1287" xr:uid="{00000000-0005-0000-0000-000016100000}"/>
    <cellStyle name="Normal 2 2 3 2 3 2 3 2 2" xfId="7942" xr:uid="{00000000-0005-0000-0000-000017100000}"/>
    <cellStyle name="Normal 2 2 3 2 3 2 3 2_SSL" xfId="16194" xr:uid="{00000000-0005-0000-0000-000018100000}"/>
    <cellStyle name="Normal 2 2 3 2 3 2 3 3" xfId="2107" xr:uid="{00000000-0005-0000-0000-000019100000}"/>
    <cellStyle name="Normal 2 2 3 2 3 2 3 3 2" xfId="8755" xr:uid="{00000000-0005-0000-0000-00001A100000}"/>
    <cellStyle name="Normal 2 2 3 2 3 2 3 3_SSL" xfId="16802" xr:uid="{00000000-0005-0000-0000-00001B100000}"/>
    <cellStyle name="Normal 2 2 3 2 3 2 3 4" xfId="2926" xr:uid="{00000000-0005-0000-0000-00001C100000}"/>
    <cellStyle name="Normal 2 2 3 2 3 2 3 4 2" xfId="9571" xr:uid="{00000000-0005-0000-0000-00001D100000}"/>
    <cellStyle name="Normal 2 2 3 2 3 2 3 4_SSL" xfId="14632" xr:uid="{00000000-0005-0000-0000-00001E100000}"/>
    <cellStyle name="Normal 2 2 3 2 3 2 3 5" xfId="3747" xr:uid="{00000000-0005-0000-0000-00001F100000}"/>
    <cellStyle name="Normal 2 2 3 2 3 2 3 5 2" xfId="10387" xr:uid="{00000000-0005-0000-0000-000020100000}"/>
    <cellStyle name="Normal 2 2 3 2 3 2 3 5_SSL" xfId="15077" xr:uid="{00000000-0005-0000-0000-000021100000}"/>
    <cellStyle name="Normal 2 2 3 2 3 2 3 6" xfId="4558" xr:uid="{00000000-0005-0000-0000-000022100000}"/>
    <cellStyle name="Normal 2 2 3 2 3 2 3 6 2" xfId="11197" xr:uid="{00000000-0005-0000-0000-000023100000}"/>
    <cellStyle name="Normal 2 2 3 2 3 2 3 6_SSL" xfId="12707" xr:uid="{00000000-0005-0000-0000-000024100000}"/>
    <cellStyle name="Normal 2 2 3 2 3 2 3 7" xfId="5368" xr:uid="{00000000-0005-0000-0000-000025100000}"/>
    <cellStyle name="Normal 2 2 3 2 3 2 3 7 2" xfId="12006" xr:uid="{00000000-0005-0000-0000-000026100000}"/>
    <cellStyle name="Normal 2 2 3 2 3 2 3 7_SSL" xfId="16724" xr:uid="{00000000-0005-0000-0000-000027100000}"/>
    <cellStyle name="Normal 2 2 3 2 3 2 3 8" xfId="7479" xr:uid="{00000000-0005-0000-0000-000028100000}"/>
    <cellStyle name="Normal 2 2 3 2 3 2 3 9" xfId="6285" xr:uid="{00000000-0005-0000-0000-000029100000}"/>
    <cellStyle name="Normal 2 2 3 2 3 2 3_SSL" xfId="15647" xr:uid="{00000000-0005-0000-0000-00002A100000}"/>
    <cellStyle name="Normal 2 2 3 2 3 2 4" xfId="1284" xr:uid="{00000000-0005-0000-0000-00002B100000}"/>
    <cellStyle name="Normal 2 2 3 2 3 2 4 2" xfId="7939" xr:uid="{00000000-0005-0000-0000-00002C100000}"/>
    <cellStyle name="Normal 2 2 3 2 3 2 4_SSL" xfId="6114" xr:uid="{00000000-0005-0000-0000-00002D100000}"/>
    <cellStyle name="Normal 2 2 3 2 3 2 5" xfId="2104" xr:uid="{00000000-0005-0000-0000-00002E100000}"/>
    <cellStyle name="Normal 2 2 3 2 3 2 5 2" xfId="8752" xr:uid="{00000000-0005-0000-0000-00002F100000}"/>
    <cellStyle name="Normal 2 2 3 2 3 2 5_SSL" xfId="12893" xr:uid="{00000000-0005-0000-0000-000030100000}"/>
    <cellStyle name="Normal 2 2 3 2 3 2 6" xfId="2923" xr:uid="{00000000-0005-0000-0000-000031100000}"/>
    <cellStyle name="Normal 2 2 3 2 3 2 6 2" xfId="9568" xr:uid="{00000000-0005-0000-0000-000032100000}"/>
    <cellStyle name="Normal 2 2 3 2 3 2 6_SSL" xfId="15641" xr:uid="{00000000-0005-0000-0000-000033100000}"/>
    <cellStyle name="Normal 2 2 3 2 3 2 7" xfId="3744" xr:uid="{00000000-0005-0000-0000-000034100000}"/>
    <cellStyle name="Normal 2 2 3 2 3 2 7 2" xfId="10384" xr:uid="{00000000-0005-0000-0000-000035100000}"/>
    <cellStyle name="Normal 2 2 3 2 3 2 7_SSL" xfId="14344" xr:uid="{00000000-0005-0000-0000-000036100000}"/>
    <cellStyle name="Normal 2 2 3 2 3 2 8" xfId="4555" xr:uid="{00000000-0005-0000-0000-000037100000}"/>
    <cellStyle name="Normal 2 2 3 2 3 2 8 2" xfId="11194" xr:uid="{00000000-0005-0000-0000-000038100000}"/>
    <cellStyle name="Normal 2 2 3 2 3 2 8_SSL" xfId="13361" xr:uid="{00000000-0005-0000-0000-000039100000}"/>
    <cellStyle name="Normal 2 2 3 2 3 2 9" xfId="5365" xr:uid="{00000000-0005-0000-0000-00003A100000}"/>
    <cellStyle name="Normal 2 2 3 2 3 2 9 2" xfId="12003" xr:uid="{00000000-0005-0000-0000-00003B100000}"/>
    <cellStyle name="Normal 2 2 3 2 3 2 9_SSL" xfId="14715" xr:uid="{00000000-0005-0000-0000-00003C100000}"/>
    <cellStyle name="Normal 2 2 3 2 3 2_SSL" xfId="13848" xr:uid="{00000000-0005-0000-0000-00003D100000}"/>
    <cellStyle name="Normal 2 2 3 2 3 3" xfId="307" xr:uid="{00000000-0005-0000-0000-00003E100000}"/>
    <cellStyle name="Normal 2 2 3 2 3 3 10" xfId="6286" xr:uid="{00000000-0005-0000-0000-00003F100000}"/>
    <cellStyle name="Normal 2 2 3 2 3 3 2" xfId="695" xr:uid="{00000000-0005-0000-0000-000040100000}"/>
    <cellStyle name="Normal 2 2 3 2 3 3 2 2" xfId="1289" xr:uid="{00000000-0005-0000-0000-000041100000}"/>
    <cellStyle name="Normal 2 2 3 2 3 3 2 2 2" xfId="7944" xr:uid="{00000000-0005-0000-0000-000042100000}"/>
    <cellStyle name="Normal 2 2 3 2 3 3 2 2_SSL" xfId="14910" xr:uid="{00000000-0005-0000-0000-000043100000}"/>
    <cellStyle name="Normal 2 2 3 2 3 3 2 3" xfId="2109" xr:uid="{00000000-0005-0000-0000-000044100000}"/>
    <cellStyle name="Normal 2 2 3 2 3 3 2 3 2" xfId="8757" xr:uid="{00000000-0005-0000-0000-000045100000}"/>
    <cellStyle name="Normal 2 2 3 2 3 3 2 3_SSL" xfId="13113" xr:uid="{00000000-0005-0000-0000-000046100000}"/>
    <cellStyle name="Normal 2 2 3 2 3 3 2 4" xfId="2928" xr:uid="{00000000-0005-0000-0000-000047100000}"/>
    <cellStyle name="Normal 2 2 3 2 3 3 2 4 2" xfId="9573" xr:uid="{00000000-0005-0000-0000-000048100000}"/>
    <cellStyle name="Normal 2 2 3 2 3 3 2 4_SSL" xfId="16892" xr:uid="{00000000-0005-0000-0000-000049100000}"/>
    <cellStyle name="Normal 2 2 3 2 3 3 2 5" xfId="3749" xr:uid="{00000000-0005-0000-0000-00004A100000}"/>
    <cellStyle name="Normal 2 2 3 2 3 3 2 5 2" xfId="10389" xr:uid="{00000000-0005-0000-0000-00004B100000}"/>
    <cellStyle name="Normal 2 2 3 2 3 3 2 5_SSL" xfId="14984" xr:uid="{00000000-0005-0000-0000-00004C100000}"/>
    <cellStyle name="Normal 2 2 3 2 3 3 2 6" xfId="4560" xr:uid="{00000000-0005-0000-0000-00004D100000}"/>
    <cellStyle name="Normal 2 2 3 2 3 3 2 6 2" xfId="11199" xr:uid="{00000000-0005-0000-0000-00004E100000}"/>
    <cellStyle name="Normal 2 2 3 2 3 3 2 6_SSL" xfId="13461" xr:uid="{00000000-0005-0000-0000-00004F100000}"/>
    <cellStyle name="Normal 2 2 3 2 3 3 2 7" xfId="5370" xr:uid="{00000000-0005-0000-0000-000050100000}"/>
    <cellStyle name="Normal 2 2 3 2 3 3 2 7 2" xfId="12008" xr:uid="{00000000-0005-0000-0000-000051100000}"/>
    <cellStyle name="Normal 2 2 3 2 3 3 2 7_SSL" xfId="17128" xr:uid="{00000000-0005-0000-0000-000052100000}"/>
    <cellStyle name="Normal 2 2 3 2 3 3 2 8" xfId="7551" xr:uid="{00000000-0005-0000-0000-000053100000}"/>
    <cellStyle name="Normal 2 2 3 2 3 3 2 9" xfId="6287" xr:uid="{00000000-0005-0000-0000-000054100000}"/>
    <cellStyle name="Normal 2 2 3 2 3 3 2_SSL" xfId="14416" xr:uid="{00000000-0005-0000-0000-000055100000}"/>
    <cellStyle name="Normal 2 2 3 2 3 3 3" xfId="1288" xr:uid="{00000000-0005-0000-0000-000056100000}"/>
    <cellStyle name="Normal 2 2 3 2 3 3 3 2" xfId="7943" xr:uid="{00000000-0005-0000-0000-000057100000}"/>
    <cellStyle name="Normal 2 2 3 2 3 3 3_SSL" xfId="13654" xr:uid="{00000000-0005-0000-0000-000058100000}"/>
    <cellStyle name="Normal 2 2 3 2 3 3 4" xfId="2108" xr:uid="{00000000-0005-0000-0000-000059100000}"/>
    <cellStyle name="Normal 2 2 3 2 3 3 4 2" xfId="8756" xr:uid="{00000000-0005-0000-0000-00005A100000}"/>
    <cellStyle name="Normal 2 2 3 2 3 3 4_SSL" xfId="17599" xr:uid="{00000000-0005-0000-0000-00005B100000}"/>
    <cellStyle name="Normal 2 2 3 2 3 3 5" xfId="2927" xr:uid="{00000000-0005-0000-0000-00005C100000}"/>
    <cellStyle name="Normal 2 2 3 2 3 3 5 2" xfId="9572" xr:uid="{00000000-0005-0000-0000-00005D100000}"/>
    <cellStyle name="Normal 2 2 3 2 3 3 5_SSL" xfId="15148" xr:uid="{00000000-0005-0000-0000-00005E100000}"/>
    <cellStyle name="Normal 2 2 3 2 3 3 6" xfId="3748" xr:uid="{00000000-0005-0000-0000-00005F100000}"/>
    <cellStyle name="Normal 2 2 3 2 3 3 6 2" xfId="10388" xr:uid="{00000000-0005-0000-0000-000060100000}"/>
    <cellStyle name="Normal 2 2 3 2 3 3 6_SSL" xfId="15992" xr:uid="{00000000-0005-0000-0000-000061100000}"/>
    <cellStyle name="Normal 2 2 3 2 3 3 7" xfId="4559" xr:uid="{00000000-0005-0000-0000-000062100000}"/>
    <cellStyle name="Normal 2 2 3 2 3 3 7 2" xfId="11198" xr:uid="{00000000-0005-0000-0000-000063100000}"/>
    <cellStyle name="Normal 2 2 3 2 3 3 7_SSL" xfId="17561" xr:uid="{00000000-0005-0000-0000-000064100000}"/>
    <cellStyle name="Normal 2 2 3 2 3 3 8" xfId="5369" xr:uid="{00000000-0005-0000-0000-000065100000}"/>
    <cellStyle name="Normal 2 2 3 2 3 3 8 2" xfId="12007" xr:uid="{00000000-0005-0000-0000-000066100000}"/>
    <cellStyle name="Normal 2 2 3 2 3 3 8_SSL" xfId="15110" xr:uid="{00000000-0005-0000-0000-000067100000}"/>
    <cellStyle name="Normal 2 2 3 2 3 3 9" xfId="7167" xr:uid="{00000000-0005-0000-0000-000068100000}"/>
    <cellStyle name="Normal 2 2 3 2 3 3_SSL" xfId="16086" xr:uid="{00000000-0005-0000-0000-000069100000}"/>
    <cellStyle name="Normal 2 2 3 2 3 4" xfId="527" xr:uid="{00000000-0005-0000-0000-00006A100000}"/>
    <cellStyle name="Normal 2 2 3 2 3 4 2" xfId="1290" xr:uid="{00000000-0005-0000-0000-00006B100000}"/>
    <cellStyle name="Normal 2 2 3 2 3 4 2 2" xfId="7945" xr:uid="{00000000-0005-0000-0000-00006C100000}"/>
    <cellStyle name="Normal 2 2 3 2 3 4 2_SSL" xfId="15025" xr:uid="{00000000-0005-0000-0000-00006D100000}"/>
    <cellStyle name="Normal 2 2 3 2 3 4 3" xfId="2110" xr:uid="{00000000-0005-0000-0000-00006E100000}"/>
    <cellStyle name="Normal 2 2 3 2 3 4 3 2" xfId="8758" xr:uid="{00000000-0005-0000-0000-00006F100000}"/>
    <cellStyle name="Normal 2 2 3 2 3 4 3_SSL" xfId="17308" xr:uid="{00000000-0005-0000-0000-000070100000}"/>
    <cellStyle name="Normal 2 2 3 2 3 4 4" xfId="2929" xr:uid="{00000000-0005-0000-0000-000071100000}"/>
    <cellStyle name="Normal 2 2 3 2 3 4 4 2" xfId="9574" xr:uid="{00000000-0005-0000-0000-000072100000}"/>
    <cellStyle name="Normal 2 2 3 2 3 4 4_SSL" xfId="17785" xr:uid="{00000000-0005-0000-0000-000073100000}"/>
    <cellStyle name="Normal 2 2 3 2 3 4 5" xfId="3750" xr:uid="{00000000-0005-0000-0000-000074100000}"/>
    <cellStyle name="Normal 2 2 3 2 3 4 5 2" xfId="10390" xr:uid="{00000000-0005-0000-0000-000075100000}"/>
    <cellStyle name="Normal 2 2 3 2 3 4 5_SSL" xfId="16213" xr:uid="{00000000-0005-0000-0000-000076100000}"/>
    <cellStyle name="Normal 2 2 3 2 3 4 6" xfId="4561" xr:uid="{00000000-0005-0000-0000-000077100000}"/>
    <cellStyle name="Normal 2 2 3 2 3 4 6 2" xfId="11200" xr:uid="{00000000-0005-0000-0000-000078100000}"/>
    <cellStyle name="Normal 2 2 3 2 3 4 6_SSL" xfId="14853" xr:uid="{00000000-0005-0000-0000-000079100000}"/>
    <cellStyle name="Normal 2 2 3 2 3 4 7" xfId="5371" xr:uid="{00000000-0005-0000-0000-00007A100000}"/>
    <cellStyle name="Normal 2 2 3 2 3 4 7 2" xfId="12009" xr:uid="{00000000-0005-0000-0000-00007B100000}"/>
    <cellStyle name="Normal 2 2 3 2 3 4 7_SSL" xfId="16160" xr:uid="{00000000-0005-0000-0000-00007C100000}"/>
    <cellStyle name="Normal 2 2 3 2 3 4 8" xfId="7383" xr:uid="{00000000-0005-0000-0000-00007D100000}"/>
    <cellStyle name="Normal 2 2 3 2 3 4 9" xfId="6288" xr:uid="{00000000-0005-0000-0000-00007E100000}"/>
    <cellStyle name="Normal 2 2 3 2 3 4_SSL" xfId="15024" xr:uid="{00000000-0005-0000-0000-00007F100000}"/>
    <cellStyle name="Normal 2 2 3 2 3 5" xfId="1283" xr:uid="{00000000-0005-0000-0000-000080100000}"/>
    <cellStyle name="Normal 2 2 3 2 3 5 2" xfId="7938" xr:uid="{00000000-0005-0000-0000-000081100000}"/>
    <cellStyle name="Normal 2 2 3 2 3 5_SSL" xfId="17676" xr:uid="{00000000-0005-0000-0000-000082100000}"/>
    <cellStyle name="Normal 2 2 3 2 3 6" xfId="2103" xr:uid="{00000000-0005-0000-0000-000083100000}"/>
    <cellStyle name="Normal 2 2 3 2 3 6 2" xfId="8751" xr:uid="{00000000-0005-0000-0000-000084100000}"/>
    <cellStyle name="Normal 2 2 3 2 3 6_SSL" xfId="15386" xr:uid="{00000000-0005-0000-0000-000085100000}"/>
    <cellStyle name="Normal 2 2 3 2 3 7" xfId="2922" xr:uid="{00000000-0005-0000-0000-000086100000}"/>
    <cellStyle name="Normal 2 2 3 2 3 7 2" xfId="9567" xr:uid="{00000000-0005-0000-0000-000087100000}"/>
    <cellStyle name="Normal 2 2 3 2 3 7_SSL" xfId="17309" xr:uid="{00000000-0005-0000-0000-000088100000}"/>
    <cellStyle name="Normal 2 2 3 2 3 8" xfId="3743" xr:uid="{00000000-0005-0000-0000-000089100000}"/>
    <cellStyle name="Normal 2 2 3 2 3 8 2" xfId="10383" xr:uid="{00000000-0005-0000-0000-00008A100000}"/>
    <cellStyle name="Normal 2 2 3 2 3 8_SSL" xfId="12919" xr:uid="{00000000-0005-0000-0000-00008B100000}"/>
    <cellStyle name="Normal 2 2 3 2 3 9" xfId="4554" xr:uid="{00000000-0005-0000-0000-00008C100000}"/>
    <cellStyle name="Normal 2 2 3 2 3 9 2" xfId="11193" xr:uid="{00000000-0005-0000-0000-00008D100000}"/>
    <cellStyle name="Normal 2 2 3 2 3 9_SSL" xfId="13926" xr:uid="{00000000-0005-0000-0000-00008E100000}"/>
    <cellStyle name="Normal 2 2 3 2 3_SSL" xfId="13565" xr:uid="{00000000-0005-0000-0000-00008F100000}"/>
    <cellStyle name="Normal 2 2 3 2 4" xfId="147" xr:uid="{00000000-0005-0000-0000-000090100000}"/>
    <cellStyle name="Normal 2 2 3 2 4 10" xfId="7024" xr:uid="{00000000-0005-0000-0000-000091100000}"/>
    <cellStyle name="Normal 2 2 3 2 4 11" xfId="6289" xr:uid="{00000000-0005-0000-0000-000092100000}"/>
    <cellStyle name="Normal 2 2 3 2 4 2" xfId="309" xr:uid="{00000000-0005-0000-0000-000093100000}"/>
    <cellStyle name="Normal 2 2 3 2 4 2 10" xfId="6290" xr:uid="{00000000-0005-0000-0000-000094100000}"/>
    <cellStyle name="Normal 2 2 3 2 4 2 2" xfId="697" xr:uid="{00000000-0005-0000-0000-000095100000}"/>
    <cellStyle name="Normal 2 2 3 2 4 2 2 2" xfId="1293" xr:uid="{00000000-0005-0000-0000-000096100000}"/>
    <cellStyle name="Normal 2 2 3 2 4 2 2 2 2" xfId="7948" xr:uid="{00000000-0005-0000-0000-000097100000}"/>
    <cellStyle name="Normal 2 2 3 2 4 2 2 2_SSL" xfId="17420" xr:uid="{00000000-0005-0000-0000-000098100000}"/>
    <cellStyle name="Normal 2 2 3 2 4 2 2 3" xfId="2113" xr:uid="{00000000-0005-0000-0000-000099100000}"/>
    <cellStyle name="Normal 2 2 3 2 4 2 2 3 2" xfId="8761" xr:uid="{00000000-0005-0000-0000-00009A100000}"/>
    <cellStyle name="Normal 2 2 3 2 4 2 2 3_SSL" xfId="15518" xr:uid="{00000000-0005-0000-0000-00009B100000}"/>
    <cellStyle name="Normal 2 2 3 2 4 2 2 4" xfId="2932" xr:uid="{00000000-0005-0000-0000-00009C100000}"/>
    <cellStyle name="Normal 2 2 3 2 4 2 2 4 2" xfId="9577" xr:uid="{00000000-0005-0000-0000-00009D100000}"/>
    <cellStyle name="Normal 2 2 3 2 4 2 2 4_SSL" xfId="12871" xr:uid="{00000000-0005-0000-0000-00009E100000}"/>
    <cellStyle name="Normal 2 2 3 2 4 2 2 5" xfId="3753" xr:uid="{00000000-0005-0000-0000-00009F100000}"/>
    <cellStyle name="Normal 2 2 3 2 4 2 2 5 2" xfId="10393" xr:uid="{00000000-0005-0000-0000-0000A0100000}"/>
    <cellStyle name="Normal 2 2 3 2 4 2 2 5_SSL" xfId="15140" xr:uid="{00000000-0005-0000-0000-0000A1100000}"/>
    <cellStyle name="Normal 2 2 3 2 4 2 2 6" xfId="4564" xr:uid="{00000000-0005-0000-0000-0000A2100000}"/>
    <cellStyle name="Normal 2 2 3 2 4 2 2 6 2" xfId="11203" xr:uid="{00000000-0005-0000-0000-0000A3100000}"/>
    <cellStyle name="Normal 2 2 3 2 4 2 2 6_SSL" xfId="16434" xr:uid="{00000000-0005-0000-0000-0000A4100000}"/>
    <cellStyle name="Normal 2 2 3 2 4 2 2 7" xfId="5374" xr:uid="{00000000-0005-0000-0000-0000A5100000}"/>
    <cellStyle name="Normal 2 2 3 2 4 2 2 7 2" xfId="12012" xr:uid="{00000000-0005-0000-0000-0000A6100000}"/>
    <cellStyle name="Normal 2 2 3 2 4 2 2 7_SSL" xfId="15784" xr:uid="{00000000-0005-0000-0000-0000A7100000}"/>
    <cellStyle name="Normal 2 2 3 2 4 2 2 8" xfId="7553" xr:uid="{00000000-0005-0000-0000-0000A8100000}"/>
    <cellStyle name="Normal 2 2 3 2 4 2 2 9" xfId="6291" xr:uid="{00000000-0005-0000-0000-0000A9100000}"/>
    <cellStyle name="Normal 2 2 3 2 4 2 2_SSL" xfId="17304" xr:uid="{00000000-0005-0000-0000-0000AA100000}"/>
    <cellStyle name="Normal 2 2 3 2 4 2 3" xfId="1292" xr:uid="{00000000-0005-0000-0000-0000AB100000}"/>
    <cellStyle name="Normal 2 2 3 2 4 2 3 2" xfId="7947" xr:uid="{00000000-0005-0000-0000-0000AC100000}"/>
    <cellStyle name="Normal 2 2 3 2 4 2 3_SSL" xfId="13023" xr:uid="{00000000-0005-0000-0000-0000AD100000}"/>
    <cellStyle name="Normal 2 2 3 2 4 2 4" xfId="2112" xr:uid="{00000000-0005-0000-0000-0000AE100000}"/>
    <cellStyle name="Normal 2 2 3 2 4 2 4 2" xfId="8760" xr:uid="{00000000-0005-0000-0000-0000AF100000}"/>
    <cellStyle name="Normal 2 2 3 2 4 2 4_SSL" xfId="16326" xr:uid="{00000000-0005-0000-0000-0000B0100000}"/>
    <cellStyle name="Normal 2 2 3 2 4 2 5" xfId="2931" xr:uid="{00000000-0005-0000-0000-0000B1100000}"/>
    <cellStyle name="Normal 2 2 3 2 4 2 5 2" xfId="9576" xr:uid="{00000000-0005-0000-0000-0000B2100000}"/>
    <cellStyle name="Normal 2 2 3 2 4 2 5_SSL" xfId="14750" xr:uid="{00000000-0005-0000-0000-0000B3100000}"/>
    <cellStyle name="Normal 2 2 3 2 4 2 6" xfId="3752" xr:uid="{00000000-0005-0000-0000-0000B4100000}"/>
    <cellStyle name="Normal 2 2 3 2 4 2 6 2" xfId="10392" xr:uid="{00000000-0005-0000-0000-0000B5100000}"/>
    <cellStyle name="Normal 2 2 3 2 4 2 6_SSL" xfId="14720" xr:uid="{00000000-0005-0000-0000-0000B6100000}"/>
    <cellStyle name="Normal 2 2 3 2 4 2 7" xfId="4563" xr:uid="{00000000-0005-0000-0000-0000B7100000}"/>
    <cellStyle name="Normal 2 2 3 2 4 2 7 2" xfId="11202" xr:uid="{00000000-0005-0000-0000-0000B8100000}"/>
    <cellStyle name="Normal 2 2 3 2 4 2 7_SSL" xfId="13057" xr:uid="{00000000-0005-0000-0000-0000B9100000}"/>
    <cellStyle name="Normal 2 2 3 2 4 2 8" xfId="5373" xr:uid="{00000000-0005-0000-0000-0000BA100000}"/>
    <cellStyle name="Normal 2 2 3 2 4 2 8 2" xfId="12011" xr:uid="{00000000-0005-0000-0000-0000BB100000}"/>
    <cellStyle name="Normal 2 2 3 2 4 2 8_SSL" xfId="14484" xr:uid="{00000000-0005-0000-0000-0000BC100000}"/>
    <cellStyle name="Normal 2 2 3 2 4 2 9" xfId="7169" xr:uid="{00000000-0005-0000-0000-0000BD100000}"/>
    <cellStyle name="Normal 2 2 3 2 4 2_SSL" xfId="15630" xr:uid="{00000000-0005-0000-0000-0000BE100000}"/>
    <cellStyle name="Normal 2 2 3 2 4 3" xfId="552" xr:uid="{00000000-0005-0000-0000-0000BF100000}"/>
    <cellStyle name="Normal 2 2 3 2 4 3 2" xfId="1294" xr:uid="{00000000-0005-0000-0000-0000C0100000}"/>
    <cellStyle name="Normal 2 2 3 2 4 3 2 2" xfId="7949" xr:uid="{00000000-0005-0000-0000-0000C1100000}"/>
    <cellStyle name="Normal 2 2 3 2 4 3 2_SSL" xfId="14406" xr:uid="{00000000-0005-0000-0000-0000C2100000}"/>
    <cellStyle name="Normal 2 2 3 2 4 3 3" xfId="2114" xr:uid="{00000000-0005-0000-0000-0000C3100000}"/>
    <cellStyle name="Normal 2 2 3 2 4 3 3 2" xfId="8762" xr:uid="{00000000-0005-0000-0000-0000C4100000}"/>
    <cellStyle name="Normal 2 2 3 2 4 3 3_SSL" xfId="14509" xr:uid="{00000000-0005-0000-0000-0000C5100000}"/>
    <cellStyle name="Normal 2 2 3 2 4 3 4" xfId="2933" xr:uid="{00000000-0005-0000-0000-0000C6100000}"/>
    <cellStyle name="Normal 2 2 3 2 4 3 4 2" xfId="9578" xr:uid="{00000000-0005-0000-0000-0000C7100000}"/>
    <cellStyle name="Normal 2 2 3 2 4 3 4_SSL" xfId="17468" xr:uid="{00000000-0005-0000-0000-0000C8100000}"/>
    <cellStyle name="Normal 2 2 3 2 4 3 5" xfId="3754" xr:uid="{00000000-0005-0000-0000-0000C9100000}"/>
    <cellStyle name="Normal 2 2 3 2 4 3 5 2" xfId="10394" xr:uid="{00000000-0005-0000-0000-0000CA100000}"/>
    <cellStyle name="Normal 2 2 3 2 4 3 5_SSL" xfId="14948" xr:uid="{00000000-0005-0000-0000-0000CB100000}"/>
    <cellStyle name="Normal 2 2 3 2 4 3 6" xfId="4565" xr:uid="{00000000-0005-0000-0000-0000CC100000}"/>
    <cellStyle name="Normal 2 2 3 2 4 3 6 2" xfId="11204" xr:uid="{00000000-0005-0000-0000-0000CD100000}"/>
    <cellStyle name="Normal 2 2 3 2 4 3 6_SSL" xfId="14709" xr:uid="{00000000-0005-0000-0000-0000CE100000}"/>
    <cellStyle name="Normal 2 2 3 2 4 3 7" xfId="5375" xr:uid="{00000000-0005-0000-0000-0000CF100000}"/>
    <cellStyle name="Normal 2 2 3 2 4 3 7 2" xfId="12013" xr:uid="{00000000-0005-0000-0000-0000D0100000}"/>
    <cellStyle name="Normal 2 2 3 2 4 3 7_SSL" xfId="12700" xr:uid="{00000000-0005-0000-0000-0000D1100000}"/>
    <cellStyle name="Normal 2 2 3 2 4 3 8" xfId="7408" xr:uid="{00000000-0005-0000-0000-0000D2100000}"/>
    <cellStyle name="Normal 2 2 3 2 4 3 9" xfId="6292" xr:uid="{00000000-0005-0000-0000-0000D3100000}"/>
    <cellStyle name="Normal 2 2 3 2 4 3_SSL" xfId="12743" xr:uid="{00000000-0005-0000-0000-0000D4100000}"/>
    <cellStyle name="Normal 2 2 3 2 4 4" xfId="1291" xr:uid="{00000000-0005-0000-0000-0000D5100000}"/>
    <cellStyle name="Normal 2 2 3 2 4 4 2" xfId="7946" xr:uid="{00000000-0005-0000-0000-0000D6100000}"/>
    <cellStyle name="Normal 2 2 3 2 4 4_SSL" xfId="14698" xr:uid="{00000000-0005-0000-0000-0000D7100000}"/>
    <cellStyle name="Normal 2 2 3 2 4 5" xfId="2111" xr:uid="{00000000-0005-0000-0000-0000D8100000}"/>
    <cellStyle name="Normal 2 2 3 2 4 5 2" xfId="8759" xr:uid="{00000000-0005-0000-0000-0000D9100000}"/>
    <cellStyle name="Normal 2 2 3 2 4 5_SSL" xfId="14525" xr:uid="{00000000-0005-0000-0000-0000DA100000}"/>
    <cellStyle name="Normal 2 2 3 2 4 6" xfId="2930" xr:uid="{00000000-0005-0000-0000-0000DB100000}"/>
    <cellStyle name="Normal 2 2 3 2 4 6 2" xfId="9575" xr:uid="{00000000-0005-0000-0000-0000DC100000}"/>
    <cellStyle name="Normal 2 2 3 2 4 6_SSL" xfId="16573" xr:uid="{00000000-0005-0000-0000-0000DD100000}"/>
    <cellStyle name="Normal 2 2 3 2 4 7" xfId="3751" xr:uid="{00000000-0005-0000-0000-0000DE100000}"/>
    <cellStyle name="Normal 2 2 3 2 4 7 2" xfId="10391" xr:uid="{00000000-0005-0000-0000-0000DF100000}"/>
    <cellStyle name="Normal 2 2 3 2 4 7_SSL" xfId="16150" xr:uid="{00000000-0005-0000-0000-0000E0100000}"/>
    <cellStyle name="Normal 2 2 3 2 4 8" xfId="4562" xr:uid="{00000000-0005-0000-0000-0000E1100000}"/>
    <cellStyle name="Normal 2 2 3 2 4 8 2" xfId="11201" xr:uid="{00000000-0005-0000-0000-0000E2100000}"/>
    <cellStyle name="Normal 2 2 3 2 4 8_SSL" xfId="17483" xr:uid="{00000000-0005-0000-0000-0000E3100000}"/>
    <cellStyle name="Normal 2 2 3 2 4 9" xfId="5372" xr:uid="{00000000-0005-0000-0000-0000E4100000}"/>
    <cellStyle name="Normal 2 2 3 2 4 9 2" xfId="12010" xr:uid="{00000000-0005-0000-0000-0000E5100000}"/>
    <cellStyle name="Normal 2 2 3 2 4 9_SSL" xfId="16485" xr:uid="{00000000-0005-0000-0000-0000E6100000}"/>
    <cellStyle name="Normal 2 2 3 2 4_SSL" xfId="12711" xr:uid="{00000000-0005-0000-0000-0000E7100000}"/>
    <cellStyle name="Normal 2 2 3 2 5" xfId="172" xr:uid="{00000000-0005-0000-0000-0000E8100000}"/>
    <cellStyle name="Normal 2 2 3 2 5 10" xfId="7049" xr:uid="{00000000-0005-0000-0000-0000E9100000}"/>
    <cellStyle name="Normal 2 2 3 2 5 11" xfId="6293" xr:uid="{00000000-0005-0000-0000-0000EA100000}"/>
    <cellStyle name="Normal 2 2 3 2 5 2" xfId="310" xr:uid="{00000000-0005-0000-0000-0000EB100000}"/>
    <cellStyle name="Normal 2 2 3 2 5 2 10" xfId="6294" xr:uid="{00000000-0005-0000-0000-0000EC100000}"/>
    <cellStyle name="Normal 2 2 3 2 5 2 2" xfId="698" xr:uid="{00000000-0005-0000-0000-0000ED100000}"/>
    <cellStyle name="Normal 2 2 3 2 5 2 2 2" xfId="1297" xr:uid="{00000000-0005-0000-0000-0000EE100000}"/>
    <cellStyle name="Normal 2 2 3 2 5 2 2 2 2" xfId="7952" xr:uid="{00000000-0005-0000-0000-0000EF100000}"/>
    <cellStyle name="Normal 2 2 3 2 5 2 2 2_SSL" xfId="15856" xr:uid="{00000000-0005-0000-0000-0000F0100000}"/>
    <cellStyle name="Normal 2 2 3 2 5 2 2 3" xfId="2117" xr:uid="{00000000-0005-0000-0000-0000F1100000}"/>
    <cellStyle name="Normal 2 2 3 2 5 2 2 3 2" xfId="8765" xr:uid="{00000000-0005-0000-0000-0000F2100000}"/>
    <cellStyle name="Normal 2 2 3 2 5 2 2 3_SSL" xfId="13341" xr:uid="{00000000-0005-0000-0000-0000F3100000}"/>
    <cellStyle name="Normal 2 2 3 2 5 2 2 4" xfId="2936" xr:uid="{00000000-0005-0000-0000-0000F4100000}"/>
    <cellStyle name="Normal 2 2 3 2 5 2 2 4 2" xfId="9581" xr:uid="{00000000-0005-0000-0000-0000F5100000}"/>
    <cellStyle name="Normal 2 2 3 2 5 2 2 4_SSL" xfId="15595" xr:uid="{00000000-0005-0000-0000-0000F6100000}"/>
    <cellStyle name="Normal 2 2 3 2 5 2 2 5" xfId="3757" xr:uid="{00000000-0005-0000-0000-0000F7100000}"/>
    <cellStyle name="Normal 2 2 3 2 5 2 2 5 2" xfId="10397" xr:uid="{00000000-0005-0000-0000-0000F8100000}"/>
    <cellStyle name="Normal 2 2 3 2 5 2 2 5_SSL" xfId="14535" xr:uid="{00000000-0005-0000-0000-0000F9100000}"/>
    <cellStyle name="Normal 2 2 3 2 5 2 2 6" xfId="4568" xr:uid="{00000000-0005-0000-0000-0000FA100000}"/>
    <cellStyle name="Normal 2 2 3 2 5 2 2 6 2" xfId="11207" xr:uid="{00000000-0005-0000-0000-0000FB100000}"/>
    <cellStyle name="Normal 2 2 3 2 5 2 2 6_SSL" xfId="17329" xr:uid="{00000000-0005-0000-0000-0000FC100000}"/>
    <cellStyle name="Normal 2 2 3 2 5 2 2 7" xfId="5378" xr:uid="{00000000-0005-0000-0000-0000FD100000}"/>
    <cellStyle name="Normal 2 2 3 2 5 2 2 7 2" xfId="12016" xr:uid="{00000000-0005-0000-0000-0000FE100000}"/>
    <cellStyle name="Normal 2 2 3 2 5 2 2 7_SSL" xfId="13586" xr:uid="{00000000-0005-0000-0000-0000FF100000}"/>
    <cellStyle name="Normal 2 2 3 2 5 2 2 8" xfId="7554" xr:uid="{00000000-0005-0000-0000-000000110000}"/>
    <cellStyle name="Normal 2 2 3 2 5 2 2 9" xfId="6295" xr:uid="{00000000-0005-0000-0000-000001110000}"/>
    <cellStyle name="Normal 2 2 3 2 5 2 2_SSL" xfId="17639" xr:uid="{00000000-0005-0000-0000-000002110000}"/>
    <cellStyle name="Normal 2 2 3 2 5 2 3" xfId="1296" xr:uid="{00000000-0005-0000-0000-000003110000}"/>
    <cellStyle name="Normal 2 2 3 2 5 2 3 2" xfId="7951" xr:uid="{00000000-0005-0000-0000-000004110000}"/>
    <cellStyle name="Normal 2 2 3 2 5 2 3_SSL" xfId="14499" xr:uid="{00000000-0005-0000-0000-000005110000}"/>
    <cellStyle name="Normal 2 2 3 2 5 2 4" xfId="2116" xr:uid="{00000000-0005-0000-0000-000006110000}"/>
    <cellStyle name="Normal 2 2 3 2 5 2 4 2" xfId="8764" xr:uid="{00000000-0005-0000-0000-000007110000}"/>
    <cellStyle name="Normal 2 2 3 2 5 2 4_SSL" xfId="17778" xr:uid="{00000000-0005-0000-0000-000008110000}"/>
    <cellStyle name="Normal 2 2 3 2 5 2 5" xfId="2935" xr:uid="{00000000-0005-0000-0000-000009110000}"/>
    <cellStyle name="Normal 2 2 3 2 5 2 5 2" xfId="9580" xr:uid="{00000000-0005-0000-0000-00000A110000}"/>
    <cellStyle name="Normal 2 2 3 2 5 2 5_SSL" xfId="13234" xr:uid="{00000000-0005-0000-0000-00000B110000}"/>
    <cellStyle name="Normal 2 2 3 2 5 2 6" xfId="3756" xr:uid="{00000000-0005-0000-0000-00000C110000}"/>
    <cellStyle name="Normal 2 2 3 2 5 2 6 2" xfId="10396" xr:uid="{00000000-0005-0000-0000-00000D110000}"/>
    <cellStyle name="Normal 2 2 3 2 5 2 6_SSL" xfId="16509" xr:uid="{00000000-0005-0000-0000-00000E110000}"/>
    <cellStyle name="Normal 2 2 3 2 5 2 7" xfId="4567" xr:uid="{00000000-0005-0000-0000-00000F110000}"/>
    <cellStyle name="Normal 2 2 3 2 5 2 7 2" xfId="11206" xr:uid="{00000000-0005-0000-0000-000010110000}"/>
    <cellStyle name="Normal 2 2 3 2 5 2 7_SSL" xfId="16119" xr:uid="{00000000-0005-0000-0000-000011110000}"/>
    <cellStyle name="Normal 2 2 3 2 5 2 8" xfId="5377" xr:uid="{00000000-0005-0000-0000-000012110000}"/>
    <cellStyle name="Normal 2 2 3 2 5 2 8 2" xfId="12015" xr:uid="{00000000-0005-0000-0000-000013110000}"/>
    <cellStyle name="Normal 2 2 3 2 5 2 8_SSL" xfId="17384" xr:uid="{00000000-0005-0000-0000-000014110000}"/>
    <cellStyle name="Normal 2 2 3 2 5 2 9" xfId="7170" xr:uid="{00000000-0005-0000-0000-000015110000}"/>
    <cellStyle name="Normal 2 2 3 2 5 2_SSL" xfId="14645" xr:uid="{00000000-0005-0000-0000-000016110000}"/>
    <cellStyle name="Normal 2 2 3 2 5 3" xfId="577" xr:uid="{00000000-0005-0000-0000-000017110000}"/>
    <cellStyle name="Normal 2 2 3 2 5 3 2" xfId="1298" xr:uid="{00000000-0005-0000-0000-000018110000}"/>
    <cellStyle name="Normal 2 2 3 2 5 3 2 2" xfId="7953" xr:uid="{00000000-0005-0000-0000-000019110000}"/>
    <cellStyle name="Normal 2 2 3 2 5 3 2_SSL" xfId="14028" xr:uid="{00000000-0005-0000-0000-00001A110000}"/>
    <cellStyle name="Normal 2 2 3 2 5 3 3" xfId="2118" xr:uid="{00000000-0005-0000-0000-00001B110000}"/>
    <cellStyle name="Normal 2 2 3 2 5 3 3 2" xfId="8766" xr:uid="{00000000-0005-0000-0000-00001C110000}"/>
    <cellStyle name="Normal 2 2 3 2 5 3 3_SSL" xfId="16006" xr:uid="{00000000-0005-0000-0000-00001D110000}"/>
    <cellStyle name="Normal 2 2 3 2 5 3 4" xfId="2937" xr:uid="{00000000-0005-0000-0000-00001E110000}"/>
    <cellStyle name="Normal 2 2 3 2 5 3 4 2" xfId="9582" xr:uid="{00000000-0005-0000-0000-00001F110000}"/>
    <cellStyle name="Normal 2 2 3 2 5 3 4_SSL" xfId="14690" xr:uid="{00000000-0005-0000-0000-000020110000}"/>
    <cellStyle name="Normal 2 2 3 2 5 3 5" xfId="3758" xr:uid="{00000000-0005-0000-0000-000021110000}"/>
    <cellStyle name="Normal 2 2 3 2 5 3 5 2" xfId="10398" xr:uid="{00000000-0005-0000-0000-000022110000}"/>
    <cellStyle name="Normal 2 2 3 2 5 3 5_SSL" xfId="17924" xr:uid="{00000000-0005-0000-0000-000023110000}"/>
    <cellStyle name="Normal 2 2 3 2 5 3 6" xfId="4569" xr:uid="{00000000-0005-0000-0000-000024110000}"/>
    <cellStyle name="Normal 2 2 3 2 5 3 6 2" xfId="11208" xr:uid="{00000000-0005-0000-0000-000025110000}"/>
    <cellStyle name="Normal 2 2 3 2 5 3 6_SSL" xfId="16410" xr:uid="{00000000-0005-0000-0000-000026110000}"/>
    <cellStyle name="Normal 2 2 3 2 5 3 7" xfId="5379" xr:uid="{00000000-0005-0000-0000-000027110000}"/>
    <cellStyle name="Normal 2 2 3 2 5 3 7 2" xfId="12017" xr:uid="{00000000-0005-0000-0000-000028110000}"/>
    <cellStyle name="Normal 2 2 3 2 5 3 7_SSL" xfId="13170" xr:uid="{00000000-0005-0000-0000-000029110000}"/>
    <cellStyle name="Normal 2 2 3 2 5 3 8" xfId="7433" xr:uid="{00000000-0005-0000-0000-00002A110000}"/>
    <cellStyle name="Normal 2 2 3 2 5 3 9" xfId="6296" xr:uid="{00000000-0005-0000-0000-00002B110000}"/>
    <cellStyle name="Normal 2 2 3 2 5 3_SSL" xfId="15909" xr:uid="{00000000-0005-0000-0000-00002C110000}"/>
    <cellStyle name="Normal 2 2 3 2 5 4" xfId="1295" xr:uid="{00000000-0005-0000-0000-00002D110000}"/>
    <cellStyle name="Normal 2 2 3 2 5 4 2" xfId="7950" xr:uid="{00000000-0005-0000-0000-00002E110000}"/>
    <cellStyle name="Normal 2 2 3 2 5 4_SSL" xfId="14704" xr:uid="{00000000-0005-0000-0000-00002F110000}"/>
    <cellStyle name="Normal 2 2 3 2 5 5" xfId="2115" xr:uid="{00000000-0005-0000-0000-000030110000}"/>
    <cellStyle name="Normal 2 2 3 2 5 5 2" xfId="8763" xr:uid="{00000000-0005-0000-0000-000031110000}"/>
    <cellStyle name="Normal 2 2 3 2 5 5_SSL" xfId="17627" xr:uid="{00000000-0005-0000-0000-000032110000}"/>
    <cellStyle name="Normal 2 2 3 2 5 6" xfId="2934" xr:uid="{00000000-0005-0000-0000-000033110000}"/>
    <cellStyle name="Normal 2 2 3 2 5 6 2" xfId="9579" xr:uid="{00000000-0005-0000-0000-000034110000}"/>
    <cellStyle name="Normal 2 2 3 2 5 6_SSL" xfId="6023" xr:uid="{00000000-0005-0000-0000-000035110000}"/>
    <cellStyle name="Normal 2 2 3 2 5 7" xfId="3755" xr:uid="{00000000-0005-0000-0000-000036110000}"/>
    <cellStyle name="Normal 2 2 3 2 5 7 2" xfId="10395" xr:uid="{00000000-0005-0000-0000-000037110000}"/>
    <cellStyle name="Normal 2 2 3 2 5 7_SSL" xfId="16992" xr:uid="{00000000-0005-0000-0000-000038110000}"/>
    <cellStyle name="Normal 2 2 3 2 5 8" xfId="4566" xr:uid="{00000000-0005-0000-0000-000039110000}"/>
    <cellStyle name="Normal 2 2 3 2 5 8 2" xfId="11205" xr:uid="{00000000-0005-0000-0000-00003A110000}"/>
    <cellStyle name="Normal 2 2 3 2 5 8_SSL" xfId="15292" xr:uid="{00000000-0005-0000-0000-00003B110000}"/>
    <cellStyle name="Normal 2 2 3 2 5 9" xfId="5376" xr:uid="{00000000-0005-0000-0000-00003C110000}"/>
    <cellStyle name="Normal 2 2 3 2 5 9 2" xfId="12014" xr:uid="{00000000-0005-0000-0000-00003D110000}"/>
    <cellStyle name="Normal 2 2 3 2 5 9_SSL" xfId="17343" xr:uid="{00000000-0005-0000-0000-00003E110000}"/>
    <cellStyle name="Normal 2 2 3 2 5_SSL" xfId="13345" xr:uid="{00000000-0005-0000-0000-00003F110000}"/>
    <cellStyle name="Normal 2 2 3 2 6" xfId="243" xr:uid="{00000000-0005-0000-0000-000040110000}"/>
    <cellStyle name="Normal 2 2 3 2 6 10" xfId="7120" xr:uid="{00000000-0005-0000-0000-000041110000}"/>
    <cellStyle name="Normal 2 2 3 2 6 11" xfId="6297" xr:uid="{00000000-0005-0000-0000-000042110000}"/>
    <cellStyle name="Normal 2 2 3 2 6 2" xfId="311" xr:uid="{00000000-0005-0000-0000-000043110000}"/>
    <cellStyle name="Normal 2 2 3 2 6 2 10" xfId="6298" xr:uid="{00000000-0005-0000-0000-000044110000}"/>
    <cellStyle name="Normal 2 2 3 2 6 2 2" xfId="699" xr:uid="{00000000-0005-0000-0000-000045110000}"/>
    <cellStyle name="Normal 2 2 3 2 6 2 2 2" xfId="1301" xr:uid="{00000000-0005-0000-0000-000046110000}"/>
    <cellStyle name="Normal 2 2 3 2 6 2 2 2 2" xfId="7956" xr:uid="{00000000-0005-0000-0000-000047110000}"/>
    <cellStyle name="Normal 2 2 3 2 6 2 2 2_SSL" xfId="15027" xr:uid="{00000000-0005-0000-0000-000048110000}"/>
    <cellStyle name="Normal 2 2 3 2 6 2 2 3" xfId="2121" xr:uid="{00000000-0005-0000-0000-000049110000}"/>
    <cellStyle name="Normal 2 2 3 2 6 2 2 3 2" xfId="8769" xr:uid="{00000000-0005-0000-0000-00004A110000}"/>
    <cellStyle name="Normal 2 2 3 2 6 2 2 3_SSL" xfId="17199" xr:uid="{00000000-0005-0000-0000-00004B110000}"/>
    <cellStyle name="Normal 2 2 3 2 6 2 2 4" xfId="2940" xr:uid="{00000000-0005-0000-0000-00004C110000}"/>
    <cellStyle name="Normal 2 2 3 2 6 2 2 4 2" xfId="9585" xr:uid="{00000000-0005-0000-0000-00004D110000}"/>
    <cellStyle name="Normal 2 2 3 2 6 2 2 4_SSL" xfId="14346" xr:uid="{00000000-0005-0000-0000-00004E110000}"/>
    <cellStyle name="Normal 2 2 3 2 6 2 2 5" xfId="3761" xr:uid="{00000000-0005-0000-0000-00004F110000}"/>
    <cellStyle name="Normal 2 2 3 2 6 2 2 5 2" xfId="10401" xr:uid="{00000000-0005-0000-0000-000050110000}"/>
    <cellStyle name="Normal 2 2 3 2 6 2 2 5_SSL" xfId="15782" xr:uid="{00000000-0005-0000-0000-000051110000}"/>
    <cellStyle name="Normal 2 2 3 2 6 2 2 6" xfId="4572" xr:uid="{00000000-0005-0000-0000-000052110000}"/>
    <cellStyle name="Normal 2 2 3 2 6 2 2 6 2" xfId="11211" xr:uid="{00000000-0005-0000-0000-000053110000}"/>
    <cellStyle name="Normal 2 2 3 2 6 2 2 6_SSL" xfId="14442" xr:uid="{00000000-0005-0000-0000-000054110000}"/>
    <cellStyle name="Normal 2 2 3 2 6 2 2 7" xfId="5382" xr:uid="{00000000-0005-0000-0000-000055110000}"/>
    <cellStyle name="Normal 2 2 3 2 6 2 2 7 2" xfId="12020" xr:uid="{00000000-0005-0000-0000-000056110000}"/>
    <cellStyle name="Normal 2 2 3 2 6 2 2 7_SSL" xfId="14269" xr:uid="{00000000-0005-0000-0000-000057110000}"/>
    <cellStyle name="Normal 2 2 3 2 6 2 2 8" xfId="7555" xr:uid="{00000000-0005-0000-0000-000058110000}"/>
    <cellStyle name="Normal 2 2 3 2 6 2 2 9" xfId="6299" xr:uid="{00000000-0005-0000-0000-000059110000}"/>
    <cellStyle name="Normal 2 2 3 2 6 2 2_SSL" xfId="15740" xr:uid="{00000000-0005-0000-0000-00005A110000}"/>
    <cellStyle name="Normal 2 2 3 2 6 2 3" xfId="1300" xr:uid="{00000000-0005-0000-0000-00005B110000}"/>
    <cellStyle name="Normal 2 2 3 2 6 2 3 2" xfId="7955" xr:uid="{00000000-0005-0000-0000-00005C110000}"/>
    <cellStyle name="Normal 2 2 3 2 6 2 3_SSL" xfId="15840" xr:uid="{00000000-0005-0000-0000-00005D110000}"/>
    <cellStyle name="Normal 2 2 3 2 6 2 4" xfId="2120" xr:uid="{00000000-0005-0000-0000-00005E110000}"/>
    <cellStyle name="Normal 2 2 3 2 6 2 4 2" xfId="8768" xr:uid="{00000000-0005-0000-0000-00005F110000}"/>
    <cellStyle name="Normal 2 2 3 2 6 2 4_SSL" xfId="14549" xr:uid="{00000000-0005-0000-0000-000060110000}"/>
    <cellStyle name="Normal 2 2 3 2 6 2 5" xfId="2939" xr:uid="{00000000-0005-0000-0000-000061110000}"/>
    <cellStyle name="Normal 2 2 3 2 6 2 5 2" xfId="9584" xr:uid="{00000000-0005-0000-0000-000062110000}"/>
    <cellStyle name="Normal 2 2 3 2 6 2 5_SSL" xfId="14276" xr:uid="{00000000-0005-0000-0000-000063110000}"/>
    <cellStyle name="Normal 2 2 3 2 6 2 6" xfId="3760" xr:uid="{00000000-0005-0000-0000-000064110000}"/>
    <cellStyle name="Normal 2 2 3 2 6 2 6 2" xfId="10400" xr:uid="{00000000-0005-0000-0000-000065110000}"/>
    <cellStyle name="Normal 2 2 3 2 6 2 6_SSL" xfId="16640" xr:uid="{00000000-0005-0000-0000-000066110000}"/>
    <cellStyle name="Normal 2 2 3 2 6 2 7" xfId="4571" xr:uid="{00000000-0005-0000-0000-000067110000}"/>
    <cellStyle name="Normal 2 2 3 2 6 2 7 2" xfId="11210" xr:uid="{00000000-0005-0000-0000-000068110000}"/>
    <cellStyle name="Normal 2 2 3 2 6 2 7_SSL" xfId="17002" xr:uid="{00000000-0005-0000-0000-000069110000}"/>
    <cellStyle name="Normal 2 2 3 2 6 2 8" xfId="5381" xr:uid="{00000000-0005-0000-0000-00006A110000}"/>
    <cellStyle name="Normal 2 2 3 2 6 2 8 2" xfId="12019" xr:uid="{00000000-0005-0000-0000-00006B110000}"/>
    <cellStyle name="Normal 2 2 3 2 6 2 8_SSL" xfId="16265" xr:uid="{00000000-0005-0000-0000-00006C110000}"/>
    <cellStyle name="Normal 2 2 3 2 6 2 9" xfId="7171" xr:uid="{00000000-0005-0000-0000-00006D110000}"/>
    <cellStyle name="Normal 2 2 3 2 6 2_SSL" xfId="14898" xr:uid="{00000000-0005-0000-0000-00006E110000}"/>
    <cellStyle name="Normal 2 2 3 2 6 3" xfId="648" xr:uid="{00000000-0005-0000-0000-00006F110000}"/>
    <cellStyle name="Normal 2 2 3 2 6 3 2" xfId="1302" xr:uid="{00000000-0005-0000-0000-000070110000}"/>
    <cellStyle name="Normal 2 2 3 2 6 3 2 2" xfId="7957" xr:uid="{00000000-0005-0000-0000-000071110000}"/>
    <cellStyle name="Normal 2 2 3 2 6 3 2_SSL" xfId="12763" xr:uid="{00000000-0005-0000-0000-000072110000}"/>
    <cellStyle name="Normal 2 2 3 2 6 3 3" xfId="2122" xr:uid="{00000000-0005-0000-0000-000073110000}"/>
    <cellStyle name="Normal 2 2 3 2 6 3 3 2" xfId="8770" xr:uid="{00000000-0005-0000-0000-000074110000}"/>
    <cellStyle name="Normal 2 2 3 2 6 3 3_SSL" xfId="17405" xr:uid="{00000000-0005-0000-0000-000075110000}"/>
    <cellStyle name="Normal 2 2 3 2 6 3 4" xfId="2941" xr:uid="{00000000-0005-0000-0000-000076110000}"/>
    <cellStyle name="Normal 2 2 3 2 6 3 4 2" xfId="9586" xr:uid="{00000000-0005-0000-0000-000077110000}"/>
    <cellStyle name="Normal 2 2 3 2 6 3 4_SSL" xfId="17191" xr:uid="{00000000-0005-0000-0000-000078110000}"/>
    <cellStyle name="Normal 2 2 3 2 6 3 5" xfId="3762" xr:uid="{00000000-0005-0000-0000-000079110000}"/>
    <cellStyle name="Normal 2 2 3 2 6 3 5 2" xfId="10402" xr:uid="{00000000-0005-0000-0000-00007A110000}"/>
    <cellStyle name="Normal 2 2 3 2 6 3 5_SSL" xfId="16018" xr:uid="{00000000-0005-0000-0000-00007B110000}"/>
    <cellStyle name="Normal 2 2 3 2 6 3 6" xfId="4573" xr:uid="{00000000-0005-0000-0000-00007C110000}"/>
    <cellStyle name="Normal 2 2 3 2 6 3 6 2" xfId="11212" xr:uid="{00000000-0005-0000-0000-00007D110000}"/>
    <cellStyle name="Normal 2 2 3 2 6 3 6_SSL" xfId="14242" xr:uid="{00000000-0005-0000-0000-00007E110000}"/>
    <cellStyle name="Normal 2 2 3 2 6 3 7" xfId="5383" xr:uid="{00000000-0005-0000-0000-00007F110000}"/>
    <cellStyle name="Normal 2 2 3 2 6 3 7 2" xfId="12021" xr:uid="{00000000-0005-0000-0000-000080110000}"/>
    <cellStyle name="Normal 2 2 3 2 6 3 7_SSL" xfId="13754" xr:uid="{00000000-0005-0000-0000-000081110000}"/>
    <cellStyle name="Normal 2 2 3 2 6 3 8" xfId="7504" xr:uid="{00000000-0005-0000-0000-000082110000}"/>
    <cellStyle name="Normal 2 2 3 2 6 3 9" xfId="6300" xr:uid="{00000000-0005-0000-0000-000083110000}"/>
    <cellStyle name="Normal 2 2 3 2 6 3_SSL" xfId="16436" xr:uid="{00000000-0005-0000-0000-000084110000}"/>
    <cellStyle name="Normal 2 2 3 2 6 4" xfId="1299" xr:uid="{00000000-0005-0000-0000-000085110000}"/>
    <cellStyle name="Normal 2 2 3 2 6 4 2" xfId="7954" xr:uid="{00000000-0005-0000-0000-000086110000}"/>
    <cellStyle name="Normal 2 2 3 2 6 4_SSL" xfId="13038" xr:uid="{00000000-0005-0000-0000-000087110000}"/>
    <cellStyle name="Normal 2 2 3 2 6 5" xfId="2119" xr:uid="{00000000-0005-0000-0000-000088110000}"/>
    <cellStyle name="Normal 2 2 3 2 6 5 2" xfId="8767" xr:uid="{00000000-0005-0000-0000-000089110000}"/>
    <cellStyle name="Normal 2 2 3 2 6 5_SSL" xfId="16836" xr:uid="{00000000-0005-0000-0000-00008A110000}"/>
    <cellStyle name="Normal 2 2 3 2 6 6" xfId="2938" xr:uid="{00000000-0005-0000-0000-00008B110000}"/>
    <cellStyle name="Normal 2 2 3 2 6 6 2" xfId="9583" xr:uid="{00000000-0005-0000-0000-00008C110000}"/>
    <cellStyle name="Normal 2 2 3 2 6 6_SSL" xfId="13062" xr:uid="{00000000-0005-0000-0000-00008D110000}"/>
    <cellStyle name="Normal 2 2 3 2 6 7" xfId="3759" xr:uid="{00000000-0005-0000-0000-00008E110000}"/>
    <cellStyle name="Normal 2 2 3 2 6 7 2" xfId="10399" xr:uid="{00000000-0005-0000-0000-00008F110000}"/>
    <cellStyle name="Normal 2 2 3 2 6 7_SSL" xfId="15693" xr:uid="{00000000-0005-0000-0000-000090110000}"/>
    <cellStyle name="Normal 2 2 3 2 6 8" xfId="4570" xr:uid="{00000000-0005-0000-0000-000091110000}"/>
    <cellStyle name="Normal 2 2 3 2 6 8 2" xfId="11209" xr:uid="{00000000-0005-0000-0000-000092110000}"/>
    <cellStyle name="Normal 2 2 3 2 6 8_SSL" xfId="16956" xr:uid="{00000000-0005-0000-0000-000093110000}"/>
    <cellStyle name="Normal 2 2 3 2 6 9" xfId="5380" xr:uid="{00000000-0005-0000-0000-000094110000}"/>
    <cellStyle name="Normal 2 2 3 2 6 9 2" xfId="12018" xr:uid="{00000000-0005-0000-0000-000095110000}"/>
    <cellStyle name="Normal 2 2 3 2 6 9_SSL" xfId="17993" xr:uid="{00000000-0005-0000-0000-000096110000}"/>
    <cellStyle name="Normal 2 2 3 2 6_SSL" xfId="17386" xr:uid="{00000000-0005-0000-0000-000097110000}"/>
    <cellStyle name="Normal 2 2 3 2 7" xfId="304" xr:uid="{00000000-0005-0000-0000-000098110000}"/>
    <cellStyle name="Normal 2 2 3 2 7 10" xfId="6301" xr:uid="{00000000-0005-0000-0000-000099110000}"/>
    <cellStyle name="Normal 2 2 3 2 7 2" xfId="692" xr:uid="{00000000-0005-0000-0000-00009A110000}"/>
    <cellStyle name="Normal 2 2 3 2 7 2 2" xfId="1304" xr:uid="{00000000-0005-0000-0000-00009B110000}"/>
    <cellStyle name="Normal 2 2 3 2 7 2 2 2" xfId="7959" xr:uid="{00000000-0005-0000-0000-00009C110000}"/>
    <cellStyle name="Normal 2 2 3 2 7 2 2_SSL" xfId="13061" xr:uid="{00000000-0005-0000-0000-00009D110000}"/>
    <cellStyle name="Normal 2 2 3 2 7 2 3" xfId="2124" xr:uid="{00000000-0005-0000-0000-00009E110000}"/>
    <cellStyle name="Normal 2 2 3 2 7 2 3 2" xfId="8772" xr:uid="{00000000-0005-0000-0000-00009F110000}"/>
    <cellStyle name="Normal 2 2 3 2 7 2 3_SSL" xfId="17035" xr:uid="{00000000-0005-0000-0000-0000A0110000}"/>
    <cellStyle name="Normal 2 2 3 2 7 2 4" xfId="2943" xr:uid="{00000000-0005-0000-0000-0000A1110000}"/>
    <cellStyle name="Normal 2 2 3 2 7 2 4 2" xfId="9588" xr:uid="{00000000-0005-0000-0000-0000A2110000}"/>
    <cellStyle name="Normal 2 2 3 2 7 2 4_SSL" xfId="15040" xr:uid="{00000000-0005-0000-0000-0000A3110000}"/>
    <cellStyle name="Normal 2 2 3 2 7 2 5" xfId="3764" xr:uid="{00000000-0005-0000-0000-0000A4110000}"/>
    <cellStyle name="Normal 2 2 3 2 7 2 5 2" xfId="10404" xr:uid="{00000000-0005-0000-0000-0000A5110000}"/>
    <cellStyle name="Normal 2 2 3 2 7 2 5_SSL" xfId="14131" xr:uid="{00000000-0005-0000-0000-0000A6110000}"/>
    <cellStyle name="Normal 2 2 3 2 7 2 6" xfId="4575" xr:uid="{00000000-0005-0000-0000-0000A7110000}"/>
    <cellStyle name="Normal 2 2 3 2 7 2 6 2" xfId="11214" xr:uid="{00000000-0005-0000-0000-0000A8110000}"/>
    <cellStyle name="Normal 2 2 3 2 7 2 6_SSL" xfId="16664" xr:uid="{00000000-0005-0000-0000-0000A9110000}"/>
    <cellStyle name="Normal 2 2 3 2 7 2 7" xfId="5385" xr:uid="{00000000-0005-0000-0000-0000AA110000}"/>
    <cellStyle name="Normal 2 2 3 2 7 2 7 2" xfId="12023" xr:uid="{00000000-0005-0000-0000-0000AB110000}"/>
    <cellStyle name="Normal 2 2 3 2 7 2 7_SSL" xfId="14101" xr:uid="{00000000-0005-0000-0000-0000AC110000}"/>
    <cellStyle name="Normal 2 2 3 2 7 2 8" xfId="7548" xr:uid="{00000000-0005-0000-0000-0000AD110000}"/>
    <cellStyle name="Normal 2 2 3 2 7 2 9" xfId="6302" xr:uid="{00000000-0005-0000-0000-0000AE110000}"/>
    <cellStyle name="Normal 2 2 3 2 7 2_SSL" xfId="14922" xr:uid="{00000000-0005-0000-0000-0000AF110000}"/>
    <cellStyle name="Normal 2 2 3 2 7 3" xfId="1303" xr:uid="{00000000-0005-0000-0000-0000B0110000}"/>
    <cellStyle name="Normal 2 2 3 2 7 3 2" xfId="7958" xr:uid="{00000000-0005-0000-0000-0000B1110000}"/>
    <cellStyle name="Normal 2 2 3 2 7 3_SSL" xfId="13168" xr:uid="{00000000-0005-0000-0000-0000B2110000}"/>
    <cellStyle name="Normal 2 2 3 2 7 4" xfId="2123" xr:uid="{00000000-0005-0000-0000-0000B3110000}"/>
    <cellStyle name="Normal 2 2 3 2 7 4 2" xfId="8771" xr:uid="{00000000-0005-0000-0000-0000B4110000}"/>
    <cellStyle name="Normal 2 2 3 2 7 4_SSL" xfId="17577" xr:uid="{00000000-0005-0000-0000-0000B5110000}"/>
    <cellStyle name="Normal 2 2 3 2 7 5" xfId="2942" xr:uid="{00000000-0005-0000-0000-0000B6110000}"/>
    <cellStyle name="Normal 2 2 3 2 7 5 2" xfId="9587" xr:uid="{00000000-0005-0000-0000-0000B7110000}"/>
    <cellStyle name="Normal 2 2 3 2 7 5_SSL" xfId="14142" xr:uid="{00000000-0005-0000-0000-0000B8110000}"/>
    <cellStyle name="Normal 2 2 3 2 7 6" xfId="3763" xr:uid="{00000000-0005-0000-0000-0000B9110000}"/>
    <cellStyle name="Normal 2 2 3 2 7 6 2" xfId="10403" xr:uid="{00000000-0005-0000-0000-0000BA110000}"/>
    <cellStyle name="Normal 2 2 3 2 7 6_SSL" xfId="15101" xr:uid="{00000000-0005-0000-0000-0000BB110000}"/>
    <cellStyle name="Normal 2 2 3 2 7 7" xfId="4574" xr:uid="{00000000-0005-0000-0000-0000BC110000}"/>
    <cellStyle name="Normal 2 2 3 2 7 7 2" xfId="11213" xr:uid="{00000000-0005-0000-0000-0000BD110000}"/>
    <cellStyle name="Normal 2 2 3 2 7 7_SSL" xfId="14080" xr:uid="{00000000-0005-0000-0000-0000BE110000}"/>
    <cellStyle name="Normal 2 2 3 2 7 8" xfId="5384" xr:uid="{00000000-0005-0000-0000-0000BF110000}"/>
    <cellStyle name="Normal 2 2 3 2 7 8 2" xfId="12022" xr:uid="{00000000-0005-0000-0000-0000C0110000}"/>
    <cellStyle name="Normal 2 2 3 2 7 8_SSL" xfId="15830" xr:uid="{00000000-0005-0000-0000-0000C1110000}"/>
    <cellStyle name="Normal 2 2 3 2 7 9" xfId="7164" xr:uid="{00000000-0005-0000-0000-0000C2110000}"/>
    <cellStyle name="Normal 2 2 3 2 7_SSL" xfId="12849" xr:uid="{00000000-0005-0000-0000-0000C3110000}"/>
    <cellStyle name="Normal 2 2 3 2 8" xfId="481" xr:uid="{00000000-0005-0000-0000-0000C4110000}"/>
    <cellStyle name="Normal 2 2 3 2 8 2" xfId="1305" xr:uid="{00000000-0005-0000-0000-0000C5110000}"/>
    <cellStyle name="Normal 2 2 3 2 8 2 2" xfId="7960" xr:uid="{00000000-0005-0000-0000-0000C6110000}"/>
    <cellStyle name="Normal 2 2 3 2 8 2_SSL" xfId="14157" xr:uid="{00000000-0005-0000-0000-0000C7110000}"/>
    <cellStyle name="Normal 2 2 3 2 8 3" xfId="2125" xr:uid="{00000000-0005-0000-0000-0000C8110000}"/>
    <cellStyle name="Normal 2 2 3 2 8 3 2" xfId="8773" xr:uid="{00000000-0005-0000-0000-0000C9110000}"/>
    <cellStyle name="Normal 2 2 3 2 8 3_SSL" xfId="13070" xr:uid="{00000000-0005-0000-0000-0000CA110000}"/>
    <cellStyle name="Normal 2 2 3 2 8 4" xfId="2944" xr:uid="{00000000-0005-0000-0000-0000CB110000}"/>
    <cellStyle name="Normal 2 2 3 2 8 4 2" xfId="9589" xr:uid="{00000000-0005-0000-0000-0000CC110000}"/>
    <cellStyle name="Normal 2 2 3 2 8 4_SSL" xfId="13854" xr:uid="{00000000-0005-0000-0000-0000CD110000}"/>
    <cellStyle name="Normal 2 2 3 2 8 5" xfId="3765" xr:uid="{00000000-0005-0000-0000-0000CE110000}"/>
    <cellStyle name="Normal 2 2 3 2 8 5 2" xfId="10405" xr:uid="{00000000-0005-0000-0000-0000CF110000}"/>
    <cellStyle name="Normal 2 2 3 2 8 5_SSL" xfId="13917" xr:uid="{00000000-0005-0000-0000-0000D0110000}"/>
    <cellStyle name="Normal 2 2 3 2 8 6" xfId="4576" xr:uid="{00000000-0005-0000-0000-0000D1110000}"/>
    <cellStyle name="Normal 2 2 3 2 8 6 2" xfId="11215" xr:uid="{00000000-0005-0000-0000-0000D2110000}"/>
    <cellStyle name="Normal 2 2 3 2 8 6_SSL" xfId="15237" xr:uid="{00000000-0005-0000-0000-0000D3110000}"/>
    <cellStyle name="Normal 2 2 3 2 8 7" xfId="5386" xr:uid="{00000000-0005-0000-0000-0000D4110000}"/>
    <cellStyle name="Normal 2 2 3 2 8 7 2" xfId="12024" xr:uid="{00000000-0005-0000-0000-0000D5110000}"/>
    <cellStyle name="Normal 2 2 3 2 8 7_SSL" xfId="13208" xr:uid="{00000000-0005-0000-0000-0000D6110000}"/>
    <cellStyle name="Normal 2 2 3 2 8 8" xfId="7337" xr:uid="{00000000-0005-0000-0000-0000D7110000}"/>
    <cellStyle name="Normal 2 2 3 2 8 9" xfId="6303" xr:uid="{00000000-0005-0000-0000-0000D8110000}"/>
    <cellStyle name="Normal 2 2 3 2 8_SSL" xfId="12677" xr:uid="{00000000-0005-0000-0000-0000D9110000}"/>
    <cellStyle name="Normal 2 2 3 2 9" xfId="1274" xr:uid="{00000000-0005-0000-0000-0000DA110000}"/>
    <cellStyle name="Normal 2 2 3 2 9 2" xfId="7929" xr:uid="{00000000-0005-0000-0000-0000DB110000}"/>
    <cellStyle name="Normal 2 2 3 2 9_SSL" xfId="13374" xr:uid="{00000000-0005-0000-0000-0000DC110000}"/>
    <cellStyle name="Normal 2 2 3 2_SSL" xfId="16806" xr:uid="{00000000-0005-0000-0000-0000DD110000}"/>
    <cellStyle name="Normal 2 2 3 3" xfId="83" xr:uid="{00000000-0005-0000-0000-0000DE110000}"/>
    <cellStyle name="Normal 2 2 3 3 10" xfId="5387" xr:uid="{00000000-0005-0000-0000-0000DF110000}"/>
    <cellStyle name="Normal 2 2 3 3 10 2" xfId="12025" xr:uid="{00000000-0005-0000-0000-0000E0110000}"/>
    <cellStyle name="Normal 2 2 3 3 10_SSL" xfId="13843" xr:uid="{00000000-0005-0000-0000-0000E1110000}"/>
    <cellStyle name="Normal 2 2 3 3 11" xfId="6964" xr:uid="{00000000-0005-0000-0000-0000E2110000}"/>
    <cellStyle name="Normal 2 2 3 3 12" xfId="6304" xr:uid="{00000000-0005-0000-0000-0000E3110000}"/>
    <cellStyle name="Normal 2 2 3 3 2" xfId="183" xr:uid="{00000000-0005-0000-0000-0000E4110000}"/>
    <cellStyle name="Normal 2 2 3 3 2 10" xfId="7060" xr:uid="{00000000-0005-0000-0000-0000E5110000}"/>
    <cellStyle name="Normal 2 2 3 3 2 11" xfId="6305" xr:uid="{00000000-0005-0000-0000-0000E6110000}"/>
    <cellStyle name="Normal 2 2 3 3 2 2" xfId="313" xr:uid="{00000000-0005-0000-0000-0000E7110000}"/>
    <cellStyle name="Normal 2 2 3 3 2 2 10" xfId="6306" xr:uid="{00000000-0005-0000-0000-0000E8110000}"/>
    <cellStyle name="Normal 2 2 3 3 2 2 2" xfId="701" xr:uid="{00000000-0005-0000-0000-0000E9110000}"/>
    <cellStyle name="Normal 2 2 3 3 2 2 2 2" xfId="1309" xr:uid="{00000000-0005-0000-0000-0000EA110000}"/>
    <cellStyle name="Normal 2 2 3 3 2 2 2 2 2" xfId="7964" xr:uid="{00000000-0005-0000-0000-0000EB110000}"/>
    <cellStyle name="Normal 2 2 3 3 2 2 2 2_SSL" xfId="16580" xr:uid="{00000000-0005-0000-0000-0000EC110000}"/>
    <cellStyle name="Normal 2 2 3 3 2 2 2 3" xfId="2129" xr:uid="{00000000-0005-0000-0000-0000ED110000}"/>
    <cellStyle name="Normal 2 2 3 3 2 2 2 3 2" xfId="8777" xr:uid="{00000000-0005-0000-0000-0000EE110000}"/>
    <cellStyle name="Normal 2 2 3 3 2 2 2 3_SSL" xfId="16142" xr:uid="{00000000-0005-0000-0000-0000EF110000}"/>
    <cellStyle name="Normal 2 2 3 3 2 2 2 4" xfId="2948" xr:uid="{00000000-0005-0000-0000-0000F0110000}"/>
    <cellStyle name="Normal 2 2 3 3 2 2 2 4 2" xfId="9593" xr:uid="{00000000-0005-0000-0000-0000F1110000}"/>
    <cellStyle name="Normal 2 2 3 3 2 2 2 4_SSL" xfId="16717" xr:uid="{00000000-0005-0000-0000-0000F2110000}"/>
    <cellStyle name="Normal 2 2 3 3 2 2 2 5" xfId="3769" xr:uid="{00000000-0005-0000-0000-0000F3110000}"/>
    <cellStyle name="Normal 2 2 3 3 2 2 2 5 2" xfId="10409" xr:uid="{00000000-0005-0000-0000-0000F4110000}"/>
    <cellStyle name="Normal 2 2 3 3 2 2 2 5_SSL" xfId="15495" xr:uid="{00000000-0005-0000-0000-0000F5110000}"/>
    <cellStyle name="Normal 2 2 3 3 2 2 2 6" xfId="4580" xr:uid="{00000000-0005-0000-0000-0000F6110000}"/>
    <cellStyle name="Normal 2 2 3 3 2 2 2 6 2" xfId="11219" xr:uid="{00000000-0005-0000-0000-0000F7110000}"/>
    <cellStyle name="Normal 2 2 3 3 2 2 2 6_SSL" xfId="16912" xr:uid="{00000000-0005-0000-0000-0000F8110000}"/>
    <cellStyle name="Normal 2 2 3 3 2 2 2 7" xfId="5390" xr:uid="{00000000-0005-0000-0000-0000F9110000}"/>
    <cellStyle name="Normal 2 2 3 3 2 2 2 7 2" xfId="12028" xr:uid="{00000000-0005-0000-0000-0000FA110000}"/>
    <cellStyle name="Normal 2 2 3 3 2 2 2 7_SSL" xfId="6712" xr:uid="{00000000-0005-0000-0000-0000FB110000}"/>
    <cellStyle name="Normal 2 2 3 3 2 2 2 8" xfId="7557" xr:uid="{00000000-0005-0000-0000-0000FC110000}"/>
    <cellStyle name="Normal 2 2 3 3 2 2 2 9" xfId="6307" xr:uid="{00000000-0005-0000-0000-0000FD110000}"/>
    <cellStyle name="Normal 2 2 3 3 2 2 2_SSL" xfId="15698" xr:uid="{00000000-0005-0000-0000-0000FE110000}"/>
    <cellStyle name="Normal 2 2 3 3 2 2 3" xfId="1308" xr:uid="{00000000-0005-0000-0000-0000FF110000}"/>
    <cellStyle name="Normal 2 2 3 3 2 2 3 2" xfId="7963" xr:uid="{00000000-0005-0000-0000-000000120000}"/>
    <cellStyle name="Normal 2 2 3 3 2 2 3_SSL" xfId="13009" xr:uid="{00000000-0005-0000-0000-000001120000}"/>
    <cellStyle name="Normal 2 2 3 3 2 2 4" xfId="2128" xr:uid="{00000000-0005-0000-0000-000002120000}"/>
    <cellStyle name="Normal 2 2 3 3 2 2 4 2" xfId="8776" xr:uid="{00000000-0005-0000-0000-000003120000}"/>
    <cellStyle name="Normal 2 2 3 3 2 2 4_SSL" xfId="16489" xr:uid="{00000000-0005-0000-0000-000004120000}"/>
    <cellStyle name="Normal 2 2 3 3 2 2 5" xfId="2947" xr:uid="{00000000-0005-0000-0000-000005120000}"/>
    <cellStyle name="Normal 2 2 3 3 2 2 5 2" xfId="9592" xr:uid="{00000000-0005-0000-0000-000006120000}"/>
    <cellStyle name="Normal 2 2 3 3 2 2 5_SSL" xfId="15107" xr:uid="{00000000-0005-0000-0000-000007120000}"/>
    <cellStyle name="Normal 2 2 3 3 2 2 6" xfId="3768" xr:uid="{00000000-0005-0000-0000-000008120000}"/>
    <cellStyle name="Normal 2 2 3 3 2 2 6 2" xfId="10408" xr:uid="{00000000-0005-0000-0000-000009120000}"/>
    <cellStyle name="Normal 2 2 3 3 2 2 6_SSL" xfId="13024" xr:uid="{00000000-0005-0000-0000-00000A120000}"/>
    <cellStyle name="Normal 2 2 3 3 2 2 7" xfId="4579" xr:uid="{00000000-0005-0000-0000-00000B120000}"/>
    <cellStyle name="Normal 2 2 3 3 2 2 7 2" xfId="11218" xr:uid="{00000000-0005-0000-0000-00000C120000}"/>
    <cellStyle name="Normal 2 2 3 3 2 2 7_SSL" xfId="14855" xr:uid="{00000000-0005-0000-0000-00000D120000}"/>
    <cellStyle name="Normal 2 2 3 3 2 2 8" xfId="5389" xr:uid="{00000000-0005-0000-0000-00000E120000}"/>
    <cellStyle name="Normal 2 2 3 3 2 2 8 2" xfId="12027" xr:uid="{00000000-0005-0000-0000-00000F120000}"/>
    <cellStyle name="Normal 2 2 3 3 2 2 8_SSL" xfId="16896" xr:uid="{00000000-0005-0000-0000-000010120000}"/>
    <cellStyle name="Normal 2 2 3 3 2 2 9" xfId="7173" xr:uid="{00000000-0005-0000-0000-000011120000}"/>
    <cellStyle name="Normal 2 2 3 3 2 2_SSL" xfId="16115" xr:uid="{00000000-0005-0000-0000-000012120000}"/>
    <cellStyle name="Normal 2 2 3 3 2 3" xfId="588" xr:uid="{00000000-0005-0000-0000-000013120000}"/>
    <cellStyle name="Normal 2 2 3 3 2 3 2" xfId="1310" xr:uid="{00000000-0005-0000-0000-000014120000}"/>
    <cellStyle name="Normal 2 2 3 3 2 3 2 2" xfId="7965" xr:uid="{00000000-0005-0000-0000-000015120000}"/>
    <cellStyle name="Normal 2 2 3 3 2 3 2_SSL" xfId="17796" xr:uid="{00000000-0005-0000-0000-000016120000}"/>
    <cellStyle name="Normal 2 2 3 3 2 3 3" xfId="2130" xr:uid="{00000000-0005-0000-0000-000017120000}"/>
    <cellStyle name="Normal 2 2 3 3 2 3 3 2" xfId="8778" xr:uid="{00000000-0005-0000-0000-000018120000}"/>
    <cellStyle name="Normal 2 2 3 3 2 3 3_SSL" xfId="13973" xr:uid="{00000000-0005-0000-0000-000019120000}"/>
    <cellStyle name="Normal 2 2 3 3 2 3 4" xfId="2949" xr:uid="{00000000-0005-0000-0000-00001A120000}"/>
    <cellStyle name="Normal 2 2 3 3 2 3 4 2" xfId="9594" xr:uid="{00000000-0005-0000-0000-00001B120000}"/>
    <cellStyle name="Normal 2 2 3 3 2 3 4_SSL" xfId="17315" xr:uid="{00000000-0005-0000-0000-00001C120000}"/>
    <cellStyle name="Normal 2 2 3 3 2 3 5" xfId="3770" xr:uid="{00000000-0005-0000-0000-00001D120000}"/>
    <cellStyle name="Normal 2 2 3 3 2 3 5 2" xfId="10410" xr:uid="{00000000-0005-0000-0000-00001E120000}"/>
    <cellStyle name="Normal 2 2 3 3 2 3 5_SSL" xfId="13422" xr:uid="{00000000-0005-0000-0000-00001F120000}"/>
    <cellStyle name="Normal 2 2 3 3 2 3 6" xfId="4581" xr:uid="{00000000-0005-0000-0000-000020120000}"/>
    <cellStyle name="Normal 2 2 3 3 2 3 6 2" xfId="11220" xr:uid="{00000000-0005-0000-0000-000021120000}"/>
    <cellStyle name="Normal 2 2 3 3 2 3 6_SSL" xfId="16222" xr:uid="{00000000-0005-0000-0000-000022120000}"/>
    <cellStyle name="Normal 2 2 3 3 2 3 7" xfId="5391" xr:uid="{00000000-0005-0000-0000-000023120000}"/>
    <cellStyle name="Normal 2 2 3 3 2 3 7 2" xfId="12029" xr:uid="{00000000-0005-0000-0000-000024120000}"/>
    <cellStyle name="Normal 2 2 3 3 2 3 7_SSL" xfId="14554" xr:uid="{00000000-0005-0000-0000-000025120000}"/>
    <cellStyle name="Normal 2 2 3 3 2 3 8" xfId="7444" xr:uid="{00000000-0005-0000-0000-000026120000}"/>
    <cellStyle name="Normal 2 2 3 3 2 3 9" xfId="6308" xr:uid="{00000000-0005-0000-0000-000027120000}"/>
    <cellStyle name="Normal 2 2 3 3 2 3_SSL" xfId="14673" xr:uid="{00000000-0005-0000-0000-000028120000}"/>
    <cellStyle name="Normal 2 2 3 3 2 4" xfId="1307" xr:uid="{00000000-0005-0000-0000-000029120000}"/>
    <cellStyle name="Normal 2 2 3 3 2 4 2" xfId="7962" xr:uid="{00000000-0005-0000-0000-00002A120000}"/>
    <cellStyle name="Normal 2 2 3 3 2 4_SSL" xfId="17591" xr:uid="{00000000-0005-0000-0000-00002B120000}"/>
    <cellStyle name="Normal 2 2 3 3 2 5" xfId="2127" xr:uid="{00000000-0005-0000-0000-00002C120000}"/>
    <cellStyle name="Normal 2 2 3 3 2 5 2" xfId="8775" xr:uid="{00000000-0005-0000-0000-00002D120000}"/>
    <cellStyle name="Normal 2 2 3 3 2 5_SSL" xfId="17431" xr:uid="{00000000-0005-0000-0000-00002E120000}"/>
    <cellStyle name="Normal 2 2 3 3 2 6" xfId="2946" xr:uid="{00000000-0005-0000-0000-00002F120000}"/>
    <cellStyle name="Normal 2 2 3 3 2 6 2" xfId="9591" xr:uid="{00000000-0005-0000-0000-000030120000}"/>
    <cellStyle name="Normal 2 2 3 3 2 6_SSL" xfId="17814" xr:uid="{00000000-0005-0000-0000-000031120000}"/>
    <cellStyle name="Normal 2 2 3 3 2 7" xfId="3767" xr:uid="{00000000-0005-0000-0000-000032120000}"/>
    <cellStyle name="Normal 2 2 3 3 2 7 2" xfId="10407" xr:uid="{00000000-0005-0000-0000-000033120000}"/>
    <cellStyle name="Normal 2 2 3 3 2 7_SSL" xfId="16137" xr:uid="{00000000-0005-0000-0000-000034120000}"/>
    <cellStyle name="Normal 2 2 3 3 2 8" xfId="4578" xr:uid="{00000000-0005-0000-0000-000035120000}"/>
    <cellStyle name="Normal 2 2 3 3 2 8 2" xfId="11217" xr:uid="{00000000-0005-0000-0000-000036120000}"/>
    <cellStyle name="Normal 2 2 3 3 2 8_SSL" xfId="15717" xr:uid="{00000000-0005-0000-0000-000037120000}"/>
    <cellStyle name="Normal 2 2 3 3 2 9" xfId="5388" xr:uid="{00000000-0005-0000-0000-000038120000}"/>
    <cellStyle name="Normal 2 2 3 3 2 9 2" xfId="12026" xr:uid="{00000000-0005-0000-0000-000039120000}"/>
    <cellStyle name="Normal 2 2 3 3 2 9_SSL" xfId="13401" xr:uid="{00000000-0005-0000-0000-00003A120000}"/>
    <cellStyle name="Normal 2 2 3 3 2_SSL" xfId="17446" xr:uid="{00000000-0005-0000-0000-00003B120000}"/>
    <cellStyle name="Normal 2 2 3 3 3" xfId="312" xr:uid="{00000000-0005-0000-0000-00003C120000}"/>
    <cellStyle name="Normal 2 2 3 3 3 10" xfId="6309" xr:uid="{00000000-0005-0000-0000-00003D120000}"/>
    <cellStyle name="Normal 2 2 3 3 3 2" xfId="700" xr:uid="{00000000-0005-0000-0000-00003E120000}"/>
    <cellStyle name="Normal 2 2 3 3 3 2 2" xfId="1312" xr:uid="{00000000-0005-0000-0000-00003F120000}"/>
    <cellStyle name="Normal 2 2 3 3 3 2 2 2" xfId="7967" xr:uid="{00000000-0005-0000-0000-000040120000}"/>
    <cellStyle name="Normal 2 2 3 3 3 2 2_SSL" xfId="17664" xr:uid="{00000000-0005-0000-0000-000041120000}"/>
    <cellStyle name="Normal 2 2 3 3 3 2 3" xfId="2132" xr:uid="{00000000-0005-0000-0000-000042120000}"/>
    <cellStyle name="Normal 2 2 3 3 3 2 3 2" xfId="8780" xr:uid="{00000000-0005-0000-0000-000043120000}"/>
    <cellStyle name="Normal 2 2 3 3 3 2 3_SSL" xfId="14126" xr:uid="{00000000-0005-0000-0000-000044120000}"/>
    <cellStyle name="Normal 2 2 3 3 3 2 4" xfId="2951" xr:uid="{00000000-0005-0000-0000-000045120000}"/>
    <cellStyle name="Normal 2 2 3 3 3 2 4 2" xfId="9596" xr:uid="{00000000-0005-0000-0000-000046120000}"/>
    <cellStyle name="Normal 2 2 3 3 3 2 4_SSL" xfId="13220" xr:uid="{00000000-0005-0000-0000-000047120000}"/>
    <cellStyle name="Normal 2 2 3 3 3 2 5" xfId="3772" xr:uid="{00000000-0005-0000-0000-000048120000}"/>
    <cellStyle name="Normal 2 2 3 3 3 2 5 2" xfId="10412" xr:uid="{00000000-0005-0000-0000-000049120000}"/>
    <cellStyle name="Normal 2 2 3 3 3 2 5_SSL" xfId="13227" xr:uid="{00000000-0005-0000-0000-00004A120000}"/>
    <cellStyle name="Normal 2 2 3 3 3 2 6" xfId="4583" xr:uid="{00000000-0005-0000-0000-00004B120000}"/>
    <cellStyle name="Normal 2 2 3 3 3 2 6 2" xfId="11222" xr:uid="{00000000-0005-0000-0000-00004C120000}"/>
    <cellStyle name="Normal 2 2 3 3 3 2 6_SSL" xfId="12756" xr:uid="{00000000-0005-0000-0000-00004D120000}"/>
    <cellStyle name="Normal 2 2 3 3 3 2 7" xfId="5393" xr:uid="{00000000-0005-0000-0000-00004E120000}"/>
    <cellStyle name="Normal 2 2 3 3 3 2 7 2" xfId="12031" xr:uid="{00000000-0005-0000-0000-00004F120000}"/>
    <cellStyle name="Normal 2 2 3 3 3 2 7_SSL" xfId="13203" xr:uid="{00000000-0005-0000-0000-000050120000}"/>
    <cellStyle name="Normal 2 2 3 3 3 2 8" xfId="7556" xr:uid="{00000000-0005-0000-0000-000051120000}"/>
    <cellStyle name="Normal 2 2 3 3 3 2 9" xfId="6310" xr:uid="{00000000-0005-0000-0000-000052120000}"/>
    <cellStyle name="Normal 2 2 3 3 3 2_SSL" xfId="13635" xr:uid="{00000000-0005-0000-0000-000053120000}"/>
    <cellStyle name="Normal 2 2 3 3 3 3" xfId="1311" xr:uid="{00000000-0005-0000-0000-000054120000}"/>
    <cellStyle name="Normal 2 2 3 3 3 3 2" xfId="7966" xr:uid="{00000000-0005-0000-0000-000055120000}"/>
    <cellStyle name="Normal 2 2 3 3 3 3_SSL" xfId="14490" xr:uid="{00000000-0005-0000-0000-000056120000}"/>
    <cellStyle name="Normal 2 2 3 3 3 4" xfId="2131" xr:uid="{00000000-0005-0000-0000-000057120000}"/>
    <cellStyle name="Normal 2 2 3 3 3 4 2" xfId="8779" xr:uid="{00000000-0005-0000-0000-000058120000}"/>
    <cellStyle name="Normal 2 2 3 3 3 4_SSL" xfId="14357" xr:uid="{00000000-0005-0000-0000-000059120000}"/>
    <cellStyle name="Normal 2 2 3 3 3 5" xfId="2950" xr:uid="{00000000-0005-0000-0000-00005A120000}"/>
    <cellStyle name="Normal 2 2 3 3 3 5 2" xfId="9595" xr:uid="{00000000-0005-0000-0000-00005B120000}"/>
    <cellStyle name="Normal 2 2 3 3 3 5_SSL" xfId="17068" xr:uid="{00000000-0005-0000-0000-00005C120000}"/>
    <cellStyle name="Normal 2 2 3 3 3 6" xfId="3771" xr:uid="{00000000-0005-0000-0000-00005D120000}"/>
    <cellStyle name="Normal 2 2 3 3 3 6 2" xfId="10411" xr:uid="{00000000-0005-0000-0000-00005E120000}"/>
    <cellStyle name="Normal 2 2 3 3 3 6_SSL" xfId="16178" xr:uid="{00000000-0005-0000-0000-00005F120000}"/>
    <cellStyle name="Normal 2 2 3 3 3 7" xfId="4582" xr:uid="{00000000-0005-0000-0000-000060120000}"/>
    <cellStyle name="Normal 2 2 3 3 3 7 2" xfId="11221" xr:uid="{00000000-0005-0000-0000-000061120000}"/>
    <cellStyle name="Normal 2 2 3 3 3 7_SSL" xfId="15769" xr:uid="{00000000-0005-0000-0000-000062120000}"/>
    <cellStyle name="Normal 2 2 3 3 3 8" xfId="5392" xr:uid="{00000000-0005-0000-0000-000063120000}"/>
    <cellStyle name="Normal 2 2 3 3 3 8 2" xfId="12030" xr:uid="{00000000-0005-0000-0000-000064120000}"/>
    <cellStyle name="Normal 2 2 3 3 3 8_SSL" xfId="17888" xr:uid="{00000000-0005-0000-0000-000065120000}"/>
    <cellStyle name="Normal 2 2 3 3 3 9" xfId="7172" xr:uid="{00000000-0005-0000-0000-000066120000}"/>
    <cellStyle name="Normal 2 2 3 3 3_SSL" xfId="12991" xr:uid="{00000000-0005-0000-0000-000067120000}"/>
    <cellStyle name="Normal 2 2 3 3 4" xfId="492" xr:uid="{00000000-0005-0000-0000-000068120000}"/>
    <cellStyle name="Normal 2 2 3 3 4 2" xfId="1313" xr:uid="{00000000-0005-0000-0000-000069120000}"/>
    <cellStyle name="Normal 2 2 3 3 4 2 2" xfId="7968" xr:uid="{00000000-0005-0000-0000-00006A120000}"/>
    <cellStyle name="Normal 2 2 3 3 4 2_SSL" xfId="14464" xr:uid="{00000000-0005-0000-0000-00006B120000}"/>
    <cellStyle name="Normal 2 2 3 3 4 3" xfId="2133" xr:uid="{00000000-0005-0000-0000-00006C120000}"/>
    <cellStyle name="Normal 2 2 3 3 4 3 2" xfId="8781" xr:uid="{00000000-0005-0000-0000-00006D120000}"/>
    <cellStyle name="Normal 2 2 3 3 4 3_SSL" xfId="15432" xr:uid="{00000000-0005-0000-0000-00006E120000}"/>
    <cellStyle name="Normal 2 2 3 3 4 4" xfId="2952" xr:uid="{00000000-0005-0000-0000-00006F120000}"/>
    <cellStyle name="Normal 2 2 3 3 4 4 2" xfId="9597" xr:uid="{00000000-0005-0000-0000-000070120000}"/>
    <cellStyle name="Normal 2 2 3 3 4 4_SSL" xfId="15249" xr:uid="{00000000-0005-0000-0000-000071120000}"/>
    <cellStyle name="Normal 2 2 3 3 4 5" xfId="3773" xr:uid="{00000000-0005-0000-0000-000072120000}"/>
    <cellStyle name="Normal 2 2 3 3 4 5 2" xfId="10413" xr:uid="{00000000-0005-0000-0000-000073120000}"/>
    <cellStyle name="Normal 2 2 3 3 4 5_SSL" xfId="15491" xr:uid="{00000000-0005-0000-0000-000074120000}"/>
    <cellStyle name="Normal 2 2 3 3 4 6" xfId="4584" xr:uid="{00000000-0005-0000-0000-000075120000}"/>
    <cellStyle name="Normal 2 2 3 3 4 6 2" xfId="11223" xr:uid="{00000000-0005-0000-0000-000076120000}"/>
    <cellStyle name="Normal 2 2 3 3 4 6_SSL" xfId="17501" xr:uid="{00000000-0005-0000-0000-000077120000}"/>
    <cellStyle name="Normal 2 2 3 3 4 7" xfId="5394" xr:uid="{00000000-0005-0000-0000-000078120000}"/>
    <cellStyle name="Normal 2 2 3 3 4 7 2" xfId="12032" xr:uid="{00000000-0005-0000-0000-000079120000}"/>
    <cellStyle name="Normal 2 2 3 3 4 7_SSL" xfId="15760" xr:uid="{00000000-0005-0000-0000-00007A120000}"/>
    <cellStyle name="Normal 2 2 3 3 4 8" xfId="7348" xr:uid="{00000000-0005-0000-0000-00007B120000}"/>
    <cellStyle name="Normal 2 2 3 3 4 9" xfId="6311" xr:uid="{00000000-0005-0000-0000-00007C120000}"/>
    <cellStyle name="Normal 2 2 3 3 4_SSL" xfId="17480" xr:uid="{00000000-0005-0000-0000-00007D120000}"/>
    <cellStyle name="Normal 2 2 3 3 5" xfId="1306" xr:uid="{00000000-0005-0000-0000-00007E120000}"/>
    <cellStyle name="Normal 2 2 3 3 5 2" xfId="7961" xr:uid="{00000000-0005-0000-0000-00007F120000}"/>
    <cellStyle name="Normal 2 2 3 3 5_SSL" xfId="13695" xr:uid="{00000000-0005-0000-0000-000080120000}"/>
    <cellStyle name="Normal 2 2 3 3 6" xfId="2126" xr:uid="{00000000-0005-0000-0000-000081120000}"/>
    <cellStyle name="Normal 2 2 3 3 6 2" xfId="8774" xr:uid="{00000000-0005-0000-0000-000082120000}"/>
    <cellStyle name="Normal 2 2 3 3 6_SSL" xfId="15759" xr:uid="{00000000-0005-0000-0000-000083120000}"/>
    <cellStyle name="Normal 2 2 3 3 7" xfId="2945" xr:uid="{00000000-0005-0000-0000-000084120000}"/>
    <cellStyle name="Normal 2 2 3 3 7 2" xfId="9590" xr:uid="{00000000-0005-0000-0000-000085120000}"/>
    <cellStyle name="Normal 2 2 3 3 7_SSL" xfId="13951" xr:uid="{00000000-0005-0000-0000-000086120000}"/>
    <cellStyle name="Normal 2 2 3 3 8" xfId="3766" xr:uid="{00000000-0005-0000-0000-000087120000}"/>
    <cellStyle name="Normal 2 2 3 3 8 2" xfId="10406" xr:uid="{00000000-0005-0000-0000-000088120000}"/>
    <cellStyle name="Normal 2 2 3 3 8_SSL" xfId="15468" xr:uid="{00000000-0005-0000-0000-000089120000}"/>
    <cellStyle name="Normal 2 2 3 3 9" xfId="4577" xr:uid="{00000000-0005-0000-0000-00008A120000}"/>
    <cellStyle name="Normal 2 2 3 3 9 2" xfId="11216" xr:uid="{00000000-0005-0000-0000-00008B120000}"/>
    <cellStyle name="Normal 2 2 3 3 9_SSL" xfId="17038" xr:uid="{00000000-0005-0000-0000-00008C120000}"/>
    <cellStyle name="Normal 2 2 3 3_SSL" xfId="13428" xr:uid="{00000000-0005-0000-0000-00008D120000}"/>
    <cellStyle name="Normal 2 2 3 4" xfId="110" xr:uid="{00000000-0005-0000-0000-00008E120000}"/>
    <cellStyle name="Normal 2 2 3 4 10" xfId="5395" xr:uid="{00000000-0005-0000-0000-00008F120000}"/>
    <cellStyle name="Normal 2 2 3 4 10 2" xfId="12033" xr:uid="{00000000-0005-0000-0000-000090120000}"/>
    <cellStyle name="Normal 2 2 3 4 10_SSL" xfId="14168" xr:uid="{00000000-0005-0000-0000-000091120000}"/>
    <cellStyle name="Normal 2 2 3 4 11" xfId="6987" xr:uid="{00000000-0005-0000-0000-000092120000}"/>
    <cellStyle name="Normal 2 2 3 4 12" xfId="6312" xr:uid="{00000000-0005-0000-0000-000093120000}"/>
    <cellStyle name="Normal 2 2 3 4 2" xfId="206" xr:uid="{00000000-0005-0000-0000-000094120000}"/>
    <cellStyle name="Normal 2 2 3 4 2 10" xfId="7083" xr:uid="{00000000-0005-0000-0000-000095120000}"/>
    <cellStyle name="Normal 2 2 3 4 2 11" xfId="6313" xr:uid="{00000000-0005-0000-0000-000096120000}"/>
    <cellStyle name="Normal 2 2 3 4 2 2" xfId="315" xr:uid="{00000000-0005-0000-0000-000097120000}"/>
    <cellStyle name="Normal 2 2 3 4 2 2 10" xfId="6314" xr:uid="{00000000-0005-0000-0000-000098120000}"/>
    <cellStyle name="Normal 2 2 3 4 2 2 2" xfId="703" xr:uid="{00000000-0005-0000-0000-000099120000}"/>
    <cellStyle name="Normal 2 2 3 4 2 2 2 2" xfId="1317" xr:uid="{00000000-0005-0000-0000-00009A120000}"/>
    <cellStyle name="Normal 2 2 3 4 2 2 2 2 2" xfId="7972" xr:uid="{00000000-0005-0000-0000-00009B120000}"/>
    <cellStyle name="Normal 2 2 3 4 2 2 2 2_SSL" xfId="16320" xr:uid="{00000000-0005-0000-0000-00009C120000}"/>
    <cellStyle name="Normal 2 2 3 4 2 2 2 3" xfId="2137" xr:uid="{00000000-0005-0000-0000-00009D120000}"/>
    <cellStyle name="Normal 2 2 3 4 2 2 2 3 2" xfId="8785" xr:uid="{00000000-0005-0000-0000-00009E120000}"/>
    <cellStyle name="Normal 2 2 3 4 2 2 2 3_SSL" xfId="16918" xr:uid="{00000000-0005-0000-0000-00009F120000}"/>
    <cellStyle name="Normal 2 2 3 4 2 2 2 4" xfId="2956" xr:uid="{00000000-0005-0000-0000-0000A0120000}"/>
    <cellStyle name="Normal 2 2 3 4 2 2 2 4 2" xfId="9601" xr:uid="{00000000-0005-0000-0000-0000A1120000}"/>
    <cellStyle name="Normal 2 2 3 4 2 2 2 4_SSL" xfId="17037" xr:uid="{00000000-0005-0000-0000-0000A2120000}"/>
    <cellStyle name="Normal 2 2 3 4 2 2 2 5" xfId="3777" xr:uid="{00000000-0005-0000-0000-0000A3120000}"/>
    <cellStyle name="Normal 2 2 3 4 2 2 2 5 2" xfId="10417" xr:uid="{00000000-0005-0000-0000-0000A4120000}"/>
    <cellStyle name="Normal 2 2 3 4 2 2 2 5_SSL" xfId="14193" xr:uid="{00000000-0005-0000-0000-0000A5120000}"/>
    <cellStyle name="Normal 2 2 3 4 2 2 2 6" xfId="4588" xr:uid="{00000000-0005-0000-0000-0000A6120000}"/>
    <cellStyle name="Normal 2 2 3 4 2 2 2 6 2" xfId="11227" xr:uid="{00000000-0005-0000-0000-0000A7120000}"/>
    <cellStyle name="Normal 2 2 3 4 2 2 2 6_SSL" xfId="13130" xr:uid="{00000000-0005-0000-0000-0000A8120000}"/>
    <cellStyle name="Normal 2 2 3 4 2 2 2 7" xfId="5398" xr:uid="{00000000-0005-0000-0000-0000A9120000}"/>
    <cellStyle name="Normal 2 2 3 4 2 2 2 7 2" xfId="12036" xr:uid="{00000000-0005-0000-0000-0000AA120000}"/>
    <cellStyle name="Normal 2 2 3 4 2 2 2 7_SSL" xfId="13542" xr:uid="{00000000-0005-0000-0000-0000AB120000}"/>
    <cellStyle name="Normal 2 2 3 4 2 2 2 8" xfId="7559" xr:uid="{00000000-0005-0000-0000-0000AC120000}"/>
    <cellStyle name="Normal 2 2 3 4 2 2 2 9" xfId="6315" xr:uid="{00000000-0005-0000-0000-0000AD120000}"/>
    <cellStyle name="Normal 2 2 3 4 2 2 2_SSL" xfId="13219" xr:uid="{00000000-0005-0000-0000-0000AE120000}"/>
    <cellStyle name="Normal 2 2 3 4 2 2 3" xfId="1316" xr:uid="{00000000-0005-0000-0000-0000AF120000}"/>
    <cellStyle name="Normal 2 2 3 4 2 2 3 2" xfId="7971" xr:uid="{00000000-0005-0000-0000-0000B0120000}"/>
    <cellStyle name="Normal 2 2 3 4 2 2 3_SSL" xfId="14736" xr:uid="{00000000-0005-0000-0000-0000B1120000}"/>
    <cellStyle name="Normal 2 2 3 4 2 2 4" xfId="2136" xr:uid="{00000000-0005-0000-0000-0000B2120000}"/>
    <cellStyle name="Normal 2 2 3 4 2 2 4 2" xfId="8784" xr:uid="{00000000-0005-0000-0000-0000B3120000}"/>
    <cellStyle name="Normal 2 2 3 4 2 2 4_SSL" xfId="14785" xr:uid="{00000000-0005-0000-0000-0000B4120000}"/>
    <cellStyle name="Normal 2 2 3 4 2 2 5" xfId="2955" xr:uid="{00000000-0005-0000-0000-0000B5120000}"/>
    <cellStyle name="Normal 2 2 3 4 2 2 5 2" xfId="9600" xr:uid="{00000000-0005-0000-0000-0000B6120000}"/>
    <cellStyle name="Normal 2 2 3 4 2 2 5_SSL" xfId="13572" xr:uid="{00000000-0005-0000-0000-0000B7120000}"/>
    <cellStyle name="Normal 2 2 3 4 2 2 6" xfId="3776" xr:uid="{00000000-0005-0000-0000-0000B8120000}"/>
    <cellStyle name="Normal 2 2 3 4 2 2 6 2" xfId="10416" xr:uid="{00000000-0005-0000-0000-0000B9120000}"/>
    <cellStyle name="Normal 2 2 3 4 2 2 6_SSL" xfId="14981" xr:uid="{00000000-0005-0000-0000-0000BA120000}"/>
    <cellStyle name="Normal 2 2 3 4 2 2 7" xfId="4587" xr:uid="{00000000-0005-0000-0000-0000BB120000}"/>
    <cellStyle name="Normal 2 2 3 4 2 2 7 2" xfId="11226" xr:uid="{00000000-0005-0000-0000-0000BC120000}"/>
    <cellStyle name="Normal 2 2 3 4 2 2 7_SSL" xfId="15949" xr:uid="{00000000-0005-0000-0000-0000BD120000}"/>
    <cellStyle name="Normal 2 2 3 4 2 2 8" xfId="5397" xr:uid="{00000000-0005-0000-0000-0000BE120000}"/>
    <cellStyle name="Normal 2 2 3 4 2 2 8 2" xfId="12035" xr:uid="{00000000-0005-0000-0000-0000BF120000}"/>
    <cellStyle name="Normal 2 2 3 4 2 2 8_SSL" xfId="16801" xr:uid="{00000000-0005-0000-0000-0000C0120000}"/>
    <cellStyle name="Normal 2 2 3 4 2 2 9" xfId="7175" xr:uid="{00000000-0005-0000-0000-0000C1120000}"/>
    <cellStyle name="Normal 2 2 3 4 2 2_SSL" xfId="13846" xr:uid="{00000000-0005-0000-0000-0000C2120000}"/>
    <cellStyle name="Normal 2 2 3 4 2 3" xfId="611" xr:uid="{00000000-0005-0000-0000-0000C3120000}"/>
    <cellStyle name="Normal 2 2 3 4 2 3 2" xfId="1318" xr:uid="{00000000-0005-0000-0000-0000C4120000}"/>
    <cellStyle name="Normal 2 2 3 4 2 3 2 2" xfId="7973" xr:uid="{00000000-0005-0000-0000-0000C5120000}"/>
    <cellStyle name="Normal 2 2 3 4 2 3 2_SSL" xfId="12907" xr:uid="{00000000-0005-0000-0000-0000C6120000}"/>
    <cellStyle name="Normal 2 2 3 4 2 3 3" xfId="2138" xr:uid="{00000000-0005-0000-0000-0000C7120000}"/>
    <cellStyle name="Normal 2 2 3 4 2 3 3 2" xfId="8786" xr:uid="{00000000-0005-0000-0000-0000C8120000}"/>
    <cellStyle name="Normal 2 2 3 4 2 3 3_SSL" xfId="13637" xr:uid="{00000000-0005-0000-0000-0000C9120000}"/>
    <cellStyle name="Normal 2 2 3 4 2 3 4" xfId="2957" xr:uid="{00000000-0005-0000-0000-0000CA120000}"/>
    <cellStyle name="Normal 2 2 3 4 2 3 4 2" xfId="9602" xr:uid="{00000000-0005-0000-0000-0000CB120000}"/>
    <cellStyle name="Normal 2 2 3 4 2 3 4_SSL" xfId="16438" xr:uid="{00000000-0005-0000-0000-0000CC120000}"/>
    <cellStyle name="Normal 2 2 3 4 2 3 5" xfId="3778" xr:uid="{00000000-0005-0000-0000-0000CD120000}"/>
    <cellStyle name="Normal 2 2 3 4 2 3 5 2" xfId="10418" xr:uid="{00000000-0005-0000-0000-0000CE120000}"/>
    <cellStyle name="Normal 2 2 3 4 2 3 5_SSL" xfId="15048" xr:uid="{00000000-0005-0000-0000-0000CF120000}"/>
    <cellStyle name="Normal 2 2 3 4 2 3 6" xfId="4589" xr:uid="{00000000-0005-0000-0000-0000D0120000}"/>
    <cellStyle name="Normal 2 2 3 4 2 3 6 2" xfId="11228" xr:uid="{00000000-0005-0000-0000-0000D1120000}"/>
    <cellStyle name="Normal 2 2 3 4 2 3 6_SSL" xfId="13091" xr:uid="{00000000-0005-0000-0000-0000D2120000}"/>
    <cellStyle name="Normal 2 2 3 4 2 3 7" xfId="5399" xr:uid="{00000000-0005-0000-0000-0000D3120000}"/>
    <cellStyle name="Normal 2 2 3 4 2 3 7 2" xfId="12037" xr:uid="{00000000-0005-0000-0000-0000D4120000}"/>
    <cellStyle name="Normal 2 2 3 4 2 3 7_SSL" xfId="15221" xr:uid="{00000000-0005-0000-0000-0000D5120000}"/>
    <cellStyle name="Normal 2 2 3 4 2 3 8" xfId="7467" xr:uid="{00000000-0005-0000-0000-0000D6120000}"/>
    <cellStyle name="Normal 2 2 3 4 2 3 9" xfId="6316" xr:uid="{00000000-0005-0000-0000-0000D7120000}"/>
    <cellStyle name="Normal 2 2 3 4 2 3_SSL" xfId="16318" xr:uid="{00000000-0005-0000-0000-0000D8120000}"/>
    <cellStyle name="Normal 2 2 3 4 2 4" xfId="1315" xr:uid="{00000000-0005-0000-0000-0000D9120000}"/>
    <cellStyle name="Normal 2 2 3 4 2 4 2" xfId="7970" xr:uid="{00000000-0005-0000-0000-0000DA120000}"/>
    <cellStyle name="Normal 2 2 3 4 2 4_SSL" xfId="15859" xr:uid="{00000000-0005-0000-0000-0000DB120000}"/>
    <cellStyle name="Normal 2 2 3 4 2 5" xfId="2135" xr:uid="{00000000-0005-0000-0000-0000DC120000}"/>
    <cellStyle name="Normal 2 2 3 4 2 5 2" xfId="8783" xr:uid="{00000000-0005-0000-0000-0000DD120000}"/>
    <cellStyle name="Normal 2 2 3 4 2 5_SSL" xfId="14468" xr:uid="{00000000-0005-0000-0000-0000DE120000}"/>
    <cellStyle name="Normal 2 2 3 4 2 6" xfId="2954" xr:uid="{00000000-0005-0000-0000-0000DF120000}"/>
    <cellStyle name="Normal 2 2 3 4 2 6 2" xfId="9599" xr:uid="{00000000-0005-0000-0000-0000E0120000}"/>
    <cellStyle name="Normal 2 2 3 4 2 6_SSL" xfId="17906" xr:uid="{00000000-0005-0000-0000-0000E1120000}"/>
    <cellStyle name="Normal 2 2 3 4 2 7" xfId="3775" xr:uid="{00000000-0005-0000-0000-0000E2120000}"/>
    <cellStyle name="Normal 2 2 3 4 2 7 2" xfId="10415" xr:uid="{00000000-0005-0000-0000-0000E3120000}"/>
    <cellStyle name="Normal 2 2 3 4 2 7_SSL" xfId="14595" xr:uid="{00000000-0005-0000-0000-0000E4120000}"/>
    <cellStyle name="Normal 2 2 3 4 2 8" xfId="4586" xr:uid="{00000000-0005-0000-0000-0000E5120000}"/>
    <cellStyle name="Normal 2 2 3 4 2 8 2" xfId="11225" xr:uid="{00000000-0005-0000-0000-0000E6120000}"/>
    <cellStyle name="Normal 2 2 3 4 2 8_SSL" xfId="17693" xr:uid="{00000000-0005-0000-0000-0000E7120000}"/>
    <cellStyle name="Normal 2 2 3 4 2 9" xfId="5396" xr:uid="{00000000-0005-0000-0000-0000E8120000}"/>
    <cellStyle name="Normal 2 2 3 4 2 9 2" xfId="12034" xr:uid="{00000000-0005-0000-0000-0000E9120000}"/>
    <cellStyle name="Normal 2 2 3 4 2 9_SSL" xfId="13852" xr:uid="{00000000-0005-0000-0000-0000EA120000}"/>
    <cellStyle name="Normal 2 2 3 4 2_SSL" xfId="12868" xr:uid="{00000000-0005-0000-0000-0000EB120000}"/>
    <cellStyle name="Normal 2 2 3 4 3" xfId="314" xr:uid="{00000000-0005-0000-0000-0000EC120000}"/>
    <cellStyle name="Normal 2 2 3 4 3 10" xfId="6317" xr:uid="{00000000-0005-0000-0000-0000ED120000}"/>
    <cellStyle name="Normal 2 2 3 4 3 2" xfId="702" xr:uid="{00000000-0005-0000-0000-0000EE120000}"/>
    <cellStyle name="Normal 2 2 3 4 3 2 2" xfId="1320" xr:uid="{00000000-0005-0000-0000-0000EF120000}"/>
    <cellStyle name="Normal 2 2 3 4 3 2 2 2" xfId="7975" xr:uid="{00000000-0005-0000-0000-0000F0120000}"/>
    <cellStyle name="Normal 2 2 3 4 3 2 2_SSL" xfId="15891" xr:uid="{00000000-0005-0000-0000-0000F1120000}"/>
    <cellStyle name="Normal 2 2 3 4 3 2 3" xfId="2140" xr:uid="{00000000-0005-0000-0000-0000F2120000}"/>
    <cellStyle name="Normal 2 2 3 4 3 2 3 2" xfId="8788" xr:uid="{00000000-0005-0000-0000-0000F3120000}"/>
    <cellStyle name="Normal 2 2 3 4 3 2 3_SSL" xfId="17937" xr:uid="{00000000-0005-0000-0000-0000F4120000}"/>
    <cellStyle name="Normal 2 2 3 4 3 2 4" xfId="2959" xr:uid="{00000000-0005-0000-0000-0000F5120000}"/>
    <cellStyle name="Normal 2 2 3 4 3 2 4 2" xfId="9604" xr:uid="{00000000-0005-0000-0000-0000F6120000}"/>
    <cellStyle name="Normal 2 2 3 4 3 2 4_SSL" xfId="13524" xr:uid="{00000000-0005-0000-0000-0000F7120000}"/>
    <cellStyle name="Normal 2 2 3 4 3 2 5" xfId="3780" xr:uid="{00000000-0005-0000-0000-0000F8120000}"/>
    <cellStyle name="Normal 2 2 3 4 3 2 5 2" xfId="10420" xr:uid="{00000000-0005-0000-0000-0000F9120000}"/>
    <cellStyle name="Normal 2 2 3 4 3 2 5_SSL" xfId="16716" xr:uid="{00000000-0005-0000-0000-0000FA120000}"/>
    <cellStyle name="Normal 2 2 3 4 3 2 6" xfId="4591" xr:uid="{00000000-0005-0000-0000-0000FB120000}"/>
    <cellStyle name="Normal 2 2 3 4 3 2 6 2" xfId="11230" xr:uid="{00000000-0005-0000-0000-0000FC120000}"/>
    <cellStyle name="Normal 2 2 3 4 3 2 6_SSL" xfId="17584" xr:uid="{00000000-0005-0000-0000-0000FD120000}"/>
    <cellStyle name="Normal 2 2 3 4 3 2 7" xfId="5401" xr:uid="{00000000-0005-0000-0000-0000FE120000}"/>
    <cellStyle name="Normal 2 2 3 4 3 2 7 2" xfId="12039" xr:uid="{00000000-0005-0000-0000-0000FF120000}"/>
    <cellStyle name="Normal 2 2 3 4 3 2 7_SSL" xfId="16342" xr:uid="{00000000-0005-0000-0000-000000130000}"/>
    <cellStyle name="Normal 2 2 3 4 3 2 8" xfId="7558" xr:uid="{00000000-0005-0000-0000-000001130000}"/>
    <cellStyle name="Normal 2 2 3 4 3 2 9" xfId="6318" xr:uid="{00000000-0005-0000-0000-000002130000}"/>
    <cellStyle name="Normal 2 2 3 4 3 2_SSL" xfId="13135" xr:uid="{00000000-0005-0000-0000-000003130000}"/>
    <cellStyle name="Normal 2 2 3 4 3 3" xfId="1319" xr:uid="{00000000-0005-0000-0000-000004130000}"/>
    <cellStyle name="Normal 2 2 3 4 3 3 2" xfId="7974" xr:uid="{00000000-0005-0000-0000-000005130000}"/>
    <cellStyle name="Normal 2 2 3 4 3 3_SSL" xfId="15444" xr:uid="{00000000-0005-0000-0000-000006130000}"/>
    <cellStyle name="Normal 2 2 3 4 3 4" xfId="2139" xr:uid="{00000000-0005-0000-0000-000007130000}"/>
    <cellStyle name="Normal 2 2 3 4 3 4 2" xfId="8787" xr:uid="{00000000-0005-0000-0000-000008130000}"/>
    <cellStyle name="Normal 2 2 3 4 3 4_SSL" xfId="8564" xr:uid="{00000000-0005-0000-0000-000009130000}"/>
    <cellStyle name="Normal 2 2 3 4 3 5" xfId="2958" xr:uid="{00000000-0005-0000-0000-00000A130000}"/>
    <cellStyle name="Normal 2 2 3 4 3 5 2" xfId="9603" xr:uid="{00000000-0005-0000-0000-00000B130000}"/>
    <cellStyle name="Normal 2 2 3 4 3 5_SSL" xfId="15848" xr:uid="{00000000-0005-0000-0000-00000C130000}"/>
    <cellStyle name="Normal 2 2 3 4 3 6" xfId="3779" xr:uid="{00000000-0005-0000-0000-00000D130000}"/>
    <cellStyle name="Normal 2 2 3 4 3 6 2" xfId="10419" xr:uid="{00000000-0005-0000-0000-00000E130000}"/>
    <cellStyle name="Normal 2 2 3 4 3 6_SSL" xfId="16987" xr:uid="{00000000-0005-0000-0000-00000F130000}"/>
    <cellStyle name="Normal 2 2 3 4 3 7" xfId="4590" xr:uid="{00000000-0005-0000-0000-000010130000}"/>
    <cellStyle name="Normal 2 2 3 4 3 7 2" xfId="11229" xr:uid="{00000000-0005-0000-0000-000011130000}"/>
    <cellStyle name="Normal 2 2 3 4 3 7_SSL" xfId="16998" xr:uid="{00000000-0005-0000-0000-000012130000}"/>
    <cellStyle name="Normal 2 2 3 4 3 8" xfId="5400" xr:uid="{00000000-0005-0000-0000-000013130000}"/>
    <cellStyle name="Normal 2 2 3 4 3 8 2" xfId="12038" xr:uid="{00000000-0005-0000-0000-000014130000}"/>
    <cellStyle name="Normal 2 2 3 4 3 8_SSL" xfId="12811" xr:uid="{00000000-0005-0000-0000-000015130000}"/>
    <cellStyle name="Normal 2 2 3 4 3 9" xfId="7174" xr:uid="{00000000-0005-0000-0000-000016130000}"/>
    <cellStyle name="Normal 2 2 3 4 3_SSL" xfId="17111" xr:uid="{00000000-0005-0000-0000-000017130000}"/>
    <cellStyle name="Normal 2 2 3 4 4" xfId="515" xr:uid="{00000000-0005-0000-0000-000018130000}"/>
    <cellStyle name="Normal 2 2 3 4 4 2" xfId="1321" xr:uid="{00000000-0005-0000-0000-000019130000}"/>
    <cellStyle name="Normal 2 2 3 4 4 2 2" xfId="7976" xr:uid="{00000000-0005-0000-0000-00001A130000}"/>
    <cellStyle name="Normal 2 2 3 4 4 2_SSL" xfId="17382" xr:uid="{00000000-0005-0000-0000-00001B130000}"/>
    <cellStyle name="Normal 2 2 3 4 4 3" xfId="2141" xr:uid="{00000000-0005-0000-0000-00001C130000}"/>
    <cellStyle name="Normal 2 2 3 4 4 3 2" xfId="8789" xr:uid="{00000000-0005-0000-0000-00001D130000}"/>
    <cellStyle name="Normal 2 2 3 4 4 3_SSL" xfId="13498" xr:uid="{00000000-0005-0000-0000-00001E130000}"/>
    <cellStyle name="Normal 2 2 3 4 4 4" xfId="2960" xr:uid="{00000000-0005-0000-0000-00001F130000}"/>
    <cellStyle name="Normal 2 2 3 4 4 4 2" xfId="9605" xr:uid="{00000000-0005-0000-0000-000020130000}"/>
    <cellStyle name="Normal 2 2 3 4 4 4_SSL" xfId="14308" xr:uid="{00000000-0005-0000-0000-000021130000}"/>
    <cellStyle name="Normal 2 2 3 4 4 5" xfId="3781" xr:uid="{00000000-0005-0000-0000-000022130000}"/>
    <cellStyle name="Normal 2 2 3 4 4 5 2" xfId="10421" xr:uid="{00000000-0005-0000-0000-000023130000}"/>
    <cellStyle name="Normal 2 2 3 4 4 5_SSL" xfId="17547" xr:uid="{00000000-0005-0000-0000-000024130000}"/>
    <cellStyle name="Normal 2 2 3 4 4 6" xfId="4592" xr:uid="{00000000-0005-0000-0000-000025130000}"/>
    <cellStyle name="Normal 2 2 3 4 4 6 2" xfId="11231" xr:uid="{00000000-0005-0000-0000-000026130000}"/>
    <cellStyle name="Normal 2 2 3 4 4 6_SSL" xfId="16386" xr:uid="{00000000-0005-0000-0000-000027130000}"/>
    <cellStyle name="Normal 2 2 3 4 4 7" xfId="5402" xr:uid="{00000000-0005-0000-0000-000028130000}"/>
    <cellStyle name="Normal 2 2 3 4 4 7 2" xfId="12040" xr:uid="{00000000-0005-0000-0000-000029130000}"/>
    <cellStyle name="Normal 2 2 3 4 4 7_SSL" xfId="17696" xr:uid="{00000000-0005-0000-0000-00002A130000}"/>
    <cellStyle name="Normal 2 2 3 4 4 8" xfId="7371" xr:uid="{00000000-0005-0000-0000-00002B130000}"/>
    <cellStyle name="Normal 2 2 3 4 4 9" xfId="6319" xr:uid="{00000000-0005-0000-0000-00002C130000}"/>
    <cellStyle name="Normal 2 2 3 4 4_SSL" xfId="15985" xr:uid="{00000000-0005-0000-0000-00002D130000}"/>
    <cellStyle name="Normal 2 2 3 4 5" xfId="1314" xr:uid="{00000000-0005-0000-0000-00002E130000}"/>
    <cellStyle name="Normal 2 2 3 4 5 2" xfId="7969" xr:uid="{00000000-0005-0000-0000-00002F130000}"/>
    <cellStyle name="Normal 2 2 3 4 5_SSL" xfId="14481" xr:uid="{00000000-0005-0000-0000-000030130000}"/>
    <cellStyle name="Normal 2 2 3 4 6" xfId="2134" xr:uid="{00000000-0005-0000-0000-000031130000}"/>
    <cellStyle name="Normal 2 2 3 4 6 2" xfId="8782" xr:uid="{00000000-0005-0000-0000-000032130000}"/>
    <cellStyle name="Normal 2 2 3 4 6_SSL" xfId="14774" xr:uid="{00000000-0005-0000-0000-000033130000}"/>
    <cellStyle name="Normal 2 2 3 4 7" xfId="2953" xr:uid="{00000000-0005-0000-0000-000034130000}"/>
    <cellStyle name="Normal 2 2 3 4 7 2" xfId="9598" xr:uid="{00000000-0005-0000-0000-000035130000}"/>
    <cellStyle name="Normal 2 2 3 4 7_SSL" xfId="15727" xr:uid="{00000000-0005-0000-0000-000036130000}"/>
    <cellStyle name="Normal 2 2 3 4 8" xfId="3774" xr:uid="{00000000-0005-0000-0000-000037130000}"/>
    <cellStyle name="Normal 2 2 3 4 8 2" xfId="10414" xr:uid="{00000000-0005-0000-0000-000038130000}"/>
    <cellStyle name="Normal 2 2 3 4 8_SSL" xfId="17231" xr:uid="{00000000-0005-0000-0000-000039130000}"/>
    <cellStyle name="Normal 2 2 3 4 9" xfId="4585" xr:uid="{00000000-0005-0000-0000-00003A130000}"/>
    <cellStyle name="Normal 2 2 3 4 9 2" xfId="11224" xr:uid="{00000000-0005-0000-0000-00003B130000}"/>
    <cellStyle name="Normal 2 2 3 4 9_SSL" xfId="16681" xr:uid="{00000000-0005-0000-0000-00003C130000}"/>
    <cellStyle name="Normal 2 2 3 4_SSL" xfId="17609" xr:uid="{00000000-0005-0000-0000-00003D130000}"/>
    <cellStyle name="Normal 2 2 3 5" xfId="135" xr:uid="{00000000-0005-0000-0000-00003E130000}"/>
    <cellStyle name="Normal 2 2 3 5 10" xfId="7012" xr:uid="{00000000-0005-0000-0000-00003F130000}"/>
    <cellStyle name="Normal 2 2 3 5 11" xfId="6320" xr:uid="{00000000-0005-0000-0000-000040130000}"/>
    <cellStyle name="Normal 2 2 3 5 2" xfId="316" xr:uid="{00000000-0005-0000-0000-000041130000}"/>
    <cellStyle name="Normal 2 2 3 5 2 10" xfId="6321" xr:uid="{00000000-0005-0000-0000-000042130000}"/>
    <cellStyle name="Normal 2 2 3 5 2 2" xfId="704" xr:uid="{00000000-0005-0000-0000-000043130000}"/>
    <cellStyle name="Normal 2 2 3 5 2 2 2" xfId="1324" xr:uid="{00000000-0005-0000-0000-000044130000}"/>
    <cellStyle name="Normal 2 2 3 5 2 2 2 2" xfId="7979" xr:uid="{00000000-0005-0000-0000-000045130000}"/>
    <cellStyle name="Normal 2 2 3 5 2 2 2_SSL" xfId="17537" xr:uid="{00000000-0005-0000-0000-000046130000}"/>
    <cellStyle name="Normal 2 2 3 5 2 2 3" xfId="2144" xr:uid="{00000000-0005-0000-0000-000047130000}"/>
    <cellStyle name="Normal 2 2 3 5 2 2 3 2" xfId="8792" xr:uid="{00000000-0005-0000-0000-000048130000}"/>
    <cellStyle name="Normal 2 2 3 5 2 2 3_SSL" xfId="17824" xr:uid="{00000000-0005-0000-0000-000049130000}"/>
    <cellStyle name="Normal 2 2 3 5 2 2 4" xfId="2963" xr:uid="{00000000-0005-0000-0000-00004A130000}"/>
    <cellStyle name="Normal 2 2 3 5 2 2 4 2" xfId="9608" xr:uid="{00000000-0005-0000-0000-00004B130000}"/>
    <cellStyle name="Normal 2 2 3 5 2 2 4_SSL" xfId="14266" xr:uid="{00000000-0005-0000-0000-00004C130000}"/>
    <cellStyle name="Normal 2 2 3 5 2 2 5" xfId="3784" xr:uid="{00000000-0005-0000-0000-00004D130000}"/>
    <cellStyle name="Normal 2 2 3 5 2 2 5 2" xfId="10424" xr:uid="{00000000-0005-0000-0000-00004E130000}"/>
    <cellStyle name="Normal 2 2 3 5 2 2 5_SSL" xfId="13609" xr:uid="{00000000-0005-0000-0000-00004F130000}"/>
    <cellStyle name="Normal 2 2 3 5 2 2 6" xfId="4595" xr:uid="{00000000-0005-0000-0000-000050130000}"/>
    <cellStyle name="Normal 2 2 3 5 2 2 6 2" xfId="11234" xr:uid="{00000000-0005-0000-0000-000051130000}"/>
    <cellStyle name="Normal 2 2 3 5 2 2 6_SSL" xfId="14487" xr:uid="{00000000-0005-0000-0000-000052130000}"/>
    <cellStyle name="Normal 2 2 3 5 2 2 7" xfId="5405" xr:uid="{00000000-0005-0000-0000-000053130000}"/>
    <cellStyle name="Normal 2 2 3 5 2 2 7 2" xfId="12043" xr:uid="{00000000-0005-0000-0000-000054130000}"/>
    <cellStyle name="Normal 2 2 3 5 2 2 7_SSL" xfId="16958" xr:uid="{00000000-0005-0000-0000-000055130000}"/>
    <cellStyle name="Normal 2 2 3 5 2 2 8" xfId="7560" xr:uid="{00000000-0005-0000-0000-000056130000}"/>
    <cellStyle name="Normal 2 2 3 5 2 2 9" xfId="6322" xr:uid="{00000000-0005-0000-0000-000057130000}"/>
    <cellStyle name="Normal 2 2 3 5 2 2_SSL" xfId="15320" xr:uid="{00000000-0005-0000-0000-000058130000}"/>
    <cellStyle name="Normal 2 2 3 5 2 3" xfId="1323" xr:uid="{00000000-0005-0000-0000-000059130000}"/>
    <cellStyle name="Normal 2 2 3 5 2 3 2" xfId="7978" xr:uid="{00000000-0005-0000-0000-00005A130000}"/>
    <cellStyle name="Normal 2 2 3 5 2 3_SSL" xfId="17102" xr:uid="{00000000-0005-0000-0000-00005B130000}"/>
    <cellStyle name="Normal 2 2 3 5 2 4" xfId="2143" xr:uid="{00000000-0005-0000-0000-00005C130000}"/>
    <cellStyle name="Normal 2 2 3 5 2 4 2" xfId="8791" xr:uid="{00000000-0005-0000-0000-00005D130000}"/>
    <cellStyle name="Normal 2 2 3 5 2 4_SSL" xfId="15678" xr:uid="{00000000-0005-0000-0000-00005E130000}"/>
    <cellStyle name="Normal 2 2 3 5 2 5" xfId="2962" xr:uid="{00000000-0005-0000-0000-00005F130000}"/>
    <cellStyle name="Normal 2 2 3 5 2 5 2" xfId="9607" xr:uid="{00000000-0005-0000-0000-000060130000}"/>
    <cellStyle name="Normal 2 2 3 5 2 5_SSL" xfId="14565" xr:uid="{00000000-0005-0000-0000-000061130000}"/>
    <cellStyle name="Normal 2 2 3 5 2 6" xfId="3783" xr:uid="{00000000-0005-0000-0000-000062130000}"/>
    <cellStyle name="Normal 2 2 3 5 2 6 2" xfId="10423" xr:uid="{00000000-0005-0000-0000-000063130000}"/>
    <cellStyle name="Normal 2 2 3 5 2 6_SSL" xfId="13719" xr:uid="{00000000-0005-0000-0000-000064130000}"/>
    <cellStyle name="Normal 2 2 3 5 2 7" xfId="4594" xr:uid="{00000000-0005-0000-0000-000065130000}"/>
    <cellStyle name="Normal 2 2 3 5 2 7 2" xfId="11233" xr:uid="{00000000-0005-0000-0000-000066130000}"/>
    <cellStyle name="Normal 2 2 3 5 2 7_SSL" xfId="13508" xr:uid="{00000000-0005-0000-0000-000067130000}"/>
    <cellStyle name="Normal 2 2 3 5 2 8" xfId="5404" xr:uid="{00000000-0005-0000-0000-000068130000}"/>
    <cellStyle name="Normal 2 2 3 5 2 8 2" xfId="12042" xr:uid="{00000000-0005-0000-0000-000069130000}"/>
    <cellStyle name="Normal 2 2 3 5 2 8_SSL" xfId="6000" xr:uid="{00000000-0005-0000-0000-00006A130000}"/>
    <cellStyle name="Normal 2 2 3 5 2 9" xfId="7176" xr:uid="{00000000-0005-0000-0000-00006B130000}"/>
    <cellStyle name="Normal 2 2 3 5 2_SSL" xfId="17147" xr:uid="{00000000-0005-0000-0000-00006C130000}"/>
    <cellStyle name="Normal 2 2 3 5 3" xfId="540" xr:uid="{00000000-0005-0000-0000-00006D130000}"/>
    <cellStyle name="Normal 2 2 3 5 3 2" xfId="1325" xr:uid="{00000000-0005-0000-0000-00006E130000}"/>
    <cellStyle name="Normal 2 2 3 5 3 2 2" xfId="7980" xr:uid="{00000000-0005-0000-0000-00006F130000}"/>
    <cellStyle name="Normal 2 2 3 5 3 2_SSL" xfId="14177" xr:uid="{00000000-0005-0000-0000-000070130000}"/>
    <cellStyle name="Normal 2 2 3 5 3 3" xfId="2145" xr:uid="{00000000-0005-0000-0000-000071130000}"/>
    <cellStyle name="Normal 2 2 3 5 3 3 2" xfId="8793" xr:uid="{00000000-0005-0000-0000-000072130000}"/>
    <cellStyle name="Normal 2 2 3 5 3 3_SSL" xfId="13927" xr:uid="{00000000-0005-0000-0000-000073130000}"/>
    <cellStyle name="Normal 2 2 3 5 3 4" xfId="2964" xr:uid="{00000000-0005-0000-0000-000074130000}"/>
    <cellStyle name="Normal 2 2 3 5 3 4 2" xfId="9609" xr:uid="{00000000-0005-0000-0000-000075130000}"/>
    <cellStyle name="Normal 2 2 3 5 3 4_SSL" xfId="13034" xr:uid="{00000000-0005-0000-0000-000076130000}"/>
    <cellStyle name="Normal 2 2 3 5 3 5" xfId="3785" xr:uid="{00000000-0005-0000-0000-000077130000}"/>
    <cellStyle name="Normal 2 2 3 5 3 5 2" xfId="10425" xr:uid="{00000000-0005-0000-0000-000078130000}"/>
    <cellStyle name="Normal 2 2 3 5 3 5_SSL" xfId="16063" xr:uid="{00000000-0005-0000-0000-000079130000}"/>
    <cellStyle name="Normal 2 2 3 5 3 6" xfId="4596" xr:uid="{00000000-0005-0000-0000-00007A130000}"/>
    <cellStyle name="Normal 2 2 3 5 3 6 2" xfId="11235" xr:uid="{00000000-0005-0000-0000-00007B130000}"/>
    <cellStyle name="Normal 2 2 3 5 3 6_SSL" xfId="15058" xr:uid="{00000000-0005-0000-0000-00007C130000}"/>
    <cellStyle name="Normal 2 2 3 5 3 7" xfId="5406" xr:uid="{00000000-0005-0000-0000-00007D130000}"/>
    <cellStyle name="Normal 2 2 3 5 3 7 2" xfId="12044" xr:uid="{00000000-0005-0000-0000-00007E130000}"/>
    <cellStyle name="Normal 2 2 3 5 3 7_SSL" xfId="14358" xr:uid="{00000000-0005-0000-0000-00007F130000}"/>
    <cellStyle name="Normal 2 2 3 5 3 8" xfId="7396" xr:uid="{00000000-0005-0000-0000-000080130000}"/>
    <cellStyle name="Normal 2 2 3 5 3 9" xfId="6323" xr:uid="{00000000-0005-0000-0000-000081130000}"/>
    <cellStyle name="Normal 2 2 3 5 3_SSL" xfId="12632" xr:uid="{00000000-0005-0000-0000-000082130000}"/>
    <cellStyle name="Normal 2 2 3 5 4" xfId="1322" xr:uid="{00000000-0005-0000-0000-000083130000}"/>
    <cellStyle name="Normal 2 2 3 5 4 2" xfId="7977" xr:uid="{00000000-0005-0000-0000-000084130000}"/>
    <cellStyle name="Normal 2 2 3 5 4_SSL" xfId="13676" xr:uid="{00000000-0005-0000-0000-000085130000}"/>
    <cellStyle name="Normal 2 2 3 5 5" xfId="2142" xr:uid="{00000000-0005-0000-0000-000086130000}"/>
    <cellStyle name="Normal 2 2 3 5 5 2" xfId="8790" xr:uid="{00000000-0005-0000-0000-000087130000}"/>
    <cellStyle name="Normal 2 2 3 5 5_SSL" xfId="12716" xr:uid="{00000000-0005-0000-0000-000088130000}"/>
    <cellStyle name="Normal 2 2 3 5 6" xfId="2961" xr:uid="{00000000-0005-0000-0000-000089130000}"/>
    <cellStyle name="Normal 2 2 3 5 6 2" xfId="9606" xr:uid="{00000000-0005-0000-0000-00008A130000}"/>
    <cellStyle name="Normal 2 2 3 5 6_SSL" xfId="15513" xr:uid="{00000000-0005-0000-0000-00008B130000}"/>
    <cellStyle name="Normal 2 2 3 5 7" xfId="3782" xr:uid="{00000000-0005-0000-0000-00008C130000}"/>
    <cellStyle name="Normal 2 2 3 5 7 2" xfId="10422" xr:uid="{00000000-0005-0000-0000-00008D130000}"/>
    <cellStyle name="Normal 2 2 3 5 7_SSL" xfId="12841" xr:uid="{00000000-0005-0000-0000-00008E130000}"/>
    <cellStyle name="Normal 2 2 3 5 8" xfId="4593" xr:uid="{00000000-0005-0000-0000-00008F130000}"/>
    <cellStyle name="Normal 2 2 3 5 8 2" xfId="11232" xr:uid="{00000000-0005-0000-0000-000090130000}"/>
    <cellStyle name="Normal 2 2 3 5 8_SSL" xfId="14914" xr:uid="{00000000-0005-0000-0000-000091130000}"/>
    <cellStyle name="Normal 2 2 3 5 9" xfId="5403" xr:uid="{00000000-0005-0000-0000-000092130000}"/>
    <cellStyle name="Normal 2 2 3 5 9 2" xfId="12041" xr:uid="{00000000-0005-0000-0000-000093130000}"/>
    <cellStyle name="Normal 2 2 3 5 9_SSL" xfId="13451" xr:uid="{00000000-0005-0000-0000-000094130000}"/>
    <cellStyle name="Normal 2 2 3 5_SSL" xfId="15689" xr:uid="{00000000-0005-0000-0000-000095130000}"/>
    <cellStyle name="Normal 2 2 3 6" xfId="160" xr:uid="{00000000-0005-0000-0000-000096130000}"/>
    <cellStyle name="Normal 2 2 3 6 10" xfId="7037" xr:uid="{00000000-0005-0000-0000-000097130000}"/>
    <cellStyle name="Normal 2 2 3 6 11" xfId="6324" xr:uid="{00000000-0005-0000-0000-000098130000}"/>
    <cellStyle name="Normal 2 2 3 6 2" xfId="317" xr:uid="{00000000-0005-0000-0000-000099130000}"/>
    <cellStyle name="Normal 2 2 3 6 2 10" xfId="6325" xr:uid="{00000000-0005-0000-0000-00009A130000}"/>
    <cellStyle name="Normal 2 2 3 6 2 2" xfId="705" xr:uid="{00000000-0005-0000-0000-00009B130000}"/>
    <cellStyle name="Normal 2 2 3 6 2 2 2" xfId="1328" xr:uid="{00000000-0005-0000-0000-00009C130000}"/>
    <cellStyle name="Normal 2 2 3 6 2 2 2 2" xfId="7983" xr:uid="{00000000-0005-0000-0000-00009D130000}"/>
    <cellStyle name="Normal 2 2 3 6 2 2 2_SSL" xfId="14073" xr:uid="{00000000-0005-0000-0000-00009E130000}"/>
    <cellStyle name="Normal 2 2 3 6 2 2 3" xfId="2148" xr:uid="{00000000-0005-0000-0000-00009F130000}"/>
    <cellStyle name="Normal 2 2 3 6 2 2 3 2" xfId="8796" xr:uid="{00000000-0005-0000-0000-0000A0130000}"/>
    <cellStyle name="Normal 2 2 3 6 2 2 3_SSL" xfId="16844" xr:uid="{00000000-0005-0000-0000-0000A1130000}"/>
    <cellStyle name="Normal 2 2 3 6 2 2 4" xfId="2967" xr:uid="{00000000-0005-0000-0000-0000A2130000}"/>
    <cellStyle name="Normal 2 2 3 6 2 2 4 2" xfId="9612" xr:uid="{00000000-0005-0000-0000-0000A3130000}"/>
    <cellStyle name="Normal 2 2 3 6 2 2 4_SSL" xfId="12924" xr:uid="{00000000-0005-0000-0000-0000A4130000}"/>
    <cellStyle name="Normal 2 2 3 6 2 2 5" xfId="3788" xr:uid="{00000000-0005-0000-0000-0000A5130000}"/>
    <cellStyle name="Normal 2 2 3 6 2 2 5 2" xfId="10428" xr:uid="{00000000-0005-0000-0000-0000A6130000}"/>
    <cellStyle name="Normal 2 2 3 6 2 2 5_SSL" xfId="13552" xr:uid="{00000000-0005-0000-0000-0000A7130000}"/>
    <cellStyle name="Normal 2 2 3 6 2 2 6" xfId="4599" xr:uid="{00000000-0005-0000-0000-0000A8130000}"/>
    <cellStyle name="Normal 2 2 3 6 2 2 6 2" xfId="11238" xr:uid="{00000000-0005-0000-0000-0000A9130000}"/>
    <cellStyle name="Normal 2 2 3 6 2 2 6_SSL" xfId="17225" xr:uid="{00000000-0005-0000-0000-0000AA130000}"/>
    <cellStyle name="Normal 2 2 3 6 2 2 7" xfId="5409" xr:uid="{00000000-0005-0000-0000-0000AB130000}"/>
    <cellStyle name="Normal 2 2 3 6 2 2 7 2" xfId="12047" xr:uid="{00000000-0005-0000-0000-0000AC130000}"/>
    <cellStyle name="Normal 2 2 3 6 2 2 7_SSL" xfId="15592" xr:uid="{00000000-0005-0000-0000-0000AD130000}"/>
    <cellStyle name="Normal 2 2 3 6 2 2 8" xfId="7561" xr:uid="{00000000-0005-0000-0000-0000AE130000}"/>
    <cellStyle name="Normal 2 2 3 6 2 2 9" xfId="6326" xr:uid="{00000000-0005-0000-0000-0000AF130000}"/>
    <cellStyle name="Normal 2 2 3 6 2 2_SSL" xfId="12675" xr:uid="{00000000-0005-0000-0000-0000B0130000}"/>
    <cellStyle name="Normal 2 2 3 6 2 3" xfId="1327" xr:uid="{00000000-0005-0000-0000-0000B1130000}"/>
    <cellStyle name="Normal 2 2 3 6 2 3 2" xfId="7982" xr:uid="{00000000-0005-0000-0000-0000B2130000}"/>
    <cellStyle name="Normal 2 2 3 6 2 3_SSL" xfId="14114" xr:uid="{00000000-0005-0000-0000-0000B3130000}"/>
    <cellStyle name="Normal 2 2 3 6 2 4" xfId="2147" xr:uid="{00000000-0005-0000-0000-0000B4130000}"/>
    <cellStyle name="Normal 2 2 3 6 2 4 2" xfId="8795" xr:uid="{00000000-0005-0000-0000-0000B5130000}"/>
    <cellStyle name="Normal 2 2 3 6 2 4_SSL" xfId="17659" xr:uid="{00000000-0005-0000-0000-0000B6130000}"/>
    <cellStyle name="Normal 2 2 3 6 2 5" xfId="2966" xr:uid="{00000000-0005-0000-0000-0000B7130000}"/>
    <cellStyle name="Normal 2 2 3 6 2 5 2" xfId="9611" xr:uid="{00000000-0005-0000-0000-0000B8130000}"/>
    <cellStyle name="Normal 2 2 3 6 2 5_SSL" xfId="17101" xr:uid="{00000000-0005-0000-0000-0000B9130000}"/>
    <cellStyle name="Normal 2 2 3 6 2 6" xfId="3787" xr:uid="{00000000-0005-0000-0000-0000BA130000}"/>
    <cellStyle name="Normal 2 2 3 6 2 6 2" xfId="10427" xr:uid="{00000000-0005-0000-0000-0000BB130000}"/>
    <cellStyle name="Normal 2 2 3 6 2 6_SSL" xfId="13150" xr:uid="{00000000-0005-0000-0000-0000BC130000}"/>
    <cellStyle name="Normal 2 2 3 6 2 7" xfId="4598" xr:uid="{00000000-0005-0000-0000-0000BD130000}"/>
    <cellStyle name="Normal 2 2 3 6 2 7 2" xfId="11237" xr:uid="{00000000-0005-0000-0000-0000BE130000}"/>
    <cellStyle name="Normal 2 2 3 6 2 7_SSL" xfId="15983" xr:uid="{00000000-0005-0000-0000-0000BF130000}"/>
    <cellStyle name="Normal 2 2 3 6 2 8" xfId="5408" xr:uid="{00000000-0005-0000-0000-0000C0130000}"/>
    <cellStyle name="Normal 2 2 3 6 2 8 2" xfId="12046" xr:uid="{00000000-0005-0000-0000-0000C1130000}"/>
    <cellStyle name="Normal 2 2 3 6 2 8_SSL" xfId="17185" xr:uid="{00000000-0005-0000-0000-0000C2130000}"/>
    <cellStyle name="Normal 2 2 3 6 2 9" xfId="7177" xr:uid="{00000000-0005-0000-0000-0000C3130000}"/>
    <cellStyle name="Normal 2 2 3 6 2_SSL" xfId="17578" xr:uid="{00000000-0005-0000-0000-0000C4130000}"/>
    <cellStyle name="Normal 2 2 3 6 3" xfId="565" xr:uid="{00000000-0005-0000-0000-0000C5130000}"/>
    <cellStyle name="Normal 2 2 3 6 3 2" xfId="1329" xr:uid="{00000000-0005-0000-0000-0000C6130000}"/>
    <cellStyle name="Normal 2 2 3 6 3 2 2" xfId="7984" xr:uid="{00000000-0005-0000-0000-0000C7130000}"/>
    <cellStyle name="Normal 2 2 3 6 3 2_SSL" xfId="15472" xr:uid="{00000000-0005-0000-0000-0000C8130000}"/>
    <cellStyle name="Normal 2 2 3 6 3 3" xfId="2149" xr:uid="{00000000-0005-0000-0000-0000C9130000}"/>
    <cellStyle name="Normal 2 2 3 6 3 3 2" xfId="8797" xr:uid="{00000000-0005-0000-0000-0000CA130000}"/>
    <cellStyle name="Normal 2 2 3 6 3 3_SSL" xfId="15947" xr:uid="{00000000-0005-0000-0000-0000CB130000}"/>
    <cellStyle name="Normal 2 2 3 6 3 4" xfId="2968" xr:uid="{00000000-0005-0000-0000-0000CC130000}"/>
    <cellStyle name="Normal 2 2 3 6 3 4 2" xfId="9613" xr:uid="{00000000-0005-0000-0000-0000CD130000}"/>
    <cellStyle name="Normal 2 2 3 6 3 4_SSL" xfId="6059" xr:uid="{00000000-0005-0000-0000-0000CE130000}"/>
    <cellStyle name="Normal 2 2 3 6 3 5" xfId="3789" xr:uid="{00000000-0005-0000-0000-0000CF130000}"/>
    <cellStyle name="Normal 2 2 3 6 3 5 2" xfId="10429" xr:uid="{00000000-0005-0000-0000-0000D0130000}"/>
    <cellStyle name="Normal 2 2 3 6 3 5_SSL" xfId="15514" xr:uid="{00000000-0005-0000-0000-0000D1130000}"/>
    <cellStyle name="Normal 2 2 3 6 3 6" xfId="4600" xr:uid="{00000000-0005-0000-0000-0000D2130000}"/>
    <cellStyle name="Normal 2 2 3 6 3 6 2" xfId="11239" xr:uid="{00000000-0005-0000-0000-0000D3130000}"/>
    <cellStyle name="Normal 2 2 3 6 3 6_SSL" xfId="14458" xr:uid="{00000000-0005-0000-0000-0000D4130000}"/>
    <cellStyle name="Normal 2 2 3 6 3 7" xfId="5410" xr:uid="{00000000-0005-0000-0000-0000D5130000}"/>
    <cellStyle name="Normal 2 2 3 6 3 7 2" xfId="12048" xr:uid="{00000000-0005-0000-0000-0000D6130000}"/>
    <cellStyle name="Normal 2 2 3 6 3 7_SSL" xfId="13262" xr:uid="{00000000-0005-0000-0000-0000D7130000}"/>
    <cellStyle name="Normal 2 2 3 6 3 8" xfId="7421" xr:uid="{00000000-0005-0000-0000-0000D8130000}"/>
    <cellStyle name="Normal 2 2 3 6 3 9" xfId="6327" xr:uid="{00000000-0005-0000-0000-0000D9130000}"/>
    <cellStyle name="Normal 2 2 3 6 3_SSL" xfId="15359" xr:uid="{00000000-0005-0000-0000-0000DA130000}"/>
    <cellStyle name="Normal 2 2 3 6 4" xfId="1326" xr:uid="{00000000-0005-0000-0000-0000DB130000}"/>
    <cellStyle name="Normal 2 2 3 6 4 2" xfId="7981" xr:uid="{00000000-0005-0000-0000-0000DC130000}"/>
    <cellStyle name="Normal 2 2 3 6 4_SSL" xfId="12765" xr:uid="{00000000-0005-0000-0000-0000DD130000}"/>
    <cellStyle name="Normal 2 2 3 6 5" xfId="2146" xr:uid="{00000000-0005-0000-0000-0000DE130000}"/>
    <cellStyle name="Normal 2 2 3 6 5 2" xfId="8794" xr:uid="{00000000-0005-0000-0000-0000DF130000}"/>
    <cellStyle name="Normal 2 2 3 6 5_SSL" xfId="13454" xr:uid="{00000000-0005-0000-0000-0000E0130000}"/>
    <cellStyle name="Normal 2 2 3 6 6" xfId="2965" xr:uid="{00000000-0005-0000-0000-0000E1130000}"/>
    <cellStyle name="Normal 2 2 3 6 6 2" xfId="9610" xr:uid="{00000000-0005-0000-0000-0000E2130000}"/>
    <cellStyle name="Normal 2 2 3 6 6_SSL" xfId="17773" xr:uid="{00000000-0005-0000-0000-0000E3130000}"/>
    <cellStyle name="Normal 2 2 3 6 7" xfId="3786" xr:uid="{00000000-0005-0000-0000-0000E4130000}"/>
    <cellStyle name="Normal 2 2 3 6 7 2" xfId="10426" xr:uid="{00000000-0005-0000-0000-0000E5130000}"/>
    <cellStyle name="Normal 2 2 3 6 7_SSL" xfId="13107" xr:uid="{00000000-0005-0000-0000-0000E6130000}"/>
    <cellStyle name="Normal 2 2 3 6 8" xfId="4597" xr:uid="{00000000-0005-0000-0000-0000E7130000}"/>
    <cellStyle name="Normal 2 2 3 6 8 2" xfId="11236" xr:uid="{00000000-0005-0000-0000-0000E8130000}"/>
    <cellStyle name="Normal 2 2 3 6 8_SSL" xfId="12688" xr:uid="{00000000-0005-0000-0000-0000E9130000}"/>
    <cellStyle name="Normal 2 2 3 6 9" xfId="5407" xr:uid="{00000000-0005-0000-0000-0000EA130000}"/>
    <cellStyle name="Normal 2 2 3 6 9 2" xfId="12045" xr:uid="{00000000-0005-0000-0000-0000EB130000}"/>
    <cellStyle name="Normal 2 2 3 6 9_SSL" xfId="16552" xr:uid="{00000000-0005-0000-0000-0000EC130000}"/>
    <cellStyle name="Normal 2 2 3 6_SSL" xfId="15993" xr:uid="{00000000-0005-0000-0000-0000ED130000}"/>
    <cellStyle name="Normal 2 2 3 7" xfId="231" xr:uid="{00000000-0005-0000-0000-0000EE130000}"/>
    <cellStyle name="Normal 2 2 3 7 10" xfId="7108" xr:uid="{00000000-0005-0000-0000-0000EF130000}"/>
    <cellStyle name="Normal 2 2 3 7 11" xfId="6328" xr:uid="{00000000-0005-0000-0000-0000F0130000}"/>
    <cellStyle name="Normal 2 2 3 7 2" xfId="318" xr:uid="{00000000-0005-0000-0000-0000F1130000}"/>
    <cellStyle name="Normal 2 2 3 7 2 10" xfId="6329" xr:uid="{00000000-0005-0000-0000-0000F2130000}"/>
    <cellStyle name="Normal 2 2 3 7 2 2" xfId="706" xr:uid="{00000000-0005-0000-0000-0000F3130000}"/>
    <cellStyle name="Normal 2 2 3 7 2 2 2" xfId="1332" xr:uid="{00000000-0005-0000-0000-0000F4130000}"/>
    <cellStyle name="Normal 2 2 3 7 2 2 2 2" xfId="7987" xr:uid="{00000000-0005-0000-0000-0000F5130000}"/>
    <cellStyle name="Normal 2 2 3 7 2 2 2_SSL" xfId="16138" xr:uid="{00000000-0005-0000-0000-0000F6130000}"/>
    <cellStyle name="Normal 2 2 3 7 2 2 3" xfId="2152" xr:uid="{00000000-0005-0000-0000-0000F7130000}"/>
    <cellStyle name="Normal 2 2 3 7 2 2 3 2" xfId="8800" xr:uid="{00000000-0005-0000-0000-0000F8130000}"/>
    <cellStyle name="Normal 2 2 3 7 2 2 3_SSL" xfId="13771" xr:uid="{00000000-0005-0000-0000-0000F9130000}"/>
    <cellStyle name="Normal 2 2 3 7 2 2 4" xfId="2971" xr:uid="{00000000-0005-0000-0000-0000FA130000}"/>
    <cellStyle name="Normal 2 2 3 7 2 2 4 2" xfId="9616" xr:uid="{00000000-0005-0000-0000-0000FB130000}"/>
    <cellStyle name="Normal 2 2 3 7 2 2 4_SSL" xfId="17008" xr:uid="{00000000-0005-0000-0000-0000FC130000}"/>
    <cellStyle name="Normal 2 2 3 7 2 2 5" xfId="3792" xr:uid="{00000000-0005-0000-0000-0000FD130000}"/>
    <cellStyle name="Normal 2 2 3 7 2 2 5 2" xfId="10432" xr:uid="{00000000-0005-0000-0000-0000FE130000}"/>
    <cellStyle name="Normal 2 2 3 7 2 2 5_SSL" xfId="16281" xr:uid="{00000000-0005-0000-0000-0000FF130000}"/>
    <cellStyle name="Normal 2 2 3 7 2 2 6" xfId="4603" xr:uid="{00000000-0005-0000-0000-000000140000}"/>
    <cellStyle name="Normal 2 2 3 7 2 2 6 2" xfId="11242" xr:uid="{00000000-0005-0000-0000-000001140000}"/>
    <cellStyle name="Normal 2 2 3 7 2 2 6_SSL" xfId="17565" xr:uid="{00000000-0005-0000-0000-000002140000}"/>
    <cellStyle name="Normal 2 2 3 7 2 2 7" xfId="5413" xr:uid="{00000000-0005-0000-0000-000003140000}"/>
    <cellStyle name="Normal 2 2 3 7 2 2 7 2" xfId="12051" xr:uid="{00000000-0005-0000-0000-000004140000}"/>
    <cellStyle name="Normal 2 2 3 7 2 2 7_SSL" xfId="14953" xr:uid="{00000000-0005-0000-0000-000005140000}"/>
    <cellStyle name="Normal 2 2 3 7 2 2 8" xfId="7562" xr:uid="{00000000-0005-0000-0000-000006140000}"/>
    <cellStyle name="Normal 2 2 3 7 2 2 9" xfId="6330" xr:uid="{00000000-0005-0000-0000-000007140000}"/>
    <cellStyle name="Normal 2 2 3 7 2 2_SSL" xfId="14467" xr:uid="{00000000-0005-0000-0000-000008140000}"/>
    <cellStyle name="Normal 2 2 3 7 2 3" xfId="1331" xr:uid="{00000000-0005-0000-0000-000009140000}"/>
    <cellStyle name="Normal 2 2 3 7 2 3 2" xfId="7986" xr:uid="{00000000-0005-0000-0000-00000A140000}"/>
    <cellStyle name="Normal 2 2 3 7 2 3_SSL" xfId="17084" xr:uid="{00000000-0005-0000-0000-00000B140000}"/>
    <cellStyle name="Normal 2 2 3 7 2 4" xfId="2151" xr:uid="{00000000-0005-0000-0000-00000C140000}"/>
    <cellStyle name="Normal 2 2 3 7 2 4 2" xfId="8799" xr:uid="{00000000-0005-0000-0000-00000D140000}"/>
    <cellStyle name="Normal 2 2 3 7 2 4_SSL" xfId="12923" xr:uid="{00000000-0005-0000-0000-00000E140000}"/>
    <cellStyle name="Normal 2 2 3 7 2 5" xfId="2970" xr:uid="{00000000-0005-0000-0000-00000F140000}"/>
    <cellStyle name="Normal 2 2 3 7 2 5 2" xfId="9615" xr:uid="{00000000-0005-0000-0000-000010140000}"/>
    <cellStyle name="Normal 2 2 3 7 2 5_SSL" xfId="16085" xr:uid="{00000000-0005-0000-0000-000011140000}"/>
    <cellStyle name="Normal 2 2 3 7 2 6" xfId="3791" xr:uid="{00000000-0005-0000-0000-000012140000}"/>
    <cellStyle name="Normal 2 2 3 7 2 6 2" xfId="10431" xr:uid="{00000000-0005-0000-0000-000013140000}"/>
    <cellStyle name="Normal 2 2 3 7 2 6_SSL" xfId="16492" xr:uid="{00000000-0005-0000-0000-000014140000}"/>
    <cellStyle name="Normal 2 2 3 7 2 7" xfId="4602" xr:uid="{00000000-0005-0000-0000-000015140000}"/>
    <cellStyle name="Normal 2 2 3 7 2 7 2" xfId="11241" xr:uid="{00000000-0005-0000-0000-000016140000}"/>
    <cellStyle name="Normal 2 2 3 7 2 7_SSL" xfId="16576" xr:uid="{00000000-0005-0000-0000-000017140000}"/>
    <cellStyle name="Normal 2 2 3 7 2 8" xfId="5412" xr:uid="{00000000-0005-0000-0000-000018140000}"/>
    <cellStyle name="Normal 2 2 3 7 2 8 2" xfId="12050" xr:uid="{00000000-0005-0000-0000-000019140000}"/>
    <cellStyle name="Normal 2 2 3 7 2 8_SSL" xfId="13000" xr:uid="{00000000-0005-0000-0000-00001A140000}"/>
    <cellStyle name="Normal 2 2 3 7 2 9" xfId="7178" xr:uid="{00000000-0005-0000-0000-00001B140000}"/>
    <cellStyle name="Normal 2 2 3 7 2_SSL" xfId="16094" xr:uid="{00000000-0005-0000-0000-00001C140000}"/>
    <cellStyle name="Normal 2 2 3 7 3" xfId="636" xr:uid="{00000000-0005-0000-0000-00001D140000}"/>
    <cellStyle name="Normal 2 2 3 7 3 2" xfId="1333" xr:uid="{00000000-0005-0000-0000-00001E140000}"/>
    <cellStyle name="Normal 2 2 3 7 3 2 2" xfId="7988" xr:uid="{00000000-0005-0000-0000-00001F140000}"/>
    <cellStyle name="Normal 2 2 3 7 3 2_SSL" xfId="15484" xr:uid="{00000000-0005-0000-0000-000020140000}"/>
    <cellStyle name="Normal 2 2 3 7 3 3" xfId="2153" xr:uid="{00000000-0005-0000-0000-000021140000}"/>
    <cellStyle name="Normal 2 2 3 7 3 3 2" xfId="8801" xr:uid="{00000000-0005-0000-0000-000022140000}"/>
    <cellStyle name="Normal 2 2 3 7 3 3_SSL" xfId="14149" xr:uid="{00000000-0005-0000-0000-000023140000}"/>
    <cellStyle name="Normal 2 2 3 7 3 4" xfId="2972" xr:uid="{00000000-0005-0000-0000-000024140000}"/>
    <cellStyle name="Normal 2 2 3 7 3 4 2" xfId="9617" xr:uid="{00000000-0005-0000-0000-000025140000}"/>
    <cellStyle name="Normal 2 2 3 7 3 4_SSL" xfId="16329" xr:uid="{00000000-0005-0000-0000-000026140000}"/>
    <cellStyle name="Normal 2 2 3 7 3 5" xfId="3793" xr:uid="{00000000-0005-0000-0000-000027140000}"/>
    <cellStyle name="Normal 2 2 3 7 3 5 2" xfId="10433" xr:uid="{00000000-0005-0000-0000-000028140000}"/>
    <cellStyle name="Normal 2 2 3 7 3 5_SSL" xfId="15191" xr:uid="{00000000-0005-0000-0000-000029140000}"/>
    <cellStyle name="Normal 2 2 3 7 3 6" xfId="4604" xr:uid="{00000000-0005-0000-0000-00002A140000}"/>
    <cellStyle name="Normal 2 2 3 7 3 6 2" xfId="11243" xr:uid="{00000000-0005-0000-0000-00002B140000}"/>
    <cellStyle name="Normal 2 2 3 7 3 6_SSL" xfId="15368" xr:uid="{00000000-0005-0000-0000-00002C140000}"/>
    <cellStyle name="Normal 2 2 3 7 3 7" xfId="5414" xr:uid="{00000000-0005-0000-0000-00002D140000}"/>
    <cellStyle name="Normal 2 2 3 7 3 7 2" xfId="12052" xr:uid="{00000000-0005-0000-0000-00002E140000}"/>
    <cellStyle name="Normal 2 2 3 7 3 7_SSL" xfId="17398" xr:uid="{00000000-0005-0000-0000-00002F140000}"/>
    <cellStyle name="Normal 2 2 3 7 3 8" xfId="7492" xr:uid="{00000000-0005-0000-0000-000030140000}"/>
    <cellStyle name="Normal 2 2 3 7 3 9" xfId="6331" xr:uid="{00000000-0005-0000-0000-000031140000}"/>
    <cellStyle name="Normal 2 2 3 7 3_SSL" xfId="18024" xr:uid="{00000000-0005-0000-0000-000032140000}"/>
    <cellStyle name="Normal 2 2 3 7 4" xfId="1330" xr:uid="{00000000-0005-0000-0000-000033140000}"/>
    <cellStyle name="Normal 2 2 3 7 4 2" xfId="7985" xr:uid="{00000000-0005-0000-0000-000034140000}"/>
    <cellStyle name="Normal 2 2 3 7 4_SSL" xfId="15807" xr:uid="{00000000-0005-0000-0000-000035140000}"/>
    <cellStyle name="Normal 2 2 3 7 5" xfId="2150" xr:uid="{00000000-0005-0000-0000-000036140000}"/>
    <cellStyle name="Normal 2 2 3 7 5 2" xfId="8798" xr:uid="{00000000-0005-0000-0000-000037140000}"/>
    <cellStyle name="Normal 2 2 3 7 5_SSL" xfId="15350" xr:uid="{00000000-0005-0000-0000-000038140000}"/>
    <cellStyle name="Normal 2 2 3 7 6" xfId="2969" xr:uid="{00000000-0005-0000-0000-000039140000}"/>
    <cellStyle name="Normal 2 2 3 7 6 2" xfId="9614" xr:uid="{00000000-0005-0000-0000-00003A140000}"/>
    <cellStyle name="Normal 2 2 3 7 6_SSL" xfId="15429" xr:uid="{00000000-0005-0000-0000-00003B140000}"/>
    <cellStyle name="Normal 2 2 3 7 7" xfId="3790" xr:uid="{00000000-0005-0000-0000-00003C140000}"/>
    <cellStyle name="Normal 2 2 3 7 7 2" xfId="10430" xr:uid="{00000000-0005-0000-0000-00003D140000}"/>
    <cellStyle name="Normal 2 2 3 7 7_SSL" xfId="15516" xr:uid="{00000000-0005-0000-0000-00003E140000}"/>
    <cellStyle name="Normal 2 2 3 7 8" xfId="4601" xr:uid="{00000000-0005-0000-0000-00003F140000}"/>
    <cellStyle name="Normal 2 2 3 7 8 2" xfId="11240" xr:uid="{00000000-0005-0000-0000-000040140000}"/>
    <cellStyle name="Normal 2 2 3 7 8_SSL" xfId="13698" xr:uid="{00000000-0005-0000-0000-000041140000}"/>
    <cellStyle name="Normal 2 2 3 7 9" xfId="5411" xr:uid="{00000000-0005-0000-0000-000042140000}"/>
    <cellStyle name="Normal 2 2 3 7 9 2" xfId="12049" xr:uid="{00000000-0005-0000-0000-000043140000}"/>
    <cellStyle name="Normal 2 2 3 7 9_SSL" xfId="15763" xr:uid="{00000000-0005-0000-0000-000044140000}"/>
    <cellStyle name="Normal 2 2 3 7_SSL" xfId="14471" xr:uid="{00000000-0005-0000-0000-000045140000}"/>
    <cellStyle name="Normal 2 2 3 8" xfId="303" xr:uid="{00000000-0005-0000-0000-000046140000}"/>
    <cellStyle name="Normal 2 2 3 8 10" xfId="6332" xr:uid="{00000000-0005-0000-0000-000047140000}"/>
    <cellStyle name="Normal 2 2 3 8 2" xfId="691" xr:uid="{00000000-0005-0000-0000-000048140000}"/>
    <cellStyle name="Normal 2 2 3 8 2 2" xfId="1335" xr:uid="{00000000-0005-0000-0000-000049140000}"/>
    <cellStyle name="Normal 2 2 3 8 2 2 2" xfId="7990" xr:uid="{00000000-0005-0000-0000-00004A140000}"/>
    <cellStyle name="Normal 2 2 3 8 2 2_SSL" xfId="14694" xr:uid="{00000000-0005-0000-0000-00004B140000}"/>
    <cellStyle name="Normal 2 2 3 8 2 3" xfId="2155" xr:uid="{00000000-0005-0000-0000-00004C140000}"/>
    <cellStyle name="Normal 2 2 3 8 2 3 2" xfId="8803" xr:uid="{00000000-0005-0000-0000-00004D140000}"/>
    <cellStyle name="Normal 2 2 3 8 2 3_SSL" xfId="17391" xr:uid="{00000000-0005-0000-0000-00004E140000}"/>
    <cellStyle name="Normal 2 2 3 8 2 4" xfId="2974" xr:uid="{00000000-0005-0000-0000-00004F140000}"/>
    <cellStyle name="Normal 2 2 3 8 2 4 2" xfId="9619" xr:uid="{00000000-0005-0000-0000-000050140000}"/>
    <cellStyle name="Normal 2 2 3 8 2 4_SSL" xfId="14838" xr:uid="{00000000-0005-0000-0000-000051140000}"/>
    <cellStyle name="Normal 2 2 3 8 2 5" xfId="3795" xr:uid="{00000000-0005-0000-0000-000052140000}"/>
    <cellStyle name="Normal 2 2 3 8 2 5 2" xfId="10435" xr:uid="{00000000-0005-0000-0000-000053140000}"/>
    <cellStyle name="Normal 2 2 3 8 2 5_SSL" xfId="16166" xr:uid="{00000000-0005-0000-0000-000054140000}"/>
    <cellStyle name="Normal 2 2 3 8 2 6" xfId="4606" xr:uid="{00000000-0005-0000-0000-000055140000}"/>
    <cellStyle name="Normal 2 2 3 8 2 6 2" xfId="11245" xr:uid="{00000000-0005-0000-0000-000056140000}"/>
    <cellStyle name="Normal 2 2 3 8 2 6_SSL" xfId="14834" xr:uid="{00000000-0005-0000-0000-000057140000}"/>
    <cellStyle name="Normal 2 2 3 8 2 7" xfId="5416" xr:uid="{00000000-0005-0000-0000-000058140000}"/>
    <cellStyle name="Normal 2 2 3 8 2 7 2" xfId="12054" xr:uid="{00000000-0005-0000-0000-000059140000}"/>
    <cellStyle name="Normal 2 2 3 8 2 7_SSL" xfId="13757" xr:uid="{00000000-0005-0000-0000-00005A140000}"/>
    <cellStyle name="Normal 2 2 3 8 2 8" xfId="7547" xr:uid="{00000000-0005-0000-0000-00005B140000}"/>
    <cellStyle name="Normal 2 2 3 8 2 9" xfId="6333" xr:uid="{00000000-0005-0000-0000-00005C140000}"/>
    <cellStyle name="Normal 2 2 3 8 2_SSL" xfId="17854" xr:uid="{00000000-0005-0000-0000-00005D140000}"/>
    <cellStyle name="Normal 2 2 3 8 3" xfId="1334" xr:uid="{00000000-0005-0000-0000-00005E140000}"/>
    <cellStyle name="Normal 2 2 3 8 3 2" xfId="7989" xr:uid="{00000000-0005-0000-0000-00005F140000}"/>
    <cellStyle name="Normal 2 2 3 8 3_SSL" xfId="15213" xr:uid="{00000000-0005-0000-0000-000060140000}"/>
    <cellStyle name="Normal 2 2 3 8 4" xfId="2154" xr:uid="{00000000-0005-0000-0000-000061140000}"/>
    <cellStyle name="Normal 2 2 3 8 4 2" xfId="8802" xr:uid="{00000000-0005-0000-0000-000062140000}"/>
    <cellStyle name="Normal 2 2 3 8 4_SSL" xfId="17256" xr:uid="{00000000-0005-0000-0000-000063140000}"/>
    <cellStyle name="Normal 2 2 3 8 5" xfId="2973" xr:uid="{00000000-0005-0000-0000-000064140000}"/>
    <cellStyle name="Normal 2 2 3 8 5 2" xfId="9618" xr:uid="{00000000-0005-0000-0000-000065140000}"/>
    <cellStyle name="Normal 2 2 3 8 5_SSL" xfId="15884" xr:uid="{00000000-0005-0000-0000-000066140000}"/>
    <cellStyle name="Normal 2 2 3 8 6" xfId="3794" xr:uid="{00000000-0005-0000-0000-000067140000}"/>
    <cellStyle name="Normal 2 2 3 8 6 2" xfId="10434" xr:uid="{00000000-0005-0000-0000-000068140000}"/>
    <cellStyle name="Normal 2 2 3 8 6_SSL" xfId="13159" xr:uid="{00000000-0005-0000-0000-000069140000}"/>
    <cellStyle name="Normal 2 2 3 8 7" xfId="4605" xr:uid="{00000000-0005-0000-0000-00006A140000}"/>
    <cellStyle name="Normal 2 2 3 8 7 2" xfId="11244" xr:uid="{00000000-0005-0000-0000-00006B140000}"/>
    <cellStyle name="Normal 2 2 3 8 7_SSL" xfId="16897" xr:uid="{00000000-0005-0000-0000-00006C140000}"/>
    <cellStyle name="Normal 2 2 3 8 8" xfId="5415" xr:uid="{00000000-0005-0000-0000-00006D140000}"/>
    <cellStyle name="Normal 2 2 3 8 8 2" xfId="12053" xr:uid="{00000000-0005-0000-0000-00006E140000}"/>
    <cellStyle name="Normal 2 2 3 8 8_SSL" xfId="15440" xr:uid="{00000000-0005-0000-0000-00006F140000}"/>
    <cellStyle name="Normal 2 2 3 8 9" xfId="7163" xr:uid="{00000000-0005-0000-0000-000070140000}"/>
    <cellStyle name="Normal 2 2 3 8_SSL" xfId="13121" xr:uid="{00000000-0005-0000-0000-000071140000}"/>
    <cellStyle name="Normal 2 2 3 9" xfId="469" xr:uid="{00000000-0005-0000-0000-000072140000}"/>
    <cellStyle name="Normal 2 2 3 9 2" xfId="1336" xr:uid="{00000000-0005-0000-0000-000073140000}"/>
    <cellStyle name="Normal 2 2 3 9 2 2" xfId="7991" xr:uid="{00000000-0005-0000-0000-000074140000}"/>
    <cellStyle name="Normal 2 2 3 9 2_SSL" xfId="15877" xr:uid="{00000000-0005-0000-0000-000075140000}"/>
    <cellStyle name="Normal 2 2 3 9 3" xfId="2156" xr:uid="{00000000-0005-0000-0000-000076140000}"/>
    <cellStyle name="Normal 2 2 3 9 3 2" xfId="8804" xr:uid="{00000000-0005-0000-0000-000077140000}"/>
    <cellStyle name="Normal 2 2 3 9 3_SSL" xfId="14443" xr:uid="{00000000-0005-0000-0000-000078140000}"/>
    <cellStyle name="Normal 2 2 3 9 4" xfId="2975" xr:uid="{00000000-0005-0000-0000-000079140000}"/>
    <cellStyle name="Normal 2 2 3 9 4 2" xfId="9620" xr:uid="{00000000-0005-0000-0000-00007A140000}"/>
    <cellStyle name="Normal 2 2 3 9 4_SSL" xfId="13867" xr:uid="{00000000-0005-0000-0000-00007B140000}"/>
    <cellStyle name="Normal 2 2 3 9 5" xfId="3796" xr:uid="{00000000-0005-0000-0000-00007C140000}"/>
    <cellStyle name="Normal 2 2 3 9 5 2" xfId="10436" xr:uid="{00000000-0005-0000-0000-00007D140000}"/>
    <cellStyle name="Normal 2 2 3 9 5_SSL" xfId="6067" xr:uid="{00000000-0005-0000-0000-00007E140000}"/>
    <cellStyle name="Normal 2 2 3 9 6" xfId="4607" xr:uid="{00000000-0005-0000-0000-00007F140000}"/>
    <cellStyle name="Normal 2 2 3 9 6 2" xfId="11246" xr:uid="{00000000-0005-0000-0000-000080140000}"/>
    <cellStyle name="Normal 2 2 3 9 6_SSL" xfId="15351" xr:uid="{00000000-0005-0000-0000-000081140000}"/>
    <cellStyle name="Normal 2 2 3 9 7" xfId="5417" xr:uid="{00000000-0005-0000-0000-000082140000}"/>
    <cellStyle name="Normal 2 2 3 9 7 2" xfId="12055" xr:uid="{00000000-0005-0000-0000-000083140000}"/>
    <cellStyle name="Normal 2 2 3 9 7_SSL" xfId="13368" xr:uid="{00000000-0005-0000-0000-000084140000}"/>
    <cellStyle name="Normal 2 2 3 9 8" xfId="7325" xr:uid="{00000000-0005-0000-0000-000085140000}"/>
    <cellStyle name="Normal 2 2 3 9 9" xfId="6334" xr:uid="{00000000-0005-0000-0000-000086140000}"/>
    <cellStyle name="Normal 2 2 3 9_SSL" xfId="15600" xr:uid="{00000000-0005-0000-0000-000087140000}"/>
    <cellStyle name="Normal 2 2 3_SSL" xfId="6066" xr:uid="{00000000-0005-0000-0000-000088140000}"/>
    <cellStyle name="Normal 2 2 4" xfId="60" xr:uid="{00000000-0005-0000-0000-000089140000}"/>
    <cellStyle name="Normal 2 2 4 10" xfId="2157" xr:uid="{00000000-0005-0000-0000-00008A140000}"/>
    <cellStyle name="Normal 2 2 4 10 2" xfId="8805" xr:uid="{00000000-0005-0000-0000-00008B140000}"/>
    <cellStyle name="Normal 2 2 4 10_SSL" xfId="14811" xr:uid="{00000000-0005-0000-0000-00008C140000}"/>
    <cellStyle name="Normal 2 2 4 11" xfId="2976" xr:uid="{00000000-0005-0000-0000-00008D140000}"/>
    <cellStyle name="Normal 2 2 4 11 2" xfId="9621" xr:uid="{00000000-0005-0000-0000-00008E140000}"/>
    <cellStyle name="Normal 2 2 4 11_SSL" xfId="17310" xr:uid="{00000000-0005-0000-0000-00008F140000}"/>
    <cellStyle name="Normal 2 2 4 12" xfId="3797" xr:uid="{00000000-0005-0000-0000-000090140000}"/>
    <cellStyle name="Normal 2 2 4 12 2" xfId="10437" xr:uid="{00000000-0005-0000-0000-000091140000}"/>
    <cellStyle name="Normal 2 2 4 12_SSL" xfId="17821" xr:uid="{00000000-0005-0000-0000-000092140000}"/>
    <cellStyle name="Normal 2 2 4 13" xfId="4608" xr:uid="{00000000-0005-0000-0000-000093140000}"/>
    <cellStyle name="Normal 2 2 4 13 2" xfId="11247" xr:uid="{00000000-0005-0000-0000-000094140000}"/>
    <cellStyle name="Normal 2 2 4 13_SSL" xfId="14353" xr:uid="{00000000-0005-0000-0000-000095140000}"/>
    <cellStyle name="Normal 2 2 4 14" xfId="5418" xr:uid="{00000000-0005-0000-0000-000096140000}"/>
    <cellStyle name="Normal 2 2 4 14 2" xfId="12056" xr:uid="{00000000-0005-0000-0000-000097140000}"/>
    <cellStyle name="Normal 2 2 4 14_SSL" xfId="13889" xr:uid="{00000000-0005-0000-0000-000098140000}"/>
    <cellStyle name="Normal 2 2 4 15" xfId="6948" xr:uid="{00000000-0005-0000-0000-000099140000}"/>
    <cellStyle name="Normal 2 2 4 16" xfId="6335" xr:uid="{00000000-0005-0000-0000-00009A140000}"/>
    <cellStyle name="Normal 2 2 4 2" xfId="91" xr:uid="{00000000-0005-0000-0000-00009B140000}"/>
    <cellStyle name="Normal 2 2 4 2 10" xfId="5419" xr:uid="{00000000-0005-0000-0000-00009C140000}"/>
    <cellStyle name="Normal 2 2 4 2 10 2" xfId="12057" xr:uid="{00000000-0005-0000-0000-00009D140000}"/>
    <cellStyle name="Normal 2 2 4 2 10_SSL" xfId="15034" xr:uid="{00000000-0005-0000-0000-00009E140000}"/>
    <cellStyle name="Normal 2 2 4 2 11" xfId="6971" xr:uid="{00000000-0005-0000-0000-00009F140000}"/>
    <cellStyle name="Normal 2 2 4 2 12" xfId="6336" xr:uid="{00000000-0005-0000-0000-0000A0140000}"/>
    <cellStyle name="Normal 2 2 4 2 2" xfId="190" xr:uid="{00000000-0005-0000-0000-0000A1140000}"/>
    <cellStyle name="Normal 2 2 4 2 2 10" xfId="7067" xr:uid="{00000000-0005-0000-0000-0000A2140000}"/>
    <cellStyle name="Normal 2 2 4 2 2 11" xfId="6337" xr:uid="{00000000-0005-0000-0000-0000A3140000}"/>
    <cellStyle name="Normal 2 2 4 2 2 2" xfId="321" xr:uid="{00000000-0005-0000-0000-0000A4140000}"/>
    <cellStyle name="Normal 2 2 4 2 2 2 10" xfId="6338" xr:uid="{00000000-0005-0000-0000-0000A5140000}"/>
    <cellStyle name="Normal 2 2 4 2 2 2 2" xfId="709" xr:uid="{00000000-0005-0000-0000-0000A6140000}"/>
    <cellStyle name="Normal 2 2 4 2 2 2 2 2" xfId="1341" xr:uid="{00000000-0005-0000-0000-0000A7140000}"/>
    <cellStyle name="Normal 2 2 4 2 2 2 2 2 2" xfId="7996" xr:uid="{00000000-0005-0000-0000-0000A8140000}"/>
    <cellStyle name="Normal 2 2 4 2 2 2 2 2_SSL" xfId="14782" xr:uid="{00000000-0005-0000-0000-0000A9140000}"/>
    <cellStyle name="Normal 2 2 4 2 2 2 2 3" xfId="2161" xr:uid="{00000000-0005-0000-0000-0000AA140000}"/>
    <cellStyle name="Normal 2 2 4 2 2 2 2 3 2" xfId="8809" xr:uid="{00000000-0005-0000-0000-0000AB140000}"/>
    <cellStyle name="Normal 2 2 4 2 2 2 2 3_SSL" xfId="17136" xr:uid="{00000000-0005-0000-0000-0000AC140000}"/>
    <cellStyle name="Normal 2 2 4 2 2 2 2 4" xfId="2980" xr:uid="{00000000-0005-0000-0000-0000AD140000}"/>
    <cellStyle name="Normal 2 2 4 2 2 2 2 4 2" xfId="9625" xr:uid="{00000000-0005-0000-0000-0000AE140000}"/>
    <cellStyle name="Normal 2 2 4 2 2 2 2 4_SSL" xfId="16491" xr:uid="{00000000-0005-0000-0000-0000AF140000}"/>
    <cellStyle name="Normal 2 2 4 2 2 2 2 5" xfId="3801" xr:uid="{00000000-0005-0000-0000-0000B0140000}"/>
    <cellStyle name="Normal 2 2 4 2 2 2 2 5 2" xfId="10441" xr:uid="{00000000-0005-0000-0000-0000B1140000}"/>
    <cellStyle name="Normal 2 2 4 2 2 2 2 5_SSL" xfId="17568" xr:uid="{00000000-0005-0000-0000-0000B2140000}"/>
    <cellStyle name="Normal 2 2 4 2 2 2 2 6" xfId="4612" xr:uid="{00000000-0005-0000-0000-0000B3140000}"/>
    <cellStyle name="Normal 2 2 4 2 2 2 2 6 2" xfId="11251" xr:uid="{00000000-0005-0000-0000-0000B4140000}"/>
    <cellStyle name="Normal 2 2 4 2 2 2 2 6_SSL" xfId="15458" xr:uid="{00000000-0005-0000-0000-0000B5140000}"/>
    <cellStyle name="Normal 2 2 4 2 2 2 2 7" xfId="5422" xr:uid="{00000000-0005-0000-0000-0000B6140000}"/>
    <cellStyle name="Normal 2 2 4 2 2 2 2 7 2" xfId="12060" xr:uid="{00000000-0005-0000-0000-0000B7140000}"/>
    <cellStyle name="Normal 2 2 4 2 2 2 2 7_SSL" xfId="12641" xr:uid="{00000000-0005-0000-0000-0000B8140000}"/>
    <cellStyle name="Normal 2 2 4 2 2 2 2 8" xfId="7565" xr:uid="{00000000-0005-0000-0000-0000B9140000}"/>
    <cellStyle name="Normal 2 2 4 2 2 2 2 9" xfId="6339" xr:uid="{00000000-0005-0000-0000-0000BA140000}"/>
    <cellStyle name="Normal 2 2 4 2 2 2 2_SSL" xfId="12982" xr:uid="{00000000-0005-0000-0000-0000BB140000}"/>
    <cellStyle name="Normal 2 2 4 2 2 2 3" xfId="1340" xr:uid="{00000000-0005-0000-0000-0000BC140000}"/>
    <cellStyle name="Normal 2 2 4 2 2 2 3 2" xfId="7995" xr:uid="{00000000-0005-0000-0000-0000BD140000}"/>
    <cellStyle name="Normal 2 2 4 2 2 2 3_SSL" xfId="14277" xr:uid="{00000000-0005-0000-0000-0000BE140000}"/>
    <cellStyle name="Normal 2 2 4 2 2 2 4" xfId="2160" xr:uid="{00000000-0005-0000-0000-0000BF140000}"/>
    <cellStyle name="Normal 2 2 4 2 2 2 4 2" xfId="8808" xr:uid="{00000000-0005-0000-0000-0000C0140000}"/>
    <cellStyle name="Normal 2 2 4 2 2 2 4_SSL" xfId="16817" xr:uid="{00000000-0005-0000-0000-0000C1140000}"/>
    <cellStyle name="Normal 2 2 4 2 2 2 5" xfId="2979" xr:uid="{00000000-0005-0000-0000-0000C2140000}"/>
    <cellStyle name="Normal 2 2 4 2 2 2 5 2" xfId="9624" xr:uid="{00000000-0005-0000-0000-0000C3140000}"/>
    <cellStyle name="Normal 2 2 4 2 2 2 5_SSL" xfId="16715" xr:uid="{00000000-0005-0000-0000-0000C4140000}"/>
    <cellStyle name="Normal 2 2 4 2 2 2 6" xfId="3800" xr:uid="{00000000-0005-0000-0000-0000C5140000}"/>
    <cellStyle name="Normal 2 2 4 2 2 2 6 2" xfId="10440" xr:uid="{00000000-0005-0000-0000-0000C6140000}"/>
    <cellStyle name="Normal 2 2 4 2 2 2 6_SSL" xfId="13805" xr:uid="{00000000-0005-0000-0000-0000C7140000}"/>
    <cellStyle name="Normal 2 2 4 2 2 2 7" xfId="4611" xr:uid="{00000000-0005-0000-0000-0000C8140000}"/>
    <cellStyle name="Normal 2 2 4 2 2 2 7 2" xfId="11250" xr:uid="{00000000-0005-0000-0000-0000C9140000}"/>
    <cellStyle name="Normal 2 2 4 2 2 2 7_SSL" xfId="17017" xr:uid="{00000000-0005-0000-0000-0000CA140000}"/>
    <cellStyle name="Normal 2 2 4 2 2 2 8" xfId="5421" xr:uid="{00000000-0005-0000-0000-0000CB140000}"/>
    <cellStyle name="Normal 2 2 4 2 2 2 8 2" xfId="12059" xr:uid="{00000000-0005-0000-0000-0000CC140000}"/>
    <cellStyle name="Normal 2 2 4 2 2 2 8_SSL" xfId="15939" xr:uid="{00000000-0005-0000-0000-0000CD140000}"/>
    <cellStyle name="Normal 2 2 4 2 2 2 9" xfId="7181" xr:uid="{00000000-0005-0000-0000-0000CE140000}"/>
    <cellStyle name="Normal 2 2 4 2 2 2_SSL" xfId="13910" xr:uid="{00000000-0005-0000-0000-0000CF140000}"/>
    <cellStyle name="Normal 2 2 4 2 2 3" xfId="595" xr:uid="{00000000-0005-0000-0000-0000D0140000}"/>
    <cellStyle name="Normal 2 2 4 2 2 3 2" xfId="1342" xr:uid="{00000000-0005-0000-0000-0000D1140000}"/>
    <cellStyle name="Normal 2 2 4 2 2 3 2 2" xfId="7997" xr:uid="{00000000-0005-0000-0000-0000D2140000}"/>
    <cellStyle name="Normal 2 2 4 2 2 3 2_SSL" xfId="13946" xr:uid="{00000000-0005-0000-0000-0000D3140000}"/>
    <cellStyle name="Normal 2 2 4 2 2 3 3" xfId="2162" xr:uid="{00000000-0005-0000-0000-0000D4140000}"/>
    <cellStyle name="Normal 2 2 4 2 2 3 3 2" xfId="8810" xr:uid="{00000000-0005-0000-0000-0000D5140000}"/>
    <cellStyle name="Normal 2 2 4 2 2 3 3_SSL" xfId="14486" xr:uid="{00000000-0005-0000-0000-0000D6140000}"/>
    <cellStyle name="Normal 2 2 4 2 2 3 4" xfId="2981" xr:uid="{00000000-0005-0000-0000-0000D7140000}"/>
    <cellStyle name="Normal 2 2 4 2 2 3 4 2" xfId="9626" xr:uid="{00000000-0005-0000-0000-0000D8140000}"/>
    <cellStyle name="Normal 2 2 4 2 2 3 4_SSL" xfId="13941" xr:uid="{00000000-0005-0000-0000-0000D9140000}"/>
    <cellStyle name="Normal 2 2 4 2 2 3 5" xfId="3802" xr:uid="{00000000-0005-0000-0000-0000DA140000}"/>
    <cellStyle name="Normal 2 2 4 2 2 3 5 2" xfId="10442" xr:uid="{00000000-0005-0000-0000-0000DB140000}"/>
    <cellStyle name="Normal 2 2 4 2 2 3 5_SSL" xfId="15308" xr:uid="{00000000-0005-0000-0000-0000DC140000}"/>
    <cellStyle name="Normal 2 2 4 2 2 3 6" xfId="4613" xr:uid="{00000000-0005-0000-0000-0000DD140000}"/>
    <cellStyle name="Normal 2 2 4 2 2 3 6 2" xfId="11252" xr:uid="{00000000-0005-0000-0000-0000DE140000}"/>
    <cellStyle name="Normal 2 2 4 2 2 3 6_SSL" xfId="17720" xr:uid="{00000000-0005-0000-0000-0000DF140000}"/>
    <cellStyle name="Normal 2 2 4 2 2 3 7" xfId="5423" xr:uid="{00000000-0005-0000-0000-0000E0140000}"/>
    <cellStyle name="Normal 2 2 4 2 2 3 7 2" xfId="12061" xr:uid="{00000000-0005-0000-0000-0000E1140000}"/>
    <cellStyle name="Normal 2 2 4 2 2 3 7_SSL" xfId="16206" xr:uid="{00000000-0005-0000-0000-0000E2140000}"/>
    <cellStyle name="Normal 2 2 4 2 2 3 8" xfId="7451" xr:uid="{00000000-0005-0000-0000-0000E3140000}"/>
    <cellStyle name="Normal 2 2 4 2 2 3 9" xfId="6340" xr:uid="{00000000-0005-0000-0000-0000E4140000}"/>
    <cellStyle name="Normal 2 2 4 2 2 3_SSL" xfId="13722" xr:uid="{00000000-0005-0000-0000-0000E5140000}"/>
    <cellStyle name="Normal 2 2 4 2 2 4" xfId="1339" xr:uid="{00000000-0005-0000-0000-0000E6140000}"/>
    <cellStyle name="Normal 2 2 4 2 2 4 2" xfId="7994" xr:uid="{00000000-0005-0000-0000-0000E7140000}"/>
    <cellStyle name="Normal 2 2 4 2 2 4_SSL" xfId="17044" xr:uid="{00000000-0005-0000-0000-0000E8140000}"/>
    <cellStyle name="Normal 2 2 4 2 2 5" xfId="2159" xr:uid="{00000000-0005-0000-0000-0000E9140000}"/>
    <cellStyle name="Normal 2 2 4 2 2 5 2" xfId="8807" xr:uid="{00000000-0005-0000-0000-0000EA140000}"/>
    <cellStyle name="Normal 2 2 4 2 2 5_SSL" xfId="13414" xr:uid="{00000000-0005-0000-0000-0000EB140000}"/>
    <cellStyle name="Normal 2 2 4 2 2 6" xfId="2978" xr:uid="{00000000-0005-0000-0000-0000EC140000}"/>
    <cellStyle name="Normal 2 2 4 2 2 6 2" xfId="9623" xr:uid="{00000000-0005-0000-0000-0000ED140000}"/>
    <cellStyle name="Normal 2 2 4 2 2 6_SSL" xfId="15017" xr:uid="{00000000-0005-0000-0000-0000EE140000}"/>
    <cellStyle name="Normal 2 2 4 2 2 7" xfId="3799" xr:uid="{00000000-0005-0000-0000-0000EF140000}"/>
    <cellStyle name="Normal 2 2 4 2 2 7 2" xfId="10439" xr:uid="{00000000-0005-0000-0000-0000F0140000}"/>
    <cellStyle name="Normal 2 2 4 2 2 7_SSL" xfId="15691" xr:uid="{00000000-0005-0000-0000-0000F1140000}"/>
    <cellStyle name="Normal 2 2 4 2 2 8" xfId="4610" xr:uid="{00000000-0005-0000-0000-0000F2140000}"/>
    <cellStyle name="Normal 2 2 4 2 2 8 2" xfId="11249" xr:uid="{00000000-0005-0000-0000-0000F3140000}"/>
    <cellStyle name="Normal 2 2 4 2 2 8_SSL" xfId="16661" xr:uid="{00000000-0005-0000-0000-0000F4140000}"/>
    <cellStyle name="Normal 2 2 4 2 2 9" xfId="5420" xr:uid="{00000000-0005-0000-0000-0000F5140000}"/>
    <cellStyle name="Normal 2 2 4 2 2 9 2" xfId="12058" xr:uid="{00000000-0005-0000-0000-0000F6140000}"/>
    <cellStyle name="Normal 2 2 4 2 2 9_SSL" xfId="14580" xr:uid="{00000000-0005-0000-0000-0000F7140000}"/>
    <cellStyle name="Normal 2 2 4 2 2_SSL" xfId="14199" xr:uid="{00000000-0005-0000-0000-0000F8140000}"/>
    <cellStyle name="Normal 2 2 4 2 3" xfId="320" xr:uid="{00000000-0005-0000-0000-0000F9140000}"/>
    <cellStyle name="Normal 2 2 4 2 3 10" xfId="6341" xr:uid="{00000000-0005-0000-0000-0000FA140000}"/>
    <cellStyle name="Normal 2 2 4 2 3 2" xfId="708" xr:uid="{00000000-0005-0000-0000-0000FB140000}"/>
    <cellStyle name="Normal 2 2 4 2 3 2 2" xfId="1344" xr:uid="{00000000-0005-0000-0000-0000FC140000}"/>
    <cellStyle name="Normal 2 2 4 2 3 2 2 2" xfId="7999" xr:uid="{00000000-0005-0000-0000-0000FD140000}"/>
    <cellStyle name="Normal 2 2 4 2 3 2 2_SSL" xfId="6002" xr:uid="{00000000-0005-0000-0000-0000FE140000}"/>
    <cellStyle name="Normal 2 2 4 2 3 2 3" xfId="2164" xr:uid="{00000000-0005-0000-0000-0000FF140000}"/>
    <cellStyle name="Normal 2 2 4 2 3 2 3 2" xfId="8812" xr:uid="{00000000-0005-0000-0000-000000150000}"/>
    <cellStyle name="Normal 2 2 4 2 3 2 3_SSL" xfId="6012" xr:uid="{00000000-0005-0000-0000-000001150000}"/>
    <cellStyle name="Normal 2 2 4 2 3 2 4" xfId="2983" xr:uid="{00000000-0005-0000-0000-000002150000}"/>
    <cellStyle name="Normal 2 2 4 2 3 2 4 2" xfId="9628" xr:uid="{00000000-0005-0000-0000-000003150000}"/>
    <cellStyle name="Normal 2 2 4 2 3 2 4_SSL" xfId="16543" xr:uid="{00000000-0005-0000-0000-000004150000}"/>
    <cellStyle name="Normal 2 2 4 2 3 2 5" xfId="3804" xr:uid="{00000000-0005-0000-0000-000005150000}"/>
    <cellStyle name="Normal 2 2 4 2 3 2 5 2" xfId="10444" xr:uid="{00000000-0005-0000-0000-000006150000}"/>
    <cellStyle name="Normal 2 2 4 2 3 2 5_SSL" xfId="13650" xr:uid="{00000000-0005-0000-0000-000007150000}"/>
    <cellStyle name="Normal 2 2 4 2 3 2 6" xfId="4615" xr:uid="{00000000-0005-0000-0000-000008150000}"/>
    <cellStyle name="Normal 2 2 4 2 3 2 6 2" xfId="11254" xr:uid="{00000000-0005-0000-0000-000009150000}"/>
    <cellStyle name="Normal 2 2 4 2 3 2 6_SSL" xfId="16258" xr:uid="{00000000-0005-0000-0000-00000A150000}"/>
    <cellStyle name="Normal 2 2 4 2 3 2 7" xfId="5425" xr:uid="{00000000-0005-0000-0000-00000B150000}"/>
    <cellStyle name="Normal 2 2 4 2 3 2 7 2" xfId="12063" xr:uid="{00000000-0005-0000-0000-00000C150000}"/>
    <cellStyle name="Normal 2 2 4 2 3 2 7_SSL" xfId="16125" xr:uid="{00000000-0005-0000-0000-00000D150000}"/>
    <cellStyle name="Normal 2 2 4 2 3 2 8" xfId="7564" xr:uid="{00000000-0005-0000-0000-00000E150000}"/>
    <cellStyle name="Normal 2 2 4 2 3 2 9" xfId="6342" xr:uid="{00000000-0005-0000-0000-00000F150000}"/>
    <cellStyle name="Normal 2 2 4 2 3 2_SSL" xfId="13774" xr:uid="{00000000-0005-0000-0000-000010150000}"/>
    <cellStyle name="Normal 2 2 4 2 3 3" xfId="1343" xr:uid="{00000000-0005-0000-0000-000011150000}"/>
    <cellStyle name="Normal 2 2 4 2 3 3 2" xfId="7998" xr:uid="{00000000-0005-0000-0000-000012150000}"/>
    <cellStyle name="Normal 2 2 4 2 3 3_SSL" xfId="16171" xr:uid="{00000000-0005-0000-0000-000013150000}"/>
    <cellStyle name="Normal 2 2 4 2 3 4" xfId="2163" xr:uid="{00000000-0005-0000-0000-000014150000}"/>
    <cellStyle name="Normal 2 2 4 2 3 4 2" xfId="8811" xr:uid="{00000000-0005-0000-0000-000015150000}"/>
    <cellStyle name="Normal 2 2 4 2 3 4_SSL" xfId="15942" xr:uid="{00000000-0005-0000-0000-000016150000}"/>
    <cellStyle name="Normal 2 2 4 2 3 5" xfId="2982" xr:uid="{00000000-0005-0000-0000-000017150000}"/>
    <cellStyle name="Normal 2 2 4 2 3 5 2" xfId="9627" xr:uid="{00000000-0005-0000-0000-000018150000}"/>
    <cellStyle name="Normal 2 2 4 2 3 5_SSL" xfId="14051" xr:uid="{00000000-0005-0000-0000-000019150000}"/>
    <cellStyle name="Normal 2 2 4 2 3 6" xfId="3803" xr:uid="{00000000-0005-0000-0000-00001A150000}"/>
    <cellStyle name="Normal 2 2 4 2 3 6 2" xfId="10443" xr:uid="{00000000-0005-0000-0000-00001B150000}"/>
    <cellStyle name="Normal 2 2 4 2 3 6_SSL" xfId="12857" xr:uid="{00000000-0005-0000-0000-00001C150000}"/>
    <cellStyle name="Normal 2 2 4 2 3 7" xfId="4614" xr:uid="{00000000-0005-0000-0000-00001D150000}"/>
    <cellStyle name="Normal 2 2 4 2 3 7 2" xfId="11253" xr:uid="{00000000-0005-0000-0000-00001E150000}"/>
    <cellStyle name="Normal 2 2 4 2 3 7_SSL" xfId="13266" xr:uid="{00000000-0005-0000-0000-00001F150000}"/>
    <cellStyle name="Normal 2 2 4 2 3 8" xfId="5424" xr:uid="{00000000-0005-0000-0000-000020150000}"/>
    <cellStyle name="Normal 2 2 4 2 3 8 2" xfId="12062" xr:uid="{00000000-0005-0000-0000-000021150000}"/>
    <cellStyle name="Normal 2 2 4 2 3 8_SSL" xfId="14303" xr:uid="{00000000-0005-0000-0000-000022150000}"/>
    <cellStyle name="Normal 2 2 4 2 3 9" xfId="7180" xr:uid="{00000000-0005-0000-0000-000023150000}"/>
    <cellStyle name="Normal 2 2 4 2 3_SSL" xfId="17213" xr:uid="{00000000-0005-0000-0000-000024150000}"/>
    <cellStyle name="Normal 2 2 4 2 4" xfId="499" xr:uid="{00000000-0005-0000-0000-000025150000}"/>
    <cellStyle name="Normal 2 2 4 2 4 2" xfId="1345" xr:uid="{00000000-0005-0000-0000-000026150000}"/>
    <cellStyle name="Normal 2 2 4 2 4 2 2" xfId="8000" xr:uid="{00000000-0005-0000-0000-000027150000}"/>
    <cellStyle name="Normal 2 2 4 2 4 2_SSL" xfId="13957" xr:uid="{00000000-0005-0000-0000-000028150000}"/>
    <cellStyle name="Normal 2 2 4 2 4 3" xfId="2165" xr:uid="{00000000-0005-0000-0000-000029150000}"/>
    <cellStyle name="Normal 2 2 4 2 4 3 2" xfId="8813" xr:uid="{00000000-0005-0000-0000-00002A150000}"/>
    <cellStyle name="Normal 2 2 4 2 4 3_SSL" xfId="15793" xr:uid="{00000000-0005-0000-0000-00002B150000}"/>
    <cellStyle name="Normal 2 2 4 2 4 4" xfId="2984" xr:uid="{00000000-0005-0000-0000-00002C150000}"/>
    <cellStyle name="Normal 2 2 4 2 4 4 2" xfId="9629" xr:uid="{00000000-0005-0000-0000-00002D150000}"/>
    <cellStyle name="Normal 2 2 4 2 4 4_SSL" xfId="16899" xr:uid="{00000000-0005-0000-0000-00002E150000}"/>
    <cellStyle name="Normal 2 2 4 2 4 5" xfId="3805" xr:uid="{00000000-0005-0000-0000-00002F150000}"/>
    <cellStyle name="Normal 2 2 4 2 4 5 2" xfId="10445" xr:uid="{00000000-0005-0000-0000-000030150000}"/>
    <cellStyle name="Normal 2 2 4 2 4 5_SSL" xfId="16523" xr:uid="{00000000-0005-0000-0000-000031150000}"/>
    <cellStyle name="Normal 2 2 4 2 4 6" xfId="4616" xr:uid="{00000000-0005-0000-0000-000032150000}"/>
    <cellStyle name="Normal 2 2 4 2 4 6 2" xfId="11255" xr:uid="{00000000-0005-0000-0000-000033150000}"/>
    <cellStyle name="Normal 2 2 4 2 4 6_SSL" xfId="15142" xr:uid="{00000000-0005-0000-0000-000034150000}"/>
    <cellStyle name="Normal 2 2 4 2 4 7" xfId="5426" xr:uid="{00000000-0005-0000-0000-000035150000}"/>
    <cellStyle name="Normal 2 2 4 2 4 7 2" xfId="12064" xr:uid="{00000000-0005-0000-0000-000036150000}"/>
    <cellStyle name="Normal 2 2 4 2 4 7_SSL" xfId="12983" xr:uid="{00000000-0005-0000-0000-000037150000}"/>
    <cellStyle name="Normal 2 2 4 2 4 8" xfId="7355" xr:uid="{00000000-0005-0000-0000-000038150000}"/>
    <cellStyle name="Normal 2 2 4 2 4 9" xfId="6343" xr:uid="{00000000-0005-0000-0000-000039150000}"/>
    <cellStyle name="Normal 2 2 4 2 4_SSL" xfId="15266" xr:uid="{00000000-0005-0000-0000-00003A150000}"/>
    <cellStyle name="Normal 2 2 4 2 5" xfId="1338" xr:uid="{00000000-0005-0000-0000-00003B150000}"/>
    <cellStyle name="Normal 2 2 4 2 5 2" xfId="7993" xr:uid="{00000000-0005-0000-0000-00003C150000}"/>
    <cellStyle name="Normal 2 2 4 2 5_SSL" xfId="16991" xr:uid="{00000000-0005-0000-0000-00003D150000}"/>
    <cellStyle name="Normal 2 2 4 2 6" xfId="2158" xr:uid="{00000000-0005-0000-0000-00003E150000}"/>
    <cellStyle name="Normal 2 2 4 2 6 2" xfId="8806" xr:uid="{00000000-0005-0000-0000-00003F150000}"/>
    <cellStyle name="Normal 2 2 4 2 6_SSL" xfId="14136" xr:uid="{00000000-0005-0000-0000-000040150000}"/>
    <cellStyle name="Normal 2 2 4 2 7" xfId="2977" xr:uid="{00000000-0005-0000-0000-000041150000}"/>
    <cellStyle name="Normal 2 2 4 2 7 2" xfId="9622" xr:uid="{00000000-0005-0000-0000-000042150000}"/>
    <cellStyle name="Normal 2 2 4 2 7_SSL" xfId="12654" xr:uid="{00000000-0005-0000-0000-000043150000}"/>
    <cellStyle name="Normal 2 2 4 2 8" xfId="3798" xr:uid="{00000000-0005-0000-0000-000044150000}"/>
    <cellStyle name="Normal 2 2 4 2 8 2" xfId="10438" xr:uid="{00000000-0005-0000-0000-000045150000}"/>
    <cellStyle name="Normal 2 2 4 2 8_SSL" xfId="14659" xr:uid="{00000000-0005-0000-0000-000046150000}"/>
    <cellStyle name="Normal 2 2 4 2 9" xfId="4609" xr:uid="{00000000-0005-0000-0000-000047150000}"/>
    <cellStyle name="Normal 2 2 4 2 9 2" xfId="11248" xr:uid="{00000000-0005-0000-0000-000048150000}"/>
    <cellStyle name="Normal 2 2 4 2 9_SSL" xfId="15437" xr:uid="{00000000-0005-0000-0000-000049150000}"/>
    <cellStyle name="Normal 2 2 4 2_SSL" xfId="5999" xr:uid="{00000000-0005-0000-0000-00004A150000}"/>
    <cellStyle name="Normal 2 2 4 3" xfId="117" xr:uid="{00000000-0005-0000-0000-00004B150000}"/>
    <cellStyle name="Normal 2 2 4 3 10" xfId="5427" xr:uid="{00000000-0005-0000-0000-00004C150000}"/>
    <cellStyle name="Normal 2 2 4 3 10 2" xfId="12065" xr:uid="{00000000-0005-0000-0000-00004D150000}"/>
    <cellStyle name="Normal 2 2 4 3 10_SSL" xfId="13120" xr:uid="{00000000-0005-0000-0000-00004E150000}"/>
    <cellStyle name="Normal 2 2 4 3 11" xfId="6994" xr:uid="{00000000-0005-0000-0000-00004F150000}"/>
    <cellStyle name="Normal 2 2 4 3 12" xfId="6344" xr:uid="{00000000-0005-0000-0000-000050150000}"/>
    <cellStyle name="Normal 2 2 4 3 2" xfId="213" xr:uid="{00000000-0005-0000-0000-000051150000}"/>
    <cellStyle name="Normal 2 2 4 3 2 10" xfId="7090" xr:uid="{00000000-0005-0000-0000-000052150000}"/>
    <cellStyle name="Normal 2 2 4 3 2 11" xfId="6345" xr:uid="{00000000-0005-0000-0000-000053150000}"/>
    <cellStyle name="Normal 2 2 4 3 2 2" xfId="323" xr:uid="{00000000-0005-0000-0000-000054150000}"/>
    <cellStyle name="Normal 2 2 4 3 2 2 10" xfId="6346" xr:uid="{00000000-0005-0000-0000-000055150000}"/>
    <cellStyle name="Normal 2 2 4 3 2 2 2" xfId="711" xr:uid="{00000000-0005-0000-0000-000056150000}"/>
    <cellStyle name="Normal 2 2 4 3 2 2 2 2" xfId="1349" xr:uid="{00000000-0005-0000-0000-000057150000}"/>
    <cellStyle name="Normal 2 2 4 3 2 2 2 2 2" xfId="8004" xr:uid="{00000000-0005-0000-0000-000058150000}"/>
    <cellStyle name="Normal 2 2 4 3 2 2 2 2_SSL" xfId="17864" xr:uid="{00000000-0005-0000-0000-000059150000}"/>
    <cellStyle name="Normal 2 2 4 3 2 2 2 3" xfId="2169" xr:uid="{00000000-0005-0000-0000-00005A150000}"/>
    <cellStyle name="Normal 2 2 4 3 2 2 2 3 2" xfId="8817" xr:uid="{00000000-0005-0000-0000-00005B150000}"/>
    <cellStyle name="Normal 2 2 4 3 2 2 2 3_SSL" xfId="12744" xr:uid="{00000000-0005-0000-0000-00005C150000}"/>
    <cellStyle name="Normal 2 2 4 3 2 2 2 4" xfId="2988" xr:uid="{00000000-0005-0000-0000-00005D150000}"/>
    <cellStyle name="Normal 2 2 4 3 2 2 2 4 2" xfId="9633" xr:uid="{00000000-0005-0000-0000-00005E150000}"/>
    <cellStyle name="Normal 2 2 4 3 2 2 2 4_SSL" xfId="16312" xr:uid="{00000000-0005-0000-0000-00005F150000}"/>
    <cellStyle name="Normal 2 2 4 3 2 2 2 5" xfId="3809" xr:uid="{00000000-0005-0000-0000-000060150000}"/>
    <cellStyle name="Normal 2 2 4 3 2 2 2 5 2" xfId="10449" xr:uid="{00000000-0005-0000-0000-000061150000}"/>
    <cellStyle name="Normal 2 2 4 3 2 2 2 5_SSL" xfId="13740" xr:uid="{00000000-0005-0000-0000-000062150000}"/>
    <cellStyle name="Normal 2 2 4 3 2 2 2 6" xfId="4620" xr:uid="{00000000-0005-0000-0000-000063150000}"/>
    <cellStyle name="Normal 2 2 4 3 2 2 2 6 2" xfId="11259" xr:uid="{00000000-0005-0000-0000-000064150000}"/>
    <cellStyle name="Normal 2 2 4 3 2 2 2 6_SSL" xfId="13016" xr:uid="{00000000-0005-0000-0000-000065150000}"/>
    <cellStyle name="Normal 2 2 4 3 2 2 2 7" xfId="5430" xr:uid="{00000000-0005-0000-0000-000066150000}"/>
    <cellStyle name="Normal 2 2 4 3 2 2 2 7 2" xfId="12068" xr:uid="{00000000-0005-0000-0000-000067150000}"/>
    <cellStyle name="Normal 2 2 4 3 2 2 2 7_SSL" xfId="15227" xr:uid="{00000000-0005-0000-0000-000068150000}"/>
    <cellStyle name="Normal 2 2 4 3 2 2 2 8" xfId="7567" xr:uid="{00000000-0005-0000-0000-000069150000}"/>
    <cellStyle name="Normal 2 2 4 3 2 2 2 9" xfId="6347" xr:uid="{00000000-0005-0000-0000-00006A150000}"/>
    <cellStyle name="Normal 2 2 4 3 2 2 2_SSL" xfId="6850" xr:uid="{00000000-0005-0000-0000-00006B150000}"/>
    <cellStyle name="Normal 2 2 4 3 2 2 3" xfId="1348" xr:uid="{00000000-0005-0000-0000-00006C150000}"/>
    <cellStyle name="Normal 2 2 4 3 2 2 3 2" xfId="8003" xr:uid="{00000000-0005-0000-0000-00006D150000}"/>
    <cellStyle name="Normal 2 2 4 3 2 2 3_SSL" xfId="17058" xr:uid="{00000000-0005-0000-0000-00006E150000}"/>
    <cellStyle name="Normal 2 2 4 3 2 2 4" xfId="2168" xr:uid="{00000000-0005-0000-0000-00006F150000}"/>
    <cellStyle name="Normal 2 2 4 3 2 2 4 2" xfId="8816" xr:uid="{00000000-0005-0000-0000-000070150000}"/>
    <cellStyle name="Normal 2 2 4 3 2 2 4_SSL" xfId="15862" xr:uid="{00000000-0005-0000-0000-000071150000}"/>
    <cellStyle name="Normal 2 2 4 3 2 2 5" xfId="2987" xr:uid="{00000000-0005-0000-0000-000072150000}"/>
    <cellStyle name="Normal 2 2 4 3 2 2 5 2" xfId="9632" xr:uid="{00000000-0005-0000-0000-000073150000}"/>
    <cellStyle name="Normal 2 2 4 3 2 2 5_SSL" xfId="17116" xr:uid="{00000000-0005-0000-0000-000074150000}"/>
    <cellStyle name="Normal 2 2 4 3 2 2 6" xfId="3808" xr:uid="{00000000-0005-0000-0000-000075150000}"/>
    <cellStyle name="Normal 2 2 4 3 2 2 6 2" xfId="10448" xr:uid="{00000000-0005-0000-0000-000076150000}"/>
    <cellStyle name="Normal 2 2 4 3 2 2 6_SSL" xfId="13714" xr:uid="{00000000-0005-0000-0000-000077150000}"/>
    <cellStyle name="Normal 2 2 4 3 2 2 7" xfId="4619" xr:uid="{00000000-0005-0000-0000-000078150000}"/>
    <cellStyle name="Normal 2 2 4 3 2 2 7 2" xfId="11258" xr:uid="{00000000-0005-0000-0000-000079150000}"/>
    <cellStyle name="Normal 2 2 4 3 2 2 7_SSL" xfId="15328" xr:uid="{00000000-0005-0000-0000-00007A150000}"/>
    <cellStyle name="Normal 2 2 4 3 2 2 8" xfId="5429" xr:uid="{00000000-0005-0000-0000-00007B150000}"/>
    <cellStyle name="Normal 2 2 4 3 2 2 8 2" xfId="12067" xr:uid="{00000000-0005-0000-0000-00007C150000}"/>
    <cellStyle name="Normal 2 2 4 3 2 2 8_SSL" xfId="14636" xr:uid="{00000000-0005-0000-0000-00007D150000}"/>
    <cellStyle name="Normal 2 2 4 3 2 2 9" xfId="7183" xr:uid="{00000000-0005-0000-0000-00007E150000}"/>
    <cellStyle name="Normal 2 2 4 3 2 2_SSL" xfId="12738" xr:uid="{00000000-0005-0000-0000-00007F150000}"/>
    <cellStyle name="Normal 2 2 4 3 2 3" xfId="618" xr:uid="{00000000-0005-0000-0000-000080150000}"/>
    <cellStyle name="Normal 2 2 4 3 2 3 2" xfId="1350" xr:uid="{00000000-0005-0000-0000-000081150000}"/>
    <cellStyle name="Normal 2 2 4 3 2 3 2 2" xfId="8005" xr:uid="{00000000-0005-0000-0000-000082150000}"/>
    <cellStyle name="Normal 2 2 4 3 2 3 2_SSL" xfId="15482" xr:uid="{00000000-0005-0000-0000-000083150000}"/>
    <cellStyle name="Normal 2 2 4 3 2 3 3" xfId="2170" xr:uid="{00000000-0005-0000-0000-000084150000}"/>
    <cellStyle name="Normal 2 2 4 3 2 3 3 2" xfId="8818" xr:uid="{00000000-0005-0000-0000-000085150000}"/>
    <cellStyle name="Normal 2 2 4 3 2 3 3_SSL" xfId="13610" xr:uid="{00000000-0005-0000-0000-000086150000}"/>
    <cellStyle name="Normal 2 2 4 3 2 3 4" xfId="2989" xr:uid="{00000000-0005-0000-0000-000087150000}"/>
    <cellStyle name="Normal 2 2 4 3 2 3 4 2" xfId="9634" xr:uid="{00000000-0005-0000-0000-000088150000}"/>
    <cellStyle name="Normal 2 2 4 3 2 3 4_SSL" xfId="13258" xr:uid="{00000000-0005-0000-0000-000089150000}"/>
    <cellStyle name="Normal 2 2 4 3 2 3 5" xfId="3810" xr:uid="{00000000-0005-0000-0000-00008A150000}"/>
    <cellStyle name="Normal 2 2 4 3 2 3 5 2" xfId="10450" xr:uid="{00000000-0005-0000-0000-00008B150000}"/>
    <cellStyle name="Normal 2 2 4 3 2 3 5_SSL" xfId="17110" xr:uid="{00000000-0005-0000-0000-00008C150000}"/>
    <cellStyle name="Normal 2 2 4 3 2 3 6" xfId="4621" xr:uid="{00000000-0005-0000-0000-00008D150000}"/>
    <cellStyle name="Normal 2 2 4 3 2 3 6 2" xfId="11260" xr:uid="{00000000-0005-0000-0000-00008E150000}"/>
    <cellStyle name="Normal 2 2 4 3 2 3 6_SSL" xfId="13125" xr:uid="{00000000-0005-0000-0000-00008F150000}"/>
    <cellStyle name="Normal 2 2 4 3 2 3 7" xfId="5431" xr:uid="{00000000-0005-0000-0000-000090150000}"/>
    <cellStyle name="Normal 2 2 4 3 2 3 7 2" xfId="12069" xr:uid="{00000000-0005-0000-0000-000091150000}"/>
    <cellStyle name="Normal 2 2 4 3 2 3 7_SSL" xfId="14854" xr:uid="{00000000-0005-0000-0000-000092150000}"/>
    <cellStyle name="Normal 2 2 4 3 2 3 8" xfId="7474" xr:uid="{00000000-0005-0000-0000-000093150000}"/>
    <cellStyle name="Normal 2 2 4 3 2 3 9" xfId="6348" xr:uid="{00000000-0005-0000-0000-000094150000}"/>
    <cellStyle name="Normal 2 2 4 3 2 3_SSL" xfId="12683" xr:uid="{00000000-0005-0000-0000-000095150000}"/>
    <cellStyle name="Normal 2 2 4 3 2 4" xfId="1347" xr:uid="{00000000-0005-0000-0000-000096150000}"/>
    <cellStyle name="Normal 2 2 4 3 2 4 2" xfId="8002" xr:uid="{00000000-0005-0000-0000-000097150000}"/>
    <cellStyle name="Normal 2 2 4 3 2 4_SSL" xfId="15589" xr:uid="{00000000-0005-0000-0000-000098150000}"/>
    <cellStyle name="Normal 2 2 4 3 2 5" xfId="2167" xr:uid="{00000000-0005-0000-0000-000099150000}"/>
    <cellStyle name="Normal 2 2 4 3 2 5 2" xfId="8815" xr:uid="{00000000-0005-0000-0000-00009A150000}"/>
    <cellStyle name="Normal 2 2 4 3 2 5_SSL" xfId="16152" xr:uid="{00000000-0005-0000-0000-00009B150000}"/>
    <cellStyle name="Normal 2 2 4 3 2 6" xfId="2986" xr:uid="{00000000-0005-0000-0000-00009C150000}"/>
    <cellStyle name="Normal 2 2 4 3 2 6 2" xfId="9631" xr:uid="{00000000-0005-0000-0000-00009D150000}"/>
    <cellStyle name="Normal 2 2 4 3 2 6_SSL" xfId="16246" xr:uid="{00000000-0005-0000-0000-00009E150000}"/>
    <cellStyle name="Normal 2 2 4 3 2 7" xfId="3807" xr:uid="{00000000-0005-0000-0000-00009F150000}"/>
    <cellStyle name="Normal 2 2 4 3 2 7 2" xfId="10447" xr:uid="{00000000-0005-0000-0000-0000A0150000}"/>
    <cellStyle name="Normal 2 2 4 3 2 7_SSL" xfId="13037" xr:uid="{00000000-0005-0000-0000-0000A1150000}"/>
    <cellStyle name="Normal 2 2 4 3 2 8" xfId="4618" xr:uid="{00000000-0005-0000-0000-0000A2150000}"/>
    <cellStyle name="Normal 2 2 4 3 2 8 2" xfId="11257" xr:uid="{00000000-0005-0000-0000-0000A3150000}"/>
    <cellStyle name="Normal 2 2 4 3 2 8_SSL" xfId="13958" xr:uid="{00000000-0005-0000-0000-0000A4150000}"/>
    <cellStyle name="Normal 2 2 4 3 2 9" xfId="5428" xr:uid="{00000000-0005-0000-0000-0000A5150000}"/>
    <cellStyle name="Normal 2 2 4 3 2 9 2" xfId="12066" xr:uid="{00000000-0005-0000-0000-0000A6150000}"/>
    <cellStyle name="Normal 2 2 4 3 2 9_SSL" xfId="16250" xr:uid="{00000000-0005-0000-0000-0000A7150000}"/>
    <cellStyle name="Normal 2 2 4 3 2_SSL" xfId="14393" xr:uid="{00000000-0005-0000-0000-0000A8150000}"/>
    <cellStyle name="Normal 2 2 4 3 3" xfId="322" xr:uid="{00000000-0005-0000-0000-0000A9150000}"/>
    <cellStyle name="Normal 2 2 4 3 3 10" xfId="6349" xr:uid="{00000000-0005-0000-0000-0000AA150000}"/>
    <cellStyle name="Normal 2 2 4 3 3 2" xfId="710" xr:uid="{00000000-0005-0000-0000-0000AB150000}"/>
    <cellStyle name="Normal 2 2 4 3 3 2 2" xfId="1352" xr:uid="{00000000-0005-0000-0000-0000AC150000}"/>
    <cellStyle name="Normal 2 2 4 3 3 2 2 2" xfId="8007" xr:uid="{00000000-0005-0000-0000-0000AD150000}"/>
    <cellStyle name="Normal 2 2 4 3 3 2 2_SSL" xfId="14851" xr:uid="{00000000-0005-0000-0000-0000AE150000}"/>
    <cellStyle name="Normal 2 2 4 3 3 2 3" xfId="2172" xr:uid="{00000000-0005-0000-0000-0000AF150000}"/>
    <cellStyle name="Normal 2 2 4 3 3 2 3 2" xfId="8820" xr:uid="{00000000-0005-0000-0000-0000B0150000}"/>
    <cellStyle name="Normal 2 2 4 3 3 2 3_SSL" xfId="17338" xr:uid="{00000000-0005-0000-0000-0000B1150000}"/>
    <cellStyle name="Normal 2 2 4 3 3 2 4" xfId="2991" xr:uid="{00000000-0005-0000-0000-0000B2150000}"/>
    <cellStyle name="Normal 2 2 4 3 3 2 4 2" xfId="9636" xr:uid="{00000000-0005-0000-0000-0000B3150000}"/>
    <cellStyle name="Normal 2 2 4 3 3 2 4_SSL" xfId="17415" xr:uid="{00000000-0005-0000-0000-0000B4150000}"/>
    <cellStyle name="Normal 2 2 4 3 3 2 5" xfId="3812" xr:uid="{00000000-0005-0000-0000-0000B5150000}"/>
    <cellStyle name="Normal 2 2 4 3 3 2 5 2" xfId="10452" xr:uid="{00000000-0005-0000-0000-0000B6150000}"/>
    <cellStyle name="Normal 2 2 4 3 3 2 5_SSL" xfId="12973" xr:uid="{00000000-0005-0000-0000-0000B7150000}"/>
    <cellStyle name="Normal 2 2 4 3 3 2 6" xfId="4623" xr:uid="{00000000-0005-0000-0000-0000B8150000}"/>
    <cellStyle name="Normal 2 2 4 3 3 2 6 2" xfId="11262" xr:uid="{00000000-0005-0000-0000-0000B9150000}"/>
    <cellStyle name="Normal 2 2 4 3 3 2 6_SSL" xfId="13845" xr:uid="{00000000-0005-0000-0000-0000BA150000}"/>
    <cellStyle name="Normal 2 2 4 3 3 2 7" xfId="5433" xr:uid="{00000000-0005-0000-0000-0000BB150000}"/>
    <cellStyle name="Normal 2 2 4 3 3 2 7 2" xfId="12071" xr:uid="{00000000-0005-0000-0000-0000BC150000}"/>
    <cellStyle name="Normal 2 2 4 3 3 2 7_SSL" xfId="13741" xr:uid="{00000000-0005-0000-0000-0000BD150000}"/>
    <cellStyle name="Normal 2 2 4 3 3 2 8" xfId="7566" xr:uid="{00000000-0005-0000-0000-0000BE150000}"/>
    <cellStyle name="Normal 2 2 4 3 3 2 9" xfId="6350" xr:uid="{00000000-0005-0000-0000-0000BF150000}"/>
    <cellStyle name="Normal 2 2 4 3 3 2_SSL" xfId="16363" xr:uid="{00000000-0005-0000-0000-0000C0150000}"/>
    <cellStyle name="Normal 2 2 4 3 3 3" xfId="1351" xr:uid="{00000000-0005-0000-0000-0000C1150000}"/>
    <cellStyle name="Normal 2 2 4 3 3 3 2" xfId="8006" xr:uid="{00000000-0005-0000-0000-0000C2150000}"/>
    <cellStyle name="Normal 2 2 4 3 3 3_SSL" xfId="15152" xr:uid="{00000000-0005-0000-0000-0000C3150000}"/>
    <cellStyle name="Normal 2 2 4 3 3 4" xfId="2171" xr:uid="{00000000-0005-0000-0000-0000C4150000}"/>
    <cellStyle name="Normal 2 2 4 3 3 4 2" xfId="8819" xr:uid="{00000000-0005-0000-0000-0000C5150000}"/>
    <cellStyle name="Normal 2 2 4 3 3 4_SSL" xfId="14363" xr:uid="{00000000-0005-0000-0000-0000C6150000}"/>
    <cellStyle name="Normal 2 2 4 3 3 5" xfId="2990" xr:uid="{00000000-0005-0000-0000-0000C7150000}"/>
    <cellStyle name="Normal 2 2 4 3 3 5 2" xfId="9635" xr:uid="{00000000-0005-0000-0000-0000C8150000}"/>
    <cellStyle name="Normal 2 2 4 3 3 5_SSL" xfId="14349" xr:uid="{00000000-0005-0000-0000-0000C9150000}"/>
    <cellStyle name="Normal 2 2 4 3 3 6" xfId="3811" xr:uid="{00000000-0005-0000-0000-0000CA150000}"/>
    <cellStyle name="Normal 2 2 4 3 3 6 2" xfId="10451" xr:uid="{00000000-0005-0000-0000-0000CB150000}"/>
    <cellStyle name="Normal 2 2 4 3 3 6_SSL" xfId="14201" xr:uid="{00000000-0005-0000-0000-0000CC150000}"/>
    <cellStyle name="Normal 2 2 4 3 3 7" xfId="4622" xr:uid="{00000000-0005-0000-0000-0000CD150000}"/>
    <cellStyle name="Normal 2 2 4 3 3 7 2" xfId="11261" xr:uid="{00000000-0005-0000-0000-0000CE150000}"/>
    <cellStyle name="Normal 2 2 4 3 3 7_SSL" xfId="15510" xr:uid="{00000000-0005-0000-0000-0000CF150000}"/>
    <cellStyle name="Normal 2 2 4 3 3 8" xfId="5432" xr:uid="{00000000-0005-0000-0000-0000D0150000}"/>
    <cellStyle name="Normal 2 2 4 3 3 8 2" xfId="12070" xr:uid="{00000000-0005-0000-0000-0000D1150000}"/>
    <cellStyle name="Normal 2 2 4 3 3 8_SSL" xfId="17842" xr:uid="{00000000-0005-0000-0000-0000D2150000}"/>
    <cellStyle name="Normal 2 2 4 3 3 9" xfId="7182" xr:uid="{00000000-0005-0000-0000-0000D3150000}"/>
    <cellStyle name="Normal 2 2 4 3 3_SSL" xfId="15991" xr:uid="{00000000-0005-0000-0000-0000D4150000}"/>
    <cellStyle name="Normal 2 2 4 3 4" xfId="522" xr:uid="{00000000-0005-0000-0000-0000D5150000}"/>
    <cellStyle name="Normal 2 2 4 3 4 2" xfId="1353" xr:uid="{00000000-0005-0000-0000-0000D6150000}"/>
    <cellStyle name="Normal 2 2 4 3 4 2 2" xfId="8008" xr:uid="{00000000-0005-0000-0000-0000D7150000}"/>
    <cellStyle name="Normal 2 2 4 3 4 2_SSL" xfId="13129" xr:uid="{00000000-0005-0000-0000-0000D8150000}"/>
    <cellStyle name="Normal 2 2 4 3 4 3" xfId="2173" xr:uid="{00000000-0005-0000-0000-0000D9150000}"/>
    <cellStyle name="Normal 2 2 4 3 4 3 2" xfId="8821" xr:uid="{00000000-0005-0000-0000-0000DA150000}"/>
    <cellStyle name="Normal 2 2 4 3 4 3_SSL" xfId="15098" xr:uid="{00000000-0005-0000-0000-0000DB150000}"/>
    <cellStyle name="Normal 2 2 4 3 4 4" xfId="2992" xr:uid="{00000000-0005-0000-0000-0000DC150000}"/>
    <cellStyle name="Normal 2 2 4 3 4 4 2" xfId="9637" xr:uid="{00000000-0005-0000-0000-0000DD150000}"/>
    <cellStyle name="Normal 2 2 4 3 4 4_SSL" xfId="15984" xr:uid="{00000000-0005-0000-0000-0000DE150000}"/>
    <cellStyle name="Normal 2 2 4 3 4 5" xfId="3813" xr:uid="{00000000-0005-0000-0000-0000DF150000}"/>
    <cellStyle name="Normal 2 2 4 3 4 5 2" xfId="10453" xr:uid="{00000000-0005-0000-0000-0000E0150000}"/>
    <cellStyle name="Normal 2 2 4 3 4 5_SSL" xfId="13793" xr:uid="{00000000-0005-0000-0000-0000E1150000}"/>
    <cellStyle name="Normal 2 2 4 3 4 6" xfId="4624" xr:uid="{00000000-0005-0000-0000-0000E2150000}"/>
    <cellStyle name="Normal 2 2 4 3 4 6 2" xfId="11263" xr:uid="{00000000-0005-0000-0000-0000E3150000}"/>
    <cellStyle name="Normal 2 2 4 3 4 6_SSL" xfId="12933" xr:uid="{00000000-0005-0000-0000-0000E4150000}"/>
    <cellStyle name="Normal 2 2 4 3 4 7" xfId="5434" xr:uid="{00000000-0005-0000-0000-0000E5150000}"/>
    <cellStyle name="Normal 2 2 4 3 4 7 2" xfId="12072" xr:uid="{00000000-0005-0000-0000-0000E6150000}"/>
    <cellStyle name="Normal 2 2 4 3 4 7_SSL" xfId="15995" xr:uid="{00000000-0005-0000-0000-0000E7150000}"/>
    <cellStyle name="Normal 2 2 4 3 4 8" xfId="7378" xr:uid="{00000000-0005-0000-0000-0000E8150000}"/>
    <cellStyle name="Normal 2 2 4 3 4 9" xfId="6351" xr:uid="{00000000-0005-0000-0000-0000E9150000}"/>
    <cellStyle name="Normal 2 2 4 3 4_SSL" xfId="6096" xr:uid="{00000000-0005-0000-0000-0000EA150000}"/>
    <cellStyle name="Normal 2 2 4 3 5" xfId="1346" xr:uid="{00000000-0005-0000-0000-0000EB150000}"/>
    <cellStyle name="Normal 2 2 4 3 5 2" xfId="8001" xr:uid="{00000000-0005-0000-0000-0000EC150000}"/>
    <cellStyle name="Normal 2 2 4 3 5_SSL" xfId="17408" xr:uid="{00000000-0005-0000-0000-0000ED150000}"/>
    <cellStyle name="Normal 2 2 4 3 6" xfId="2166" xr:uid="{00000000-0005-0000-0000-0000EE150000}"/>
    <cellStyle name="Normal 2 2 4 3 6 2" xfId="8814" xr:uid="{00000000-0005-0000-0000-0000EF150000}"/>
    <cellStyle name="Normal 2 2 4 3 6_SSL" xfId="13736" xr:uid="{00000000-0005-0000-0000-0000F0150000}"/>
    <cellStyle name="Normal 2 2 4 3 7" xfId="2985" xr:uid="{00000000-0005-0000-0000-0000F1150000}"/>
    <cellStyle name="Normal 2 2 4 3 7 2" xfId="9630" xr:uid="{00000000-0005-0000-0000-0000F2150000}"/>
    <cellStyle name="Normal 2 2 4 3 7_SSL" xfId="13228" xr:uid="{00000000-0005-0000-0000-0000F3150000}"/>
    <cellStyle name="Normal 2 2 4 3 8" xfId="3806" xr:uid="{00000000-0005-0000-0000-0000F4150000}"/>
    <cellStyle name="Normal 2 2 4 3 8 2" xfId="10446" xr:uid="{00000000-0005-0000-0000-0000F5150000}"/>
    <cellStyle name="Normal 2 2 4 3 8_SSL" xfId="14745" xr:uid="{00000000-0005-0000-0000-0000F6150000}"/>
    <cellStyle name="Normal 2 2 4 3 9" xfId="4617" xr:uid="{00000000-0005-0000-0000-0000F7150000}"/>
    <cellStyle name="Normal 2 2 4 3 9 2" xfId="11256" xr:uid="{00000000-0005-0000-0000-0000F8150000}"/>
    <cellStyle name="Normal 2 2 4 3 9_SSL" xfId="14396" xr:uid="{00000000-0005-0000-0000-0000F9150000}"/>
    <cellStyle name="Normal 2 2 4 3_SSL" xfId="14220" xr:uid="{00000000-0005-0000-0000-0000FA150000}"/>
    <cellStyle name="Normal 2 2 4 4" xfId="142" xr:uid="{00000000-0005-0000-0000-0000FB150000}"/>
    <cellStyle name="Normal 2 2 4 4 10" xfId="7019" xr:uid="{00000000-0005-0000-0000-0000FC150000}"/>
    <cellStyle name="Normal 2 2 4 4 11" xfId="6352" xr:uid="{00000000-0005-0000-0000-0000FD150000}"/>
    <cellStyle name="Normal 2 2 4 4 2" xfId="324" xr:uid="{00000000-0005-0000-0000-0000FE150000}"/>
    <cellStyle name="Normal 2 2 4 4 2 10" xfId="6353" xr:uid="{00000000-0005-0000-0000-0000FF150000}"/>
    <cellStyle name="Normal 2 2 4 4 2 2" xfId="712" xr:uid="{00000000-0005-0000-0000-000000160000}"/>
    <cellStyle name="Normal 2 2 4 4 2 2 2" xfId="1356" xr:uid="{00000000-0005-0000-0000-000001160000}"/>
    <cellStyle name="Normal 2 2 4 4 2 2 2 2" xfId="8011" xr:uid="{00000000-0005-0000-0000-000002160000}"/>
    <cellStyle name="Normal 2 2 4 4 2 2 2_SSL" xfId="16145" xr:uid="{00000000-0005-0000-0000-000003160000}"/>
    <cellStyle name="Normal 2 2 4 4 2 2 3" xfId="2176" xr:uid="{00000000-0005-0000-0000-000004160000}"/>
    <cellStyle name="Normal 2 2 4 4 2 2 3 2" xfId="8824" xr:uid="{00000000-0005-0000-0000-000005160000}"/>
    <cellStyle name="Normal 2 2 4 4 2 2 3_SSL" xfId="17900" xr:uid="{00000000-0005-0000-0000-000006160000}"/>
    <cellStyle name="Normal 2 2 4 4 2 2 4" xfId="2995" xr:uid="{00000000-0005-0000-0000-000007160000}"/>
    <cellStyle name="Normal 2 2 4 4 2 2 4 2" xfId="9640" xr:uid="{00000000-0005-0000-0000-000008160000}"/>
    <cellStyle name="Normal 2 2 4 4 2 2 4_SSL" xfId="15436" xr:uid="{00000000-0005-0000-0000-000009160000}"/>
    <cellStyle name="Normal 2 2 4 4 2 2 5" xfId="3816" xr:uid="{00000000-0005-0000-0000-00000A160000}"/>
    <cellStyle name="Normal 2 2 4 4 2 2 5 2" xfId="10456" xr:uid="{00000000-0005-0000-0000-00000B160000}"/>
    <cellStyle name="Normal 2 2 4 4 2 2 5_SSL" xfId="17876" xr:uid="{00000000-0005-0000-0000-00000C160000}"/>
    <cellStyle name="Normal 2 2 4 4 2 2 6" xfId="4627" xr:uid="{00000000-0005-0000-0000-00000D160000}"/>
    <cellStyle name="Normal 2 2 4 4 2 2 6 2" xfId="11266" xr:uid="{00000000-0005-0000-0000-00000E160000}"/>
    <cellStyle name="Normal 2 2 4 4 2 2 6_SSL" xfId="15318" xr:uid="{00000000-0005-0000-0000-00000F160000}"/>
    <cellStyle name="Normal 2 2 4 4 2 2 7" xfId="5437" xr:uid="{00000000-0005-0000-0000-000010160000}"/>
    <cellStyle name="Normal 2 2 4 4 2 2 7 2" xfId="12075" xr:uid="{00000000-0005-0000-0000-000011160000}"/>
    <cellStyle name="Normal 2 2 4 4 2 2 7_SSL" xfId="17254" xr:uid="{00000000-0005-0000-0000-000012160000}"/>
    <cellStyle name="Normal 2 2 4 4 2 2 8" xfId="7568" xr:uid="{00000000-0005-0000-0000-000013160000}"/>
    <cellStyle name="Normal 2 2 4 4 2 2 9" xfId="6354" xr:uid="{00000000-0005-0000-0000-000014160000}"/>
    <cellStyle name="Normal 2 2 4 4 2 2_SSL" xfId="13394" xr:uid="{00000000-0005-0000-0000-000015160000}"/>
    <cellStyle name="Normal 2 2 4 4 2 3" xfId="1355" xr:uid="{00000000-0005-0000-0000-000016160000}"/>
    <cellStyle name="Normal 2 2 4 4 2 3 2" xfId="8010" xr:uid="{00000000-0005-0000-0000-000017160000}"/>
    <cellStyle name="Normal 2 2 4 4 2 3_SSL" xfId="13276" xr:uid="{00000000-0005-0000-0000-000018160000}"/>
    <cellStyle name="Normal 2 2 4 4 2 4" xfId="2175" xr:uid="{00000000-0005-0000-0000-000019160000}"/>
    <cellStyle name="Normal 2 2 4 4 2 4 2" xfId="8823" xr:uid="{00000000-0005-0000-0000-00001A160000}"/>
    <cellStyle name="Normal 2 2 4 4 2 4_SSL" xfId="13921" xr:uid="{00000000-0005-0000-0000-00001B160000}"/>
    <cellStyle name="Normal 2 2 4 4 2 5" xfId="2994" xr:uid="{00000000-0005-0000-0000-00001C160000}"/>
    <cellStyle name="Normal 2 2 4 4 2 5 2" xfId="9639" xr:uid="{00000000-0005-0000-0000-00001D160000}"/>
    <cellStyle name="Normal 2 2 4 4 2 5_SSL" xfId="14056" xr:uid="{00000000-0005-0000-0000-00001E160000}"/>
    <cellStyle name="Normal 2 2 4 4 2 6" xfId="3815" xr:uid="{00000000-0005-0000-0000-00001F160000}"/>
    <cellStyle name="Normal 2 2 4 4 2 6 2" xfId="10455" xr:uid="{00000000-0005-0000-0000-000020160000}"/>
    <cellStyle name="Normal 2 2 4 4 2 6_SSL" xfId="15965" xr:uid="{00000000-0005-0000-0000-000021160000}"/>
    <cellStyle name="Normal 2 2 4 4 2 7" xfId="4626" xr:uid="{00000000-0005-0000-0000-000022160000}"/>
    <cellStyle name="Normal 2 2 4 4 2 7 2" xfId="11265" xr:uid="{00000000-0005-0000-0000-000023160000}"/>
    <cellStyle name="Normal 2 2 4 4 2 7_SSL" xfId="14313" xr:uid="{00000000-0005-0000-0000-000024160000}"/>
    <cellStyle name="Normal 2 2 4 4 2 8" xfId="5436" xr:uid="{00000000-0005-0000-0000-000025160000}"/>
    <cellStyle name="Normal 2 2 4 4 2 8 2" xfId="12074" xr:uid="{00000000-0005-0000-0000-000026160000}"/>
    <cellStyle name="Normal 2 2 4 4 2 8_SSL" xfId="16888" xr:uid="{00000000-0005-0000-0000-000027160000}"/>
    <cellStyle name="Normal 2 2 4 4 2 9" xfId="7184" xr:uid="{00000000-0005-0000-0000-000028160000}"/>
    <cellStyle name="Normal 2 2 4 4 2_SSL" xfId="16725" xr:uid="{00000000-0005-0000-0000-000029160000}"/>
    <cellStyle name="Normal 2 2 4 4 3" xfId="547" xr:uid="{00000000-0005-0000-0000-00002A160000}"/>
    <cellStyle name="Normal 2 2 4 4 3 2" xfId="1357" xr:uid="{00000000-0005-0000-0000-00002B160000}"/>
    <cellStyle name="Normal 2 2 4 4 3 2 2" xfId="8012" xr:uid="{00000000-0005-0000-0000-00002C160000}"/>
    <cellStyle name="Normal 2 2 4 4 3 2_SSL" xfId="16189" xr:uid="{00000000-0005-0000-0000-00002D160000}"/>
    <cellStyle name="Normal 2 2 4 4 3 3" xfId="2177" xr:uid="{00000000-0005-0000-0000-00002E160000}"/>
    <cellStyle name="Normal 2 2 4 4 3 3 2" xfId="8825" xr:uid="{00000000-0005-0000-0000-00002F160000}"/>
    <cellStyle name="Normal 2 2 4 4 3 3_SSL" xfId="17118" xr:uid="{00000000-0005-0000-0000-000030160000}"/>
    <cellStyle name="Normal 2 2 4 4 3 4" xfId="2996" xr:uid="{00000000-0005-0000-0000-000031160000}"/>
    <cellStyle name="Normal 2 2 4 4 3 4 2" xfId="9641" xr:uid="{00000000-0005-0000-0000-000032160000}"/>
    <cellStyle name="Normal 2 2 4 4 3 4_SSL" xfId="16583" xr:uid="{00000000-0005-0000-0000-000033160000}"/>
    <cellStyle name="Normal 2 2 4 4 3 5" xfId="3817" xr:uid="{00000000-0005-0000-0000-000034160000}"/>
    <cellStyle name="Normal 2 2 4 4 3 5 2" xfId="10457" xr:uid="{00000000-0005-0000-0000-000035160000}"/>
    <cellStyle name="Normal 2 2 4 4 3 5_SSL" xfId="15531" xr:uid="{00000000-0005-0000-0000-000036160000}"/>
    <cellStyle name="Normal 2 2 4 4 3 6" xfId="4628" xr:uid="{00000000-0005-0000-0000-000037160000}"/>
    <cellStyle name="Normal 2 2 4 4 3 6 2" xfId="11267" xr:uid="{00000000-0005-0000-0000-000038160000}"/>
    <cellStyle name="Normal 2 2 4 4 3 6_SSL" xfId="12723" xr:uid="{00000000-0005-0000-0000-000039160000}"/>
    <cellStyle name="Normal 2 2 4 4 3 7" xfId="5438" xr:uid="{00000000-0005-0000-0000-00003A160000}"/>
    <cellStyle name="Normal 2 2 4 4 3 7 2" xfId="12076" xr:uid="{00000000-0005-0000-0000-00003B160000}"/>
    <cellStyle name="Normal 2 2 4 4 3 7_SSL" xfId="16005" xr:uid="{00000000-0005-0000-0000-00003C160000}"/>
    <cellStyle name="Normal 2 2 4 4 3 8" xfId="7403" xr:uid="{00000000-0005-0000-0000-00003D160000}"/>
    <cellStyle name="Normal 2 2 4 4 3 9" xfId="6355" xr:uid="{00000000-0005-0000-0000-00003E160000}"/>
    <cellStyle name="Normal 2 2 4 4 3_SSL" xfId="16733" xr:uid="{00000000-0005-0000-0000-00003F160000}"/>
    <cellStyle name="Normal 2 2 4 4 4" xfId="1354" xr:uid="{00000000-0005-0000-0000-000040160000}"/>
    <cellStyle name="Normal 2 2 4 4 4 2" xfId="8009" xr:uid="{00000000-0005-0000-0000-000041160000}"/>
    <cellStyle name="Normal 2 2 4 4 4_SSL" xfId="13530" xr:uid="{00000000-0005-0000-0000-000042160000}"/>
    <cellStyle name="Normal 2 2 4 4 5" xfId="2174" xr:uid="{00000000-0005-0000-0000-000043160000}"/>
    <cellStyle name="Normal 2 2 4 4 5 2" xfId="8822" xr:uid="{00000000-0005-0000-0000-000044160000}"/>
    <cellStyle name="Normal 2 2 4 4 5_SSL" xfId="14022" xr:uid="{00000000-0005-0000-0000-000045160000}"/>
    <cellStyle name="Normal 2 2 4 4 6" xfId="2993" xr:uid="{00000000-0005-0000-0000-000046160000}"/>
    <cellStyle name="Normal 2 2 4 4 6 2" xfId="9638" xr:uid="{00000000-0005-0000-0000-000047160000}"/>
    <cellStyle name="Normal 2 2 4 4 6_SSL" xfId="13878" xr:uid="{00000000-0005-0000-0000-000048160000}"/>
    <cellStyle name="Normal 2 2 4 4 7" xfId="3814" xr:uid="{00000000-0005-0000-0000-000049160000}"/>
    <cellStyle name="Normal 2 2 4 4 7 2" xfId="10454" xr:uid="{00000000-0005-0000-0000-00004A160000}"/>
    <cellStyle name="Normal 2 2 4 4 7_SSL" xfId="16495" xr:uid="{00000000-0005-0000-0000-00004B160000}"/>
    <cellStyle name="Normal 2 2 4 4 8" xfId="4625" xr:uid="{00000000-0005-0000-0000-00004C160000}"/>
    <cellStyle name="Normal 2 2 4 4 8 2" xfId="11264" xr:uid="{00000000-0005-0000-0000-00004D160000}"/>
    <cellStyle name="Normal 2 2 4 4 8_SSL" xfId="14600" xr:uid="{00000000-0005-0000-0000-00004E160000}"/>
    <cellStyle name="Normal 2 2 4 4 9" xfId="5435" xr:uid="{00000000-0005-0000-0000-00004F160000}"/>
    <cellStyle name="Normal 2 2 4 4 9 2" xfId="12073" xr:uid="{00000000-0005-0000-0000-000050160000}"/>
    <cellStyle name="Normal 2 2 4 4 9_SSL" xfId="14372" xr:uid="{00000000-0005-0000-0000-000051160000}"/>
    <cellStyle name="Normal 2 2 4 4_SSL" xfId="15449" xr:uid="{00000000-0005-0000-0000-000052160000}"/>
    <cellStyle name="Normal 2 2 4 5" xfId="167" xr:uid="{00000000-0005-0000-0000-000053160000}"/>
    <cellStyle name="Normal 2 2 4 5 10" xfId="7044" xr:uid="{00000000-0005-0000-0000-000054160000}"/>
    <cellStyle name="Normal 2 2 4 5 11" xfId="6356" xr:uid="{00000000-0005-0000-0000-000055160000}"/>
    <cellStyle name="Normal 2 2 4 5 2" xfId="325" xr:uid="{00000000-0005-0000-0000-000056160000}"/>
    <cellStyle name="Normal 2 2 4 5 2 10" xfId="6357" xr:uid="{00000000-0005-0000-0000-000057160000}"/>
    <cellStyle name="Normal 2 2 4 5 2 2" xfId="713" xr:uid="{00000000-0005-0000-0000-000058160000}"/>
    <cellStyle name="Normal 2 2 4 5 2 2 2" xfId="1360" xr:uid="{00000000-0005-0000-0000-000059160000}"/>
    <cellStyle name="Normal 2 2 4 5 2 2 2 2" xfId="8015" xr:uid="{00000000-0005-0000-0000-00005A160000}"/>
    <cellStyle name="Normal 2 2 4 5 2 2 2_SSL" xfId="16075" xr:uid="{00000000-0005-0000-0000-00005B160000}"/>
    <cellStyle name="Normal 2 2 4 5 2 2 3" xfId="2180" xr:uid="{00000000-0005-0000-0000-00005C160000}"/>
    <cellStyle name="Normal 2 2 4 5 2 2 3 2" xfId="8828" xr:uid="{00000000-0005-0000-0000-00005D160000}"/>
    <cellStyle name="Normal 2 2 4 5 2 2 3_SSL" xfId="13386" xr:uid="{00000000-0005-0000-0000-00005E160000}"/>
    <cellStyle name="Normal 2 2 4 5 2 2 4" xfId="2999" xr:uid="{00000000-0005-0000-0000-00005F160000}"/>
    <cellStyle name="Normal 2 2 4 5 2 2 4 2" xfId="9644" xr:uid="{00000000-0005-0000-0000-000060160000}"/>
    <cellStyle name="Normal 2 2 4 5 2 2 4_SSL" xfId="15332" xr:uid="{00000000-0005-0000-0000-000061160000}"/>
    <cellStyle name="Normal 2 2 4 5 2 2 5" xfId="3820" xr:uid="{00000000-0005-0000-0000-000062160000}"/>
    <cellStyle name="Normal 2 2 4 5 2 2 5 2" xfId="10460" xr:uid="{00000000-0005-0000-0000-000063160000}"/>
    <cellStyle name="Normal 2 2 4 5 2 2 5_SSL" xfId="17293" xr:uid="{00000000-0005-0000-0000-000064160000}"/>
    <cellStyle name="Normal 2 2 4 5 2 2 6" xfId="4631" xr:uid="{00000000-0005-0000-0000-000065160000}"/>
    <cellStyle name="Normal 2 2 4 5 2 2 6 2" xfId="11270" xr:uid="{00000000-0005-0000-0000-000066160000}"/>
    <cellStyle name="Normal 2 2 4 5 2 2 6_SSL" xfId="17592" xr:uid="{00000000-0005-0000-0000-000067160000}"/>
    <cellStyle name="Normal 2 2 4 5 2 2 7" xfId="5441" xr:uid="{00000000-0005-0000-0000-000068160000}"/>
    <cellStyle name="Normal 2 2 4 5 2 2 7 2" xfId="12079" xr:uid="{00000000-0005-0000-0000-000069160000}"/>
    <cellStyle name="Normal 2 2 4 5 2 2 7_SSL" xfId="15611" xr:uid="{00000000-0005-0000-0000-00006A160000}"/>
    <cellStyle name="Normal 2 2 4 5 2 2 8" xfId="7569" xr:uid="{00000000-0005-0000-0000-00006B160000}"/>
    <cellStyle name="Normal 2 2 4 5 2 2 9" xfId="6358" xr:uid="{00000000-0005-0000-0000-00006C160000}"/>
    <cellStyle name="Normal 2 2 4 5 2 2_SSL" xfId="17670" xr:uid="{00000000-0005-0000-0000-00006D160000}"/>
    <cellStyle name="Normal 2 2 4 5 2 3" xfId="1359" xr:uid="{00000000-0005-0000-0000-00006E160000}"/>
    <cellStyle name="Normal 2 2 4 5 2 3 2" xfId="8014" xr:uid="{00000000-0005-0000-0000-00006F160000}"/>
    <cellStyle name="Normal 2 2 4 5 2 3_SSL" xfId="17169" xr:uid="{00000000-0005-0000-0000-000070160000}"/>
    <cellStyle name="Normal 2 2 4 5 2 4" xfId="2179" xr:uid="{00000000-0005-0000-0000-000071160000}"/>
    <cellStyle name="Normal 2 2 4 5 2 4 2" xfId="8827" xr:uid="{00000000-0005-0000-0000-000072160000}"/>
    <cellStyle name="Normal 2 2 4 5 2 4_SSL" xfId="14767" xr:uid="{00000000-0005-0000-0000-000073160000}"/>
    <cellStyle name="Normal 2 2 4 5 2 5" xfId="2998" xr:uid="{00000000-0005-0000-0000-000074160000}"/>
    <cellStyle name="Normal 2 2 4 5 2 5 2" xfId="9643" xr:uid="{00000000-0005-0000-0000-000075160000}"/>
    <cellStyle name="Normal 2 2 4 5 2 5_SSL" xfId="15208" xr:uid="{00000000-0005-0000-0000-000076160000}"/>
    <cellStyle name="Normal 2 2 4 5 2 6" xfId="3819" xr:uid="{00000000-0005-0000-0000-000077160000}"/>
    <cellStyle name="Normal 2 2 4 5 2 6 2" xfId="10459" xr:uid="{00000000-0005-0000-0000-000078160000}"/>
    <cellStyle name="Normal 2 2 4 5 2 6_SSL" xfId="15918" xr:uid="{00000000-0005-0000-0000-000079160000}"/>
    <cellStyle name="Normal 2 2 4 5 2 7" xfId="4630" xr:uid="{00000000-0005-0000-0000-00007A160000}"/>
    <cellStyle name="Normal 2 2 4 5 2 7 2" xfId="11269" xr:uid="{00000000-0005-0000-0000-00007B160000}"/>
    <cellStyle name="Normal 2 2 4 5 2 7_SSL" xfId="14710" xr:uid="{00000000-0005-0000-0000-00007C160000}"/>
    <cellStyle name="Normal 2 2 4 5 2 8" xfId="5440" xr:uid="{00000000-0005-0000-0000-00007D160000}"/>
    <cellStyle name="Normal 2 2 4 5 2 8 2" xfId="12078" xr:uid="{00000000-0005-0000-0000-00007E160000}"/>
    <cellStyle name="Normal 2 2 4 5 2 8_SSL" xfId="14884" xr:uid="{00000000-0005-0000-0000-00007F160000}"/>
    <cellStyle name="Normal 2 2 4 5 2 9" xfId="7185" xr:uid="{00000000-0005-0000-0000-000080160000}"/>
    <cellStyle name="Normal 2 2 4 5 2_SSL" xfId="13745" xr:uid="{00000000-0005-0000-0000-000081160000}"/>
    <cellStyle name="Normal 2 2 4 5 3" xfId="572" xr:uid="{00000000-0005-0000-0000-000082160000}"/>
    <cellStyle name="Normal 2 2 4 5 3 2" xfId="1361" xr:uid="{00000000-0005-0000-0000-000083160000}"/>
    <cellStyle name="Normal 2 2 4 5 3 2 2" xfId="8016" xr:uid="{00000000-0005-0000-0000-000084160000}"/>
    <cellStyle name="Normal 2 2 4 5 3 2_SSL" xfId="13993" xr:uid="{00000000-0005-0000-0000-000085160000}"/>
    <cellStyle name="Normal 2 2 4 5 3 3" xfId="2181" xr:uid="{00000000-0005-0000-0000-000086160000}"/>
    <cellStyle name="Normal 2 2 4 5 3 3 2" xfId="8829" xr:uid="{00000000-0005-0000-0000-000087160000}"/>
    <cellStyle name="Normal 2 2 4 5 3 3_SSL" xfId="16686" xr:uid="{00000000-0005-0000-0000-000088160000}"/>
    <cellStyle name="Normal 2 2 4 5 3 4" xfId="3000" xr:uid="{00000000-0005-0000-0000-000089160000}"/>
    <cellStyle name="Normal 2 2 4 5 3 4 2" xfId="9645" xr:uid="{00000000-0005-0000-0000-00008A160000}"/>
    <cellStyle name="Normal 2 2 4 5 3 4_SSL" xfId="14283" xr:uid="{00000000-0005-0000-0000-00008B160000}"/>
    <cellStyle name="Normal 2 2 4 5 3 5" xfId="3821" xr:uid="{00000000-0005-0000-0000-00008C160000}"/>
    <cellStyle name="Normal 2 2 4 5 3 5 2" xfId="10461" xr:uid="{00000000-0005-0000-0000-00008D160000}"/>
    <cellStyle name="Normal 2 2 4 5 3 5_SSL" xfId="16914" xr:uid="{00000000-0005-0000-0000-00008E160000}"/>
    <cellStyle name="Normal 2 2 4 5 3 6" xfId="4632" xr:uid="{00000000-0005-0000-0000-00008F160000}"/>
    <cellStyle name="Normal 2 2 4 5 3 6 2" xfId="11271" xr:uid="{00000000-0005-0000-0000-000090160000}"/>
    <cellStyle name="Normal 2 2 4 5 3 6_SSL" xfId="13945" xr:uid="{00000000-0005-0000-0000-000091160000}"/>
    <cellStyle name="Normal 2 2 4 5 3 7" xfId="5442" xr:uid="{00000000-0005-0000-0000-000092160000}"/>
    <cellStyle name="Normal 2 2 4 5 3 7 2" xfId="12080" xr:uid="{00000000-0005-0000-0000-000093160000}"/>
    <cellStyle name="Normal 2 2 4 5 3 7_SSL" xfId="13393" xr:uid="{00000000-0005-0000-0000-000094160000}"/>
    <cellStyle name="Normal 2 2 4 5 3 8" xfId="7428" xr:uid="{00000000-0005-0000-0000-000095160000}"/>
    <cellStyle name="Normal 2 2 4 5 3 9" xfId="6359" xr:uid="{00000000-0005-0000-0000-000096160000}"/>
    <cellStyle name="Normal 2 2 4 5 3_SSL" xfId="13154" xr:uid="{00000000-0005-0000-0000-000097160000}"/>
    <cellStyle name="Normal 2 2 4 5 4" xfId="1358" xr:uid="{00000000-0005-0000-0000-000098160000}"/>
    <cellStyle name="Normal 2 2 4 5 4 2" xfId="8013" xr:uid="{00000000-0005-0000-0000-000099160000}"/>
    <cellStyle name="Normal 2 2 4 5 4_SSL" xfId="14696" xr:uid="{00000000-0005-0000-0000-00009A160000}"/>
    <cellStyle name="Normal 2 2 4 5 5" xfId="2178" xr:uid="{00000000-0005-0000-0000-00009B160000}"/>
    <cellStyle name="Normal 2 2 4 5 5 2" xfId="8826" xr:uid="{00000000-0005-0000-0000-00009C160000}"/>
    <cellStyle name="Normal 2 2 4 5 5_SSL" xfId="13033" xr:uid="{00000000-0005-0000-0000-00009D160000}"/>
    <cellStyle name="Normal 2 2 4 5 6" xfId="2997" xr:uid="{00000000-0005-0000-0000-00009E160000}"/>
    <cellStyle name="Normal 2 2 4 5 6 2" xfId="9642" xr:uid="{00000000-0005-0000-0000-00009F160000}"/>
    <cellStyle name="Normal 2 2 4 5 6_SSL" xfId="14143" xr:uid="{00000000-0005-0000-0000-0000A0160000}"/>
    <cellStyle name="Normal 2 2 4 5 7" xfId="3818" xr:uid="{00000000-0005-0000-0000-0000A1160000}"/>
    <cellStyle name="Normal 2 2 4 5 7 2" xfId="10458" xr:uid="{00000000-0005-0000-0000-0000A2160000}"/>
    <cellStyle name="Normal 2 2 4 5 7_SSL" xfId="16439" xr:uid="{00000000-0005-0000-0000-0000A3160000}"/>
    <cellStyle name="Normal 2 2 4 5 8" xfId="4629" xr:uid="{00000000-0005-0000-0000-0000A4160000}"/>
    <cellStyle name="Normal 2 2 4 5 8 2" xfId="11268" xr:uid="{00000000-0005-0000-0000-0000A5160000}"/>
    <cellStyle name="Normal 2 2 4 5 8_SSL" xfId="14081" xr:uid="{00000000-0005-0000-0000-0000A6160000}"/>
    <cellStyle name="Normal 2 2 4 5 9" xfId="5439" xr:uid="{00000000-0005-0000-0000-0000A7160000}"/>
    <cellStyle name="Normal 2 2 4 5 9 2" xfId="12077" xr:uid="{00000000-0005-0000-0000-0000A8160000}"/>
    <cellStyle name="Normal 2 2 4 5 9_SSL" xfId="16669" xr:uid="{00000000-0005-0000-0000-0000A9160000}"/>
    <cellStyle name="Normal 2 2 4 5_SSL" xfId="15584" xr:uid="{00000000-0005-0000-0000-0000AA160000}"/>
    <cellStyle name="Normal 2 2 4 6" xfId="238" xr:uid="{00000000-0005-0000-0000-0000AB160000}"/>
    <cellStyle name="Normal 2 2 4 6 10" xfId="7115" xr:uid="{00000000-0005-0000-0000-0000AC160000}"/>
    <cellStyle name="Normal 2 2 4 6 11" xfId="6360" xr:uid="{00000000-0005-0000-0000-0000AD160000}"/>
    <cellStyle name="Normal 2 2 4 6 2" xfId="326" xr:uid="{00000000-0005-0000-0000-0000AE160000}"/>
    <cellStyle name="Normal 2 2 4 6 2 10" xfId="6361" xr:uid="{00000000-0005-0000-0000-0000AF160000}"/>
    <cellStyle name="Normal 2 2 4 6 2 2" xfId="714" xr:uid="{00000000-0005-0000-0000-0000B0160000}"/>
    <cellStyle name="Normal 2 2 4 6 2 2 2" xfId="1364" xr:uid="{00000000-0005-0000-0000-0000B1160000}"/>
    <cellStyle name="Normal 2 2 4 6 2 2 2 2" xfId="8019" xr:uid="{00000000-0005-0000-0000-0000B2160000}"/>
    <cellStyle name="Normal 2 2 4 6 2 2 2_SSL" xfId="14452" xr:uid="{00000000-0005-0000-0000-0000B3160000}"/>
    <cellStyle name="Normal 2 2 4 6 2 2 3" xfId="2184" xr:uid="{00000000-0005-0000-0000-0000B4160000}"/>
    <cellStyle name="Normal 2 2 4 6 2 2 3 2" xfId="8832" xr:uid="{00000000-0005-0000-0000-0000B5160000}"/>
    <cellStyle name="Normal 2 2 4 6 2 2 3_SSL" xfId="17786" xr:uid="{00000000-0005-0000-0000-0000B6160000}"/>
    <cellStyle name="Normal 2 2 4 6 2 2 4" xfId="3003" xr:uid="{00000000-0005-0000-0000-0000B7160000}"/>
    <cellStyle name="Normal 2 2 4 6 2 2 4 2" xfId="9648" xr:uid="{00000000-0005-0000-0000-0000B8160000}"/>
    <cellStyle name="Normal 2 2 4 6 2 2 4_SSL" xfId="15182" xr:uid="{00000000-0005-0000-0000-0000B9160000}"/>
    <cellStyle name="Normal 2 2 4 6 2 2 5" xfId="3824" xr:uid="{00000000-0005-0000-0000-0000BA160000}"/>
    <cellStyle name="Normal 2 2 4 6 2 2 5 2" xfId="10464" xr:uid="{00000000-0005-0000-0000-0000BB160000}"/>
    <cellStyle name="Normal 2 2 4 6 2 2 5_SSL" xfId="16057" xr:uid="{00000000-0005-0000-0000-0000BC160000}"/>
    <cellStyle name="Normal 2 2 4 6 2 2 6" xfId="4635" xr:uid="{00000000-0005-0000-0000-0000BD160000}"/>
    <cellStyle name="Normal 2 2 4 6 2 2 6 2" xfId="11274" xr:uid="{00000000-0005-0000-0000-0000BE160000}"/>
    <cellStyle name="Normal 2 2 4 6 2 2 6_SSL" xfId="16977" xr:uid="{00000000-0005-0000-0000-0000BF160000}"/>
    <cellStyle name="Normal 2 2 4 6 2 2 7" xfId="5445" xr:uid="{00000000-0005-0000-0000-0000C0160000}"/>
    <cellStyle name="Normal 2 2 4 6 2 2 7 2" xfId="12083" xr:uid="{00000000-0005-0000-0000-0000C1160000}"/>
    <cellStyle name="Normal 2 2 4 6 2 2 7_SSL" xfId="14284" xr:uid="{00000000-0005-0000-0000-0000C2160000}"/>
    <cellStyle name="Normal 2 2 4 6 2 2 8" xfId="7570" xr:uid="{00000000-0005-0000-0000-0000C3160000}"/>
    <cellStyle name="Normal 2 2 4 6 2 2 9" xfId="6362" xr:uid="{00000000-0005-0000-0000-0000C4160000}"/>
    <cellStyle name="Normal 2 2 4 6 2 2_SSL" xfId="16641" xr:uid="{00000000-0005-0000-0000-0000C5160000}"/>
    <cellStyle name="Normal 2 2 4 6 2 3" xfId="1363" xr:uid="{00000000-0005-0000-0000-0000C6160000}"/>
    <cellStyle name="Normal 2 2 4 6 2 3 2" xfId="8018" xr:uid="{00000000-0005-0000-0000-0000C7160000}"/>
    <cellStyle name="Normal 2 2 4 6 2 3_SSL" xfId="13601" xr:uid="{00000000-0005-0000-0000-0000C8160000}"/>
    <cellStyle name="Normal 2 2 4 6 2 4" xfId="2183" xr:uid="{00000000-0005-0000-0000-0000C9160000}"/>
    <cellStyle name="Normal 2 2 4 6 2 4 2" xfId="8831" xr:uid="{00000000-0005-0000-0000-0000CA160000}"/>
    <cellStyle name="Normal 2 2 4 6 2 4_SSL" xfId="16557" xr:uid="{00000000-0005-0000-0000-0000CB160000}"/>
    <cellStyle name="Normal 2 2 4 6 2 5" xfId="3002" xr:uid="{00000000-0005-0000-0000-0000CC160000}"/>
    <cellStyle name="Normal 2 2 4 6 2 5 2" xfId="9647" xr:uid="{00000000-0005-0000-0000-0000CD160000}"/>
    <cellStyle name="Normal 2 2 4 6 2 5_SSL" xfId="15906" xr:uid="{00000000-0005-0000-0000-0000CE160000}"/>
    <cellStyle name="Normal 2 2 4 6 2 6" xfId="3823" xr:uid="{00000000-0005-0000-0000-0000CF160000}"/>
    <cellStyle name="Normal 2 2 4 6 2 6 2" xfId="10463" xr:uid="{00000000-0005-0000-0000-0000D0160000}"/>
    <cellStyle name="Normal 2 2 4 6 2 6_SSL" xfId="13473" xr:uid="{00000000-0005-0000-0000-0000D1160000}"/>
    <cellStyle name="Normal 2 2 4 6 2 7" xfId="4634" xr:uid="{00000000-0005-0000-0000-0000D2160000}"/>
    <cellStyle name="Normal 2 2 4 6 2 7 2" xfId="11273" xr:uid="{00000000-0005-0000-0000-0000D3160000}"/>
    <cellStyle name="Normal 2 2 4 6 2 7_SSL" xfId="17834" xr:uid="{00000000-0005-0000-0000-0000D4160000}"/>
    <cellStyle name="Normal 2 2 4 6 2 8" xfId="5444" xr:uid="{00000000-0005-0000-0000-0000D5160000}"/>
    <cellStyle name="Normal 2 2 4 6 2 8 2" xfId="12082" xr:uid="{00000000-0005-0000-0000-0000D6160000}"/>
    <cellStyle name="Normal 2 2 4 6 2 8_SSL" xfId="13385" xr:uid="{00000000-0005-0000-0000-0000D7160000}"/>
    <cellStyle name="Normal 2 2 4 6 2 9" xfId="7186" xr:uid="{00000000-0005-0000-0000-0000D8160000}"/>
    <cellStyle name="Normal 2 2 4 6 2_SSL" xfId="17474" xr:uid="{00000000-0005-0000-0000-0000D9160000}"/>
    <cellStyle name="Normal 2 2 4 6 3" xfId="643" xr:uid="{00000000-0005-0000-0000-0000DA160000}"/>
    <cellStyle name="Normal 2 2 4 6 3 2" xfId="1365" xr:uid="{00000000-0005-0000-0000-0000DB160000}"/>
    <cellStyle name="Normal 2 2 4 6 3 2 2" xfId="8020" xr:uid="{00000000-0005-0000-0000-0000DC160000}"/>
    <cellStyle name="Normal 2 2 4 6 3 2_SSL" xfId="16627" xr:uid="{00000000-0005-0000-0000-0000DD160000}"/>
    <cellStyle name="Normal 2 2 4 6 3 3" xfId="2185" xr:uid="{00000000-0005-0000-0000-0000DE160000}"/>
    <cellStyle name="Normal 2 2 4 6 3 3 2" xfId="8833" xr:uid="{00000000-0005-0000-0000-0000DF160000}"/>
    <cellStyle name="Normal 2 2 4 6 3 3_SSL" xfId="15210" xr:uid="{00000000-0005-0000-0000-0000E0160000}"/>
    <cellStyle name="Normal 2 2 4 6 3 4" xfId="3004" xr:uid="{00000000-0005-0000-0000-0000E1160000}"/>
    <cellStyle name="Normal 2 2 4 6 3 4 2" xfId="9649" xr:uid="{00000000-0005-0000-0000-0000E2160000}"/>
    <cellStyle name="Normal 2 2 4 6 3 4_SSL" xfId="14671" xr:uid="{00000000-0005-0000-0000-0000E3160000}"/>
    <cellStyle name="Normal 2 2 4 6 3 5" xfId="3825" xr:uid="{00000000-0005-0000-0000-0000E4160000}"/>
    <cellStyle name="Normal 2 2 4 6 3 5 2" xfId="10465" xr:uid="{00000000-0005-0000-0000-0000E5160000}"/>
    <cellStyle name="Normal 2 2 4 6 3 5_SSL" xfId="16383" xr:uid="{00000000-0005-0000-0000-0000E6160000}"/>
    <cellStyle name="Normal 2 2 4 6 3 6" xfId="4636" xr:uid="{00000000-0005-0000-0000-0000E7160000}"/>
    <cellStyle name="Normal 2 2 4 6 3 6 2" xfId="11275" xr:uid="{00000000-0005-0000-0000-0000E8160000}"/>
    <cellStyle name="Normal 2 2 4 6 3 6_SSL" xfId="16880" xr:uid="{00000000-0005-0000-0000-0000E9160000}"/>
    <cellStyle name="Normal 2 2 4 6 3 7" xfId="5446" xr:uid="{00000000-0005-0000-0000-0000EA160000}"/>
    <cellStyle name="Normal 2 2 4 6 3 7 2" xfId="12084" xr:uid="{00000000-0005-0000-0000-0000EB160000}"/>
    <cellStyle name="Normal 2 2 4 6 3 7_SSL" xfId="17687" xr:uid="{00000000-0005-0000-0000-0000EC160000}"/>
    <cellStyle name="Normal 2 2 4 6 3 8" xfId="7499" xr:uid="{00000000-0005-0000-0000-0000ED160000}"/>
    <cellStyle name="Normal 2 2 4 6 3 9" xfId="6363" xr:uid="{00000000-0005-0000-0000-0000EE160000}"/>
    <cellStyle name="Normal 2 2 4 6 3_SSL" xfId="16169" xr:uid="{00000000-0005-0000-0000-0000EF160000}"/>
    <cellStyle name="Normal 2 2 4 6 4" xfId="1362" xr:uid="{00000000-0005-0000-0000-0000F0160000}"/>
    <cellStyle name="Normal 2 2 4 6 4 2" xfId="8017" xr:uid="{00000000-0005-0000-0000-0000F1160000}"/>
    <cellStyle name="Normal 2 2 4 6 4_SSL" xfId="17610" xr:uid="{00000000-0005-0000-0000-0000F2160000}"/>
    <cellStyle name="Normal 2 2 4 6 5" xfId="2182" xr:uid="{00000000-0005-0000-0000-0000F3160000}"/>
    <cellStyle name="Normal 2 2 4 6 5 2" xfId="8830" xr:uid="{00000000-0005-0000-0000-0000F4160000}"/>
    <cellStyle name="Normal 2 2 4 6 5_SSL" xfId="16825" xr:uid="{00000000-0005-0000-0000-0000F5160000}"/>
    <cellStyle name="Normal 2 2 4 6 6" xfId="3001" xr:uid="{00000000-0005-0000-0000-0000F6160000}"/>
    <cellStyle name="Normal 2 2 4 6 6 2" xfId="9646" xr:uid="{00000000-0005-0000-0000-0000F7160000}"/>
    <cellStyle name="Normal 2 2 4 6 6_SSL" xfId="14821" xr:uid="{00000000-0005-0000-0000-0000F8160000}"/>
    <cellStyle name="Normal 2 2 4 6 7" xfId="3822" xr:uid="{00000000-0005-0000-0000-0000F9160000}"/>
    <cellStyle name="Normal 2 2 4 6 7 2" xfId="10462" xr:uid="{00000000-0005-0000-0000-0000FA160000}"/>
    <cellStyle name="Normal 2 2 4 6 7_SSL" xfId="17244" xr:uid="{00000000-0005-0000-0000-0000FB160000}"/>
    <cellStyle name="Normal 2 2 4 6 8" xfId="4633" xr:uid="{00000000-0005-0000-0000-0000FC160000}"/>
    <cellStyle name="Normal 2 2 4 6 8 2" xfId="11272" xr:uid="{00000000-0005-0000-0000-0000FD160000}"/>
    <cellStyle name="Normal 2 2 4 6 8_SSL" xfId="12696" xr:uid="{00000000-0005-0000-0000-0000FE160000}"/>
    <cellStyle name="Normal 2 2 4 6 9" xfId="5443" xr:uid="{00000000-0005-0000-0000-0000FF160000}"/>
    <cellStyle name="Normal 2 2 4 6 9 2" xfId="12081" xr:uid="{00000000-0005-0000-0000-000000170000}"/>
    <cellStyle name="Normal 2 2 4 6 9_SSL" xfId="13073" xr:uid="{00000000-0005-0000-0000-000001170000}"/>
    <cellStyle name="Normal 2 2 4 6_SSL" xfId="15920" xr:uid="{00000000-0005-0000-0000-000002170000}"/>
    <cellStyle name="Normal 2 2 4 7" xfId="319" xr:uid="{00000000-0005-0000-0000-000003170000}"/>
    <cellStyle name="Normal 2 2 4 7 10" xfId="6364" xr:uid="{00000000-0005-0000-0000-000004170000}"/>
    <cellStyle name="Normal 2 2 4 7 2" xfId="707" xr:uid="{00000000-0005-0000-0000-000005170000}"/>
    <cellStyle name="Normal 2 2 4 7 2 2" xfId="1367" xr:uid="{00000000-0005-0000-0000-000006170000}"/>
    <cellStyle name="Normal 2 2 4 7 2 2 2" xfId="8022" xr:uid="{00000000-0005-0000-0000-000007170000}"/>
    <cellStyle name="Normal 2 2 4 7 2 2_SSL" xfId="17117" xr:uid="{00000000-0005-0000-0000-000008170000}"/>
    <cellStyle name="Normal 2 2 4 7 2 3" xfId="2187" xr:uid="{00000000-0005-0000-0000-000009170000}"/>
    <cellStyle name="Normal 2 2 4 7 2 3 2" xfId="8835" xr:uid="{00000000-0005-0000-0000-00000A170000}"/>
    <cellStyle name="Normal 2 2 4 7 2 3_SSL" xfId="13336" xr:uid="{00000000-0005-0000-0000-00000B170000}"/>
    <cellStyle name="Normal 2 2 4 7 2 4" xfId="3006" xr:uid="{00000000-0005-0000-0000-00000C170000}"/>
    <cellStyle name="Normal 2 2 4 7 2 4 2" xfId="9651" xr:uid="{00000000-0005-0000-0000-00000D170000}"/>
    <cellStyle name="Normal 2 2 4 7 2 4_SSL" xfId="15032" xr:uid="{00000000-0005-0000-0000-00000E170000}"/>
    <cellStyle name="Normal 2 2 4 7 2 5" xfId="3827" xr:uid="{00000000-0005-0000-0000-00000F170000}"/>
    <cellStyle name="Normal 2 2 4 7 2 5 2" xfId="10467" xr:uid="{00000000-0005-0000-0000-000010170000}"/>
    <cellStyle name="Normal 2 2 4 7 2 5_SSL" xfId="17645" xr:uid="{00000000-0005-0000-0000-000011170000}"/>
    <cellStyle name="Normal 2 2 4 7 2 6" xfId="4638" xr:uid="{00000000-0005-0000-0000-000012170000}"/>
    <cellStyle name="Normal 2 2 4 7 2 6 2" xfId="11277" xr:uid="{00000000-0005-0000-0000-000013170000}"/>
    <cellStyle name="Normal 2 2 4 7 2 6_SSL" xfId="13470" xr:uid="{00000000-0005-0000-0000-000014170000}"/>
    <cellStyle name="Normal 2 2 4 7 2 7" xfId="5448" xr:uid="{00000000-0005-0000-0000-000015170000}"/>
    <cellStyle name="Normal 2 2 4 7 2 7 2" xfId="12086" xr:uid="{00000000-0005-0000-0000-000016170000}"/>
    <cellStyle name="Normal 2 2 4 7 2 7_SSL" xfId="17853" xr:uid="{00000000-0005-0000-0000-000017170000}"/>
    <cellStyle name="Normal 2 2 4 7 2 8" xfId="7563" xr:uid="{00000000-0005-0000-0000-000018170000}"/>
    <cellStyle name="Normal 2 2 4 7 2 9" xfId="6365" xr:uid="{00000000-0005-0000-0000-000019170000}"/>
    <cellStyle name="Normal 2 2 4 7 2_SSL" xfId="15112" xr:uid="{00000000-0005-0000-0000-00001A170000}"/>
    <cellStyle name="Normal 2 2 4 7 3" xfId="1366" xr:uid="{00000000-0005-0000-0000-00001B170000}"/>
    <cellStyle name="Normal 2 2 4 7 3 2" xfId="8021" xr:uid="{00000000-0005-0000-0000-00001C170000}"/>
    <cellStyle name="Normal 2 2 4 7 3_SSL" xfId="15062" xr:uid="{00000000-0005-0000-0000-00001D170000}"/>
    <cellStyle name="Normal 2 2 4 7 4" xfId="2186" xr:uid="{00000000-0005-0000-0000-00001E170000}"/>
    <cellStyle name="Normal 2 2 4 7 4 2" xfId="8834" xr:uid="{00000000-0005-0000-0000-00001F170000}"/>
    <cellStyle name="Normal 2 2 4 7 4_SSL" xfId="16132" xr:uid="{00000000-0005-0000-0000-000020170000}"/>
    <cellStyle name="Normal 2 2 4 7 5" xfId="3005" xr:uid="{00000000-0005-0000-0000-000021170000}"/>
    <cellStyle name="Normal 2 2 4 7 5 2" xfId="9650" xr:uid="{00000000-0005-0000-0000-000022170000}"/>
    <cellStyle name="Normal 2 2 4 7 5_SSL" xfId="6036" xr:uid="{00000000-0005-0000-0000-000023170000}"/>
    <cellStyle name="Normal 2 2 4 7 6" xfId="3826" xr:uid="{00000000-0005-0000-0000-000024170000}"/>
    <cellStyle name="Normal 2 2 4 7 6 2" xfId="10466" xr:uid="{00000000-0005-0000-0000-000025170000}"/>
    <cellStyle name="Normal 2 2 4 7 6_SSL" xfId="12635" xr:uid="{00000000-0005-0000-0000-000026170000}"/>
    <cellStyle name="Normal 2 2 4 7 7" xfId="4637" xr:uid="{00000000-0005-0000-0000-000027170000}"/>
    <cellStyle name="Normal 2 2 4 7 7 2" xfId="11276" xr:uid="{00000000-0005-0000-0000-000028170000}"/>
    <cellStyle name="Normal 2 2 4 7 7_SSL" xfId="12955" xr:uid="{00000000-0005-0000-0000-000029170000}"/>
    <cellStyle name="Normal 2 2 4 7 8" xfId="5447" xr:uid="{00000000-0005-0000-0000-00002A170000}"/>
    <cellStyle name="Normal 2 2 4 7 8 2" xfId="12085" xr:uid="{00000000-0005-0000-0000-00002B170000}"/>
    <cellStyle name="Normal 2 2 4 7 8_SSL" xfId="12672" xr:uid="{00000000-0005-0000-0000-00002C170000}"/>
    <cellStyle name="Normal 2 2 4 7 9" xfId="7179" xr:uid="{00000000-0005-0000-0000-00002D170000}"/>
    <cellStyle name="Normal 2 2 4 7_SSL" xfId="17827" xr:uid="{00000000-0005-0000-0000-00002E170000}"/>
    <cellStyle name="Normal 2 2 4 8" xfId="476" xr:uid="{00000000-0005-0000-0000-00002F170000}"/>
    <cellStyle name="Normal 2 2 4 8 2" xfId="1368" xr:uid="{00000000-0005-0000-0000-000030170000}"/>
    <cellStyle name="Normal 2 2 4 8 2 2" xfId="8023" xr:uid="{00000000-0005-0000-0000-000031170000}"/>
    <cellStyle name="Normal 2 2 4 8 2_SSL" xfId="12878" xr:uid="{00000000-0005-0000-0000-000032170000}"/>
    <cellStyle name="Normal 2 2 4 8 3" xfId="2188" xr:uid="{00000000-0005-0000-0000-000033170000}"/>
    <cellStyle name="Normal 2 2 4 8 3 2" xfId="8836" xr:uid="{00000000-0005-0000-0000-000034170000}"/>
    <cellStyle name="Normal 2 2 4 8 3_SSL" xfId="13516" xr:uid="{00000000-0005-0000-0000-000035170000}"/>
    <cellStyle name="Normal 2 2 4 8 4" xfId="3007" xr:uid="{00000000-0005-0000-0000-000036170000}"/>
    <cellStyle name="Normal 2 2 4 8 4 2" xfId="9652" xr:uid="{00000000-0005-0000-0000-000037170000}"/>
    <cellStyle name="Normal 2 2 4 8 4_SSL" xfId="16079" xr:uid="{00000000-0005-0000-0000-000038170000}"/>
    <cellStyle name="Normal 2 2 4 8 5" xfId="3828" xr:uid="{00000000-0005-0000-0000-000039170000}"/>
    <cellStyle name="Normal 2 2 4 8 5 2" xfId="10468" xr:uid="{00000000-0005-0000-0000-00003A170000}"/>
    <cellStyle name="Normal 2 2 4 8 5_SSL" xfId="14621" xr:uid="{00000000-0005-0000-0000-00003B170000}"/>
    <cellStyle name="Normal 2 2 4 8 6" xfId="4639" xr:uid="{00000000-0005-0000-0000-00003C170000}"/>
    <cellStyle name="Normal 2 2 4 8 6 2" xfId="11278" xr:uid="{00000000-0005-0000-0000-00003D170000}"/>
    <cellStyle name="Normal 2 2 4 8 6_SSL" xfId="12804" xr:uid="{00000000-0005-0000-0000-00003E170000}"/>
    <cellStyle name="Normal 2 2 4 8 7" xfId="5449" xr:uid="{00000000-0005-0000-0000-00003F170000}"/>
    <cellStyle name="Normal 2 2 4 8 7 2" xfId="12087" xr:uid="{00000000-0005-0000-0000-000040170000}"/>
    <cellStyle name="Normal 2 2 4 8 7_SSL" xfId="15882" xr:uid="{00000000-0005-0000-0000-000041170000}"/>
    <cellStyle name="Normal 2 2 4 8 8" xfId="7332" xr:uid="{00000000-0005-0000-0000-000042170000}"/>
    <cellStyle name="Normal 2 2 4 8 9" xfId="6366" xr:uid="{00000000-0005-0000-0000-000043170000}"/>
    <cellStyle name="Normal 2 2 4 8_SSL" xfId="13604" xr:uid="{00000000-0005-0000-0000-000044170000}"/>
    <cellStyle name="Normal 2 2 4 9" xfId="1337" xr:uid="{00000000-0005-0000-0000-000045170000}"/>
    <cellStyle name="Normal 2 2 4 9 2" xfId="7992" xr:uid="{00000000-0005-0000-0000-000046170000}"/>
    <cellStyle name="Normal 2 2 4 9_SSL" xfId="17952" xr:uid="{00000000-0005-0000-0000-000047170000}"/>
    <cellStyle name="Normal 2 2 4_SSL" xfId="13704" xr:uid="{00000000-0005-0000-0000-000048170000}"/>
    <cellStyle name="Normal 2 2 5" xfId="23" xr:uid="{00000000-0005-0000-0000-000049170000}"/>
    <cellStyle name="Normal 2 2 5 10" xfId="5450" xr:uid="{00000000-0005-0000-0000-00004A170000}"/>
    <cellStyle name="Normal 2 2 5 10 2" xfId="12088" xr:uid="{00000000-0005-0000-0000-00004B170000}"/>
    <cellStyle name="Normal 2 2 5 10_SSL" xfId="13371" xr:uid="{00000000-0005-0000-0000-00004C170000}"/>
    <cellStyle name="Normal 2 2 5 11" xfId="6934" xr:uid="{00000000-0005-0000-0000-00004D170000}"/>
    <cellStyle name="Normal 2 2 5 12" xfId="6367" xr:uid="{00000000-0005-0000-0000-00004E170000}"/>
    <cellStyle name="Normal 2 2 5 2" xfId="155" xr:uid="{00000000-0005-0000-0000-00004F170000}"/>
    <cellStyle name="Normal 2 2 5 2 10" xfId="7032" xr:uid="{00000000-0005-0000-0000-000050170000}"/>
    <cellStyle name="Normal 2 2 5 2 11" xfId="6368" xr:uid="{00000000-0005-0000-0000-000051170000}"/>
    <cellStyle name="Normal 2 2 5 2 2" xfId="328" xr:uid="{00000000-0005-0000-0000-000052170000}"/>
    <cellStyle name="Normal 2 2 5 2 2 10" xfId="6369" xr:uid="{00000000-0005-0000-0000-000053170000}"/>
    <cellStyle name="Normal 2 2 5 2 2 2" xfId="716" xr:uid="{00000000-0005-0000-0000-000054170000}"/>
    <cellStyle name="Normal 2 2 5 2 2 2 2" xfId="1372" xr:uid="{00000000-0005-0000-0000-000055170000}"/>
    <cellStyle name="Normal 2 2 5 2 2 2 2 2" xfId="8027" xr:uid="{00000000-0005-0000-0000-000056170000}"/>
    <cellStyle name="Normal 2 2 5 2 2 2 2_SSL" xfId="6041" xr:uid="{00000000-0005-0000-0000-000057170000}"/>
    <cellStyle name="Normal 2 2 5 2 2 2 3" xfId="2192" xr:uid="{00000000-0005-0000-0000-000058170000}"/>
    <cellStyle name="Normal 2 2 5 2 2 2 3 2" xfId="8840" xr:uid="{00000000-0005-0000-0000-000059170000}"/>
    <cellStyle name="Normal 2 2 5 2 2 2 3_SSL" xfId="15944" xr:uid="{00000000-0005-0000-0000-00005A170000}"/>
    <cellStyle name="Normal 2 2 5 2 2 2 4" xfId="3011" xr:uid="{00000000-0005-0000-0000-00005B170000}"/>
    <cellStyle name="Normal 2 2 5 2 2 2 4 2" xfId="9656" xr:uid="{00000000-0005-0000-0000-00005C170000}"/>
    <cellStyle name="Normal 2 2 5 2 2 2 4_SSL" xfId="16904" xr:uid="{00000000-0005-0000-0000-00005D170000}"/>
    <cellStyle name="Normal 2 2 5 2 2 2 5" xfId="3832" xr:uid="{00000000-0005-0000-0000-00005E170000}"/>
    <cellStyle name="Normal 2 2 5 2 2 2 5 2" xfId="10472" xr:uid="{00000000-0005-0000-0000-00005F170000}"/>
    <cellStyle name="Normal 2 2 5 2 2 2 5_SSL" xfId="17360" xr:uid="{00000000-0005-0000-0000-000060170000}"/>
    <cellStyle name="Normal 2 2 5 2 2 2 6" xfId="4643" xr:uid="{00000000-0005-0000-0000-000061170000}"/>
    <cellStyle name="Normal 2 2 5 2 2 2 6 2" xfId="11282" xr:uid="{00000000-0005-0000-0000-000062170000}"/>
    <cellStyle name="Normal 2 2 5 2 2 2 6_SSL" xfId="15345" xr:uid="{00000000-0005-0000-0000-000063170000}"/>
    <cellStyle name="Normal 2 2 5 2 2 2 7" xfId="5453" xr:uid="{00000000-0005-0000-0000-000064170000}"/>
    <cellStyle name="Normal 2 2 5 2 2 2 7 2" xfId="12091" xr:uid="{00000000-0005-0000-0000-000065170000}"/>
    <cellStyle name="Normal 2 2 5 2 2 2 7_SSL" xfId="14250" xr:uid="{00000000-0005-0000-0000-000066170000}"/>
    <cellStyle name="Normal 2 2 5 2 2 2 8" xfId="7572" xr:uid="{00000000-0005-0000-0000-000067170000}"/>
    <cellStyle name="Normal 2 2 5 2 2 2 9" xfId="6370" xr:uid="{00000000-0005-0000-0000-000068170000}"/>
    <cellStyle name="Normal 2 2 5 2 2 2_SSL" xfId="16932" xr:uid="{00000000-0005-0000-0000-000069170000}"/>
    <cellStyle name="Normal 2 2 5 2 2 3" xfId="1371" xr:uid="{00000000-0005-0000-0000-00006A170000}"/>
    <cellStyle name="Normal 2 2 5 2 2 3 2" xfId="8026" xr:uid="{00000000-0005-0000-0000-00006B170000}"/>
    <cellStyle name="Normal 2 2 5 2 2 3_SSL" xfId="15071" xr:uid="{00000000-0005-0000-0000-00006C170000}"/>
    <cellStyle name="Normal 2 2 5 2 2 4" xfId="2191" xr:uid="{00000000-0005-0000-0000-00006D170000}"/>
    <cellStyle name="Normal 2 2 5 2 2 4 2" xfId="8839" xr:uid="{00000000-0005-0000-0000-00006E170000}"/>
    <cellStyle name="Normal 2 2 5 2 2 4_SSL" xfId="17460" xr:uid="{00000000-0005-0000-0000-00006F170000}"/>
    <cellStyle name="Normal 2 2 5 2 2 5" xfId="3010" xr:uid="{00000000-0005-0000-0000-000070170000}"/>
    <cellStyle name="Normal 2 2 5 2 2 5 2" xfId="9655" xr:uid="{00000000-0005-0000-0000-000071170000}"/>
    <cellStyle name="Normal 2 2 5 2 2 5_SSL" xfId="17925" xr:uid="{00000000-0005-0000-0000-000072170000}"/>
    <cellStyle name="Normal 2 2 5 2 2 6" xfId="3831" xr:uid="{00000000-0005-0000-0000-000073170000}"/>
    <cellStyle name="Normal 2 2 5 2 2 6 2" xfId="10471" xr:uid="{00000000-0005-0000-0000-000074170000}"/>
    <cellStyle name="Normal 2 2 5 2 2 6_SSL" xfId="16457" xr:uid="{00000000-0005-0000-0000-000075170000}"/>
    <cellStyle name="Normal 2 2 5 2 2 7" xfId="4642" xr:uid="{00000000-0005-0000-0000-000076170000}"/>
    <cellStyle name="Normal 2 2 5 2 2 7 2" xfId="11281" xr:uid="{00000000-0005-0000-0000-000077170000}"/>
    <cellStyle name="Normal 2 2 5 2 2 7_SSL" xfId="17129" xr:uid="{00000000-0005-0000-0000-000078170000}"/>
    <cellStyle name="Normal 2 2 5 2 2 8" xfId="5452" xr:uid="{00000000-0005-0000-0000-000079170000}"/>
    <cellStyle name="Normal 2 2 5 2 2 8 2" xfId="12090" xr:uid="{00000000-0005-0000-0000-00007A170000}"/>
    <cellStyle name="Normal 2 2 5 2 2 8_SSL" xfId="17494" xr:uid="{00000000-0005-0000-0000-00007B170000}"/>
    <cellStyle name="Normal 2 2 5 2 2 9" xfId="7188" xr:uid="{00000000-0005-0000-0000-00007C170000}"/>
    <cellStyle name="Normal 2 2 5 2 2_SSL" xfId="17680" xr:uid="{00000000-0005-0000-0000-00007D170000}"/>
    <cellStyle name="Normal 2 2 5 2 3" xfId="560" xr:uid="{00000000-0005-0000-0000-00007E170000}"/>
    <cellStyle name="Normal 2 2 5 2 3 2" xfId="1373" xr:uid="{00000000-0005-0000-0000-00007F170000}"/>
    <cellStyle name="Normal 2 2 5 2 3 2 2" xfId="8028" xr:uid="{00000000-0005-0000-0000-000080170000}"/>
    <cellStyle name="Normal 2 2 5 2 3 2_SSL" xfId="14506" xr:uid="{00000000-0005-0000-0000-000081170000}"/>
    <cellStyle name="Normal 2 2 5 2 3 3" xfId="2193" xr:uid="{00000000-0005-0000-0000-000082170000}"/>
    <cellStyle name="Normal 2 2 5 2 3 3 2" xfId="8841" xr:uid="{00000000-0005-0000-0000-000083170000}"/>
    <cellStyle name="Normal 2 2 5 2 3 3_SSL" xfId="15634" xr:uid="{00000000-0005-0000-0000-000084170000}"/>
    <cellStyle name="Normal 2 2 5 2 3 4" xfId="3012" xr:uid="{00000000-0005-0000-0000-000085170000}"/>
    <cellStyle name="Normal 2 2 5 2 3 4 2" xfId="9657" xr:uid="{00000000-0005-0000-0000-000086170000}"/>
    <cellStyle name="Normal 2 2 5 2 3 4_SSL" xfId="17149" xr:uid="{00000000-0005-0000-0000-000087170000}"/>
    <cellStyle name="Normal 2 2 5 2 3 5" xfId="3833" xr:uid="{00000000-0005-0000-0000-000088170000}"/>
    <cellStyle name="Normal 2 2 5 2 3 5 2" xfId="10473" xr:uid="{00000000-0005-0000-0000-000089170000}"/>
    <cellStyle name="Normal 2 2 5 2 3 5_SSL" xfId="13651" xr:uid="{00000000-0005-0000-0000-00008A170000}"/>
    <cellStyle name="Normal 2 2 5 2 3 6" xfId="4644" xr:uid="{00000000-0005-0000-0000-00008B170000}"/>
    <cellStyle name="Normal 2 2 5 2 3 6 2" xfId="11283" xr:uid="{00000000-0005-0000-0000-00008C170000}"/>
    <cellStyle name="Normal 2 2 5 2 3 6_SSL" xfId="12833" xr:uid="{00000000-0005-0000-0000-00008D170000}"/>
    <cellStyle name="Normal 2 2 5 2 3 7" xfId="5454" xr:uid="{00000000-0005-0000-0000-00008E170000}"/>
    <cellStyle name="Normal 2 2 5 2 3 7 2" xfId="12092" xr:uid="{00000000-0005-0000-0000-00008F170000}"/>
    <cellStyle name="Normal 2 2 5 2 3 7_SSL" xfId="16887" xr:uid="{00000000-0005-0000-0000-000090170000}"/>
    <cellStyle name="Normal 2 2 5 2 3 8" xfId="7416" xr:uid="{00000000-0005-0000-0000-000091170000}"/>
    <cellStyle name="Normal 2 2 5 2 3 9" xfId="6371" xr:uid="{00000000-0005-0000-0000-000092170000}"/>
    <cellStyle name="Normal 2 2 5 2 3_SSL" xfId="12801" xr:uid="{00000000-0005-0000-0000-000093170000}"/>
    <cellStyle name="Normal 2 2 5 2 4" xfId="1370" xr:uid="{00000000-0005-0000-0000-000094170000}"/>
    <cellStyle name="Normal 2 2 5 2 4 2" xfId="8025" xr:uid="{00000000-0005-0000-0000-000095170000}"/>
    <cellStyle name="Normal 2 2 5 2 4_SSL" xfId="15934" xr:uid="{00000000-0005-0000-0000-000096170000}"/>
    <cellStyle name="Normal 2 2 5 2 5" xfId="2190" xr:uid="{00000000-0005-0000-0000-000097170000}"/>
    <cellStyle name="Normal 2 2 5 2 5 2" xfId="8838" xr:uid="{00000000-0005-0000-0000-000098170000}"/>
    <cellStyle name="Normal 2 2 5 2 5_SSL" xfId="6106" xr:uid="{00000000-0005-0000-0000-000099170000}"/>
    <cellStyle name="Normal 2 2 5 2 6" xfId="3009" xr:uid="{00000000-0005-0000-0000-00009A170000}"/>
    <cellStyle name="Normal 2 2 5 2 6 2" xfId="9654" xr:uid="{00000000-0005-0000-0000-00009B170000}"/>
    <cellStyle name="Normal 2 2 5 2 6_SSL" xfId="6028" xr:uid="{00000000-0005-0000-0000-00009C170000}"/>
    <cellStyle name="Normal 2 2 5 2 7" xfId="3830" xr:uid="{00000000-0005-0000-0000-00009D170000}"/>
    <cellStyle name="Normal 2 2 5 2 7 2" xfId="10470" xr:uid="{00000000-0005-0000-0000-00009E170000}"/>
    <cellStyle name="Normal 2 2 5 2 7_SSL" xfId="17623" xr:uid="{00000000-0005-0000-0000-00009F170000}"/>
    <cellStyle name="Normal 2 2 5 2 8" xfId="4641" xr:uid="{00000000-0005-0000-0000-0000A0170000}"/>
    <cellStyle name="Normal 2 2 5 2 8 2" xfId="11280" xr:uid="{00000000-0005-0000-0000-0000A1170000}"/>
    <cellStyle name="Normal 2 2 5 2 8_SSL" xfId="13801" xr:uid="{00000000-0005-0000-0000-0000A2170000}"/>
    <cellStyle name="Normal 2 2 5 2 9" xfId="5451" xr:uid="{00000000-0005-0000-0000-0000A3170000}"/>
    <cellStyle name="Normal 2 2 5 2 9 2" xfId="12089" xr:uid="{00000000-0005-0000-0000-0000A4170000}"/>
    <cellStyle name="Normal 2 2 5 2 9_SSL" xfId="16937" xr:uid="{00000000-0005-0000-0000-0000A5170000}"/>
    <cellStyle name="Normal 2 2 5 2_SSL" xfId="16136" xr:uid="{00000000-0005-0000-0000-0000A6170000}"/>
    <cellStyle name="Normal 2 2 5 3" xfId="327" xr:uid="{00000000-0005-0000-0000-0000A7170000}"/>
    <cellStyle name="Normal 2 2 5 3 10" xfId="6372" xr:uid="{00000000-0005-0000-0000-0000A8170000}"/>
    <cellStyle name="Normal 2 2 5 3 2" xfId="715" xr:uid="{00000000-0005-0000-0000-0000A9170000}"/>
    <cellStyle name="Normal 2 2 5 3 2 2" xfId="1375" xr:uid="{00000000-0005-0000-0000-0000AA170000}"/>
    <cellStyle name="Normal 2 2 5 3 2 2 2" xfId="8030" xr:uid="{00000000-0005-0000-0000-0000AB170000}"/>
    <cellStyle name="Normal 2 2 5 3 2 2_SSL" xfId="14589" xr:uid="{00000000-0005-0000-0000-0000AC170000}"/>
    <cellStyle name="Normal 2 2 5 3 2 3" xfId="2195" xr:uid="{00000000-0005-0000-0000-0000AD170000}"/>
    <cellStyle name="Normal 2 2 5 3 2 3 2" xfId="8843" xr:uid="{00000000-0005-0000-0000-0000AE170000}"/>
    <cellStyle name="Normal 2 2 5 3 2 3_SSL" xfId="16251" xr:uid="{00000000-0005-0000-0000-0000AF170000}"/>
    <cellStyle name="Normal 2 2 5 3 2 4" xfId="3014" xr:uid="{00000000-0005-0000-0000-0000B0170000}"/>
    <cellStyle name="Normal 2 2 5 3 2 4 2" xfId="9659" xr:uid="{00000000-0005-0000-0000-0000B1170000}"/>
    <cellStyle name="Normal 2 2 5 3 2 4_SSL" xfId="14246" xr:uid="{00000000-0005-0000-0000-0000B2170000}"/>
    <cellStyle name="Normal 2 2 5 3 2 5" xfId="3835" xr:uid="{00000000-0005-0000-0000-0000B3170000}"/>
    <cellStyle name="Normal 2 2 5 3 2 5 2" xfId="10475" xr:uid="{00000000-0005-0000-0000-0000B4170000}"/>
    <cellStyle name="Normal 2 2 5 3 2 5_SSL" xfId="13825" xr:uid="{00000000-0005-0000-0000-0000B5170000}"/>
    <cellStyle name="Normal 2 2 5 3 2 6" xfId="4646" xr:uid="{00000000-0005-0000-0000-0000B6170000}"/>
    <cellStyle name="Normal 2 2 5 3 2 6 2" xfId="11285" xr:uid="{00000000-0005-0000-0000-0000B7170000}"/>
    <cellStyle name="Normal 2 2 5 3 2 6_SSL" xfId="15084" xr:uid="{00000000-0005-0000-0000-0000B8170000}"/>
    <cellStyle name="Normal 2 2 5 3 2 7" xfId="5456" xr:uid="{00000000-0005-0000-0000-0000B9170000}"/>
    <cellStyle name="Normal 2 2 5 3 2 7 2" xfId="12094" xr:uid="{00000000-0005-0000-0000-0000BA170000}"/>
    <cellStyle name="Normal 2 2 5 3 2 7_SSL" xfId="13132" xr:uid="{00000000-0005-0000-0000-0000BB170000}"/>
    <cellStyle name="Normal 2 2 5 3 2 8" xfId="7571" xr:uid="{00000000-0005-0000-0000-0000BC170000}"/>
    <cellStyle name="Normal 2 2 5 3 2 9" xfId="6373" xr:uid="{00000000-0005-0000-0000-0000BD170000}"/>
    <cellStyle name="Normal 2 2 5 3 2_SSL" xfId="16666" xr:uid="{00000000-0005-0000-0000-0000BE170000}"/>
    <cellStyle name="Normal 2 2 5 3 3" xfId="1374" xr:uid="{00000000-0005-0000-0000-0000BF170000}"/>
    <cellStyle name="Normal 2 2 5 3 3 2" xfId="8029" xr:uid="{00000000-0005-0000-0000-0000C0170000}"/>
    <cellStyle name="Normal 2 2 5 3 3_SSL" xfId="14837" xr:uid="{00000000-0005-0000-0000-0000C1170000}"/>
    <cellStyle name="Normal 2 2 5 3 4" xfId="2194" xr:uid="{00000000-0005-0000-0000-0000C2170000}"/>
    <cellStyle name="Normal 2 2 5 3 4 2" xfId="8842" xr:uid="{00000000-0005-0000-0000-0000C3170000}"/>
    <cellStyle name="Normal 2 2 5 3 4_SSL" xfId="15746" xr:uid="{00000000-0005-0000-0000-0000C4170000}"/>
    <cellStyle name="Normal 2 2 5 3 5" xfId="3013" xr:uid="{00000000-0005-0000-0000-0000C5170000}"/>
    <cellStyle name="Normal 2 2 5 3 5 2" xfId="9658" xr:uid="{00000000-0005-0000-0000-0000C6170000}"/>
    <cellStyle name="Normal 2 2 5 3 5_SSL" xfId="13318" xr:uid="{00000000-0005-0000-0000-0000C7170000}"/>
    <cellStyle name="Normal 2 2 5 3 6" xfId="3834" xr:uid="{00000000-0005-0000-0000-0000C8170000}"/>
    <cellStyle name="Normal 2 2 5 3 6 2" xfId="10474" xr:uid="{00000000-0005-0000-0000-0000C9170000}"/>
    <cellStyle name="Normal 2 2 5 3 6_SSL" xfId="13713" xr:uid="{00000000-0005-0000-0000-0000CA170000}"/>
    <cellStyle name="Normal 2 2 5 3 7" xfId="4645" xr:uid="{00000000-0005-0000-0000-0000CB170000}"/>
    <cellStyle name="Normal 2 2 5 3 7 2" xfId="11284" xr:uid="{00000000-0005-0000-0000-0000CC170000}"/>
    <cellStyle name="Normal 2 2 5 3 7_SSL" xfId="17860" xr:uid="{00000000-0005-0000-0000-0000CD170000}"/>
    <cellStyle name="Normal 2 2 5 3 8" xfId="5455" xr:uid="{00000000-0005-0000-0000-0000CE170000}"/>
    <cellStyle name="Normal 2 2 5 3 8 2" xfId="12093" xr:uid="{00000000-0005-0000-0000-0000CF170000}"/>
    <cellStyle name="Normal 2 2 5 3 8_SSL" xfId="13553" xr:uid="{00000000-0005-0000-0000-0000D0170000}"/>
    <cellStyle name="Normal 2 2 5 3 9" xfId="7187" xr:uid="{00000000-0005-0000-0000-0000D1170000}"/>
    <cellStyle name="Normal 2 2 5 3_SSL" xfId="14532" xr:uid="{00000000-0005-0000-0000-0000D2170000}"/>
    <cellStyle name="Normal 2 2 5 4" xfId="464" xr:uid="{00000000-0005-0000-0000-0000D3170000}"/>
    <cellStyle name="Normal 2 2 5 4 2" xfId="1376" xr:uid="{00000000-0005-0000-0000-0000D4170000}"/>
    <cellStyle name="Normal 2 2 5 4 2 2" xfId="8031" xr:uid="{00000000-0005-0000-0000-0000D5170000}"/>
    <cellStyle name="Normal 2 2 5 4 2_SSL" xfId="17822" xr:uid="{00000000-0005-0000-0000-0000D6170000}"/>
    <cellStyle name="Normal 2 2 5 4 3" xfId="2196" xr:uid="{00000000-0005-0000-0000-0000D7170000}"/>
    <cellStyle name="Normal 2 2 5 4 3 2" xfId="8844" xr:uid="{00000000-0005-0000-0000-0000D8170000}"/>
    <cellStyle name="Normal 2 2 5 4 3_SSL" xfId="13384" xr:uid="{00000000-0005-0000-0000-0000D9170000}"/>
    <cellStyle name="Normal 2 2 5 4 4" xfId="3015" xr:uid="{00000000-0005-0000-0000-0000DA170000}"/>
    <cellStyle name="Normal 2 2 5 4 4 2" xfId="9660" xr:uid="{00000000-0005-0000-0000-0000DB170000}"/>
    <cellStyle name="Normal 2 2 5 4 4_SSL" xfId="15555" xr:uid="{00000000-0005-0000-0000-0000DC170000}"/>
    <cellStyle name="Normal 2 2 5 4 5" xfId="3836" xr:uid="{00000000-0005-0000-0000-0000DD170000}"/>
    <cellStyle name="Normal 2 2 5 4 5 2" xfId="10476" xr:uid="{00000000-0005-0000-0000-0000DE170000}"/>
    <cellStyle name="Normal 2 2 5 4 5_SSL" xfId="16261" xr:uid="{00000000-0005-0000-0000-0000DF170000}"/>
    <cellStyle name="Normal 2 2 5 4 6" xfId="4647" xr:uid="{00000000-0005-0000-0000-0000E0170000}"/>
    <cellStyle name="Normal 2 2 5 4 6 2" xfId="11286" xr:uid="{00000000-0005-0000-0000-0000E1170000}"/>
    <cellStyle name="Normal 2 2 5 4 6_SSL" xfId="17699" xr:uid="{00000000-0005-0000-0000-0000E2170000}"/>
    <cellStyle name="Normal 2 2 5 4 7" xfId="5457" xr:uid="{00000000-0005-0000-0000-0000E3170000}"/>
    <cellStyle name="Normal 2 2 5 4 7 2" xfId="12095" xr:uid="{00000000-0005-0000-0000-0000E4170000}"/>
    <cellStyle name="Normal 2 2 5 4 7_SSL" xfId="12815" xr:uid="{00000000-0005-0000-0000-0000E5170000}"/>
    <cellStyle name="Normal 2 2 5 4 8" xfId="7320" xr:uid="{00000000-0005-0000-0000-0000E6170000}"/>
    <cellStyle name="Normal 2 2 5 4 9" xfId="6374" xr:uid="{00000000-0005-0000-0000-0000E7170000}"/>
    <cellStyle name="Normal 2 2 5 4_SSL" xfId="15217" xr:uid="{00000000-0005-0000-0000-0000E8170000}"/>
    <cellStyle name="Normal 2 2 5 5" xfId="1369" xr:uid="{00000000-0005-0000-0000-0000E9170000}"/>
    <cellStyle name="Normal 2 2 5 5 2" xfId="8024" xr:uid="{00000000-0005-0000-0000-0000EA170000}"/>
    <cellStyle name="Normal 2 2 5 5_SSL" xfId="13487" xr:uid="{00000000-0005-0000-0000-0000EB170000}"/>
    <cellStyle name="Normal 2 2 5 6" xfId="2189" xr:uid="{00000000-0005-0000-0000-0000EC170000}"/>
    <cellStyle name="Normal 2 2 5 6 2" xfId="8837" xr:uid="{00000000-0005-0000-0000-0000ED170000}"/>
    <cellStyle name="Normal 2 2 5 6_SSL" xfId="17345" xr:uid="{00000000-0005-0000-0000-0000EE170000}"/>
    <cellStyle name="Normal 2 2 5 7" xfId="3008" xr:uid="{00000000-0005-0000-0000-0000EF170000}"/>
    <cellStyle name="Normal 2 2 5 7 2" xfId="9653" xr:uid="{00000000-0005-0000-0000-0000F0170000}"/>
    <cellStyle name="Normal 2 2 5 7_SSL" xfId="16437" xr:uid="{00000000-0005-0000-0000-0000F1170000}"/>
    <cellStyle name="Normal 2 2 5 8" xfId="3829" xr:uid="{00000000-0005-0000-0000-0000F2170000}"/>
    <cellStyle name="Normal 2 2 5 8 2" xfId="10469" xr:uid="{00000000-0005-0000-0000-0000F3170000}"/>
    <cellStyle name="Normal 2 2 5 8_SSL" xfId="14702" xr:uid="{00000000-0005-0000-0000-0000F4170000}"/>
    <cellStyle name="Normal 2 2 5 9" xfId="4640" xr:uid="{00000000-0005-0000-0000-0000F5170000}"/>
    <cellStyle name="Normal 2 2 5 9 2" xfId="11279" xr:uid="{00000000-0005-0000-0000-0000F6170000}"/>
    <cellStyle name="Normal 2 2 5 9_SSL" xfId="17946" xr:uid="{00000000-0005-0000-0000-0000F7170000}"/>
    <cellStyle name="Normal 2 2 5_SSL" xfId="16335" xr:uid="{00000000-0005-0000-0000-0000F8170000}"/>
    <cellStyle name="Normal 2 2 6" xfId="78" xr:uid="{00000000-0005-0000-0000-0000F9170000}"/>
    <cellStyle name="Normal 2 2 6 10" xfId="5458" xr:uid="{00000000-0005-0000-0000-0000FA170000}"/>
    <cellStyle name="Normal 2 2 6 10 2" xfId="12096" xr:uid="{00000000-0005-0000-0000-0000FB170000}"/>
    <cellStyle name="Normal 2 2 6 10_SSL" xfId="13895" xr:uid="{00000000-0005-0000-0000-0000FC170000}"/>
    <cellStyle name="Normal 2 2 6 11" xfId="6959" xr:uid="{00000000-0005-0000-0000-0000FD170000}"/>
    <cellStyle name="Normal 2 2 6 12" xfId="6375" xr:uid="{00000000-0005-0000-0000-0000FE170000}"/>
    <cellStyle name="Normal 2 2 6 2" xfId="178" xr:uid="{00000000-0005-0000-0000-0000FF170000}"/>
    <cellStyle name="Normal 2 2 6 2 10" xfId="7055" xr:uid="{00000000-0005-0000-0000-000000180000}"/>
    <cellStyle name="Normal 2 2 6 2 11" xfId="6376" xr:uid="{00000000-0005-0000-0000-000001180000}"/>
    <cellStyle name="Normal 2 2 6 2 2" xfId="330" xr:uid="{00000000-0005-0000-0000-000002180000}"/>
    <cellStyle name="Normal 2 2 6 2 2 10" xfId="6377" xr:uid="{00000000-0005-0000-0000-000003180000}"/>
    <cellStyle name="Normal 2 2 6 2 2 2" xfId="718" xr:uid="{00000000-0005-0000-0000-000004180000}"/>
    <cellStyle name="Normal 2 2 6 2 2 2 2" xfId="1380" xr:uid="{00000000-0005-0000-0000-000005180000}"/>
    <cellStyle name="Normal 2 2 6 2 2 2 2 2" xfId="8035" xr:uid="{00000000-0005-0000-0000-000006180000}"/>
    <cellStyle name="Normal 2 2 6 2 2 2 2_SSL" xfId="16331" xr:uid="{00000000-0005-0000-0000-000007180000}"/>
    <cellStyle name="Normal 2 2 6 2 2 2 3" xfId="2200" xr:uid="{00000000-0005-0000-0000-000008180000}"/>
    <cellStyle name="Normal 2 2 6 2 2 2 3 2" xfId="8848" xr:uid="{00000000-0005-0000-0000-000009180000}"/>
    <cellStyle name="Normal 2 2 6 2 2 2 3_SSL" xfId="17545" xr:uid="{00000000-0005-0000-0000-00000A180000}"/>
    <cellStyle name="Normal 2 2 6 2 2 2 4" xfId="3019" xr:uid="{00000000-0005-0000-0000-00000B180000}"/>
    <cellStyle name="Normal 2 2 6 2 2 2 4 2" xfId="9664" xr:uid="{00000000-0005-0000-0000-00000C180000}"/>
    <cellStyle name="Normal 2 2 6 2 2 2 4_SSL" xfId="17507" xr:uid="{00000000-0005-0000-0000-00000D180000}"/>
    <cellStyle name="Normal 2 2 6 2 2 2 5" xfId="3840" xr:uid="{00000000-0005-0000-0000-00000E180000}"/>
    <cellStyle name="Normal 2 2 6 2 2 2 5 2" xfId="10480" xr:uid="{00000000-0005-0000-0000-00000F180000}"/>
    <cellStyle name="Normal 2 2 6 2 2 2 5_SSL" xfId="12799" xr:uid="{00000000-0005-0000-0000-000010180000}"/>
    <cellStyle name="Normal 2 2 6 2 2 2 6" xfId="4651" xr:uid="{00000000-0005-0000-0000-000011180000}"/>
    <cellStyle name="Normal 2 2 6 2 2 2 6 2" xfId="11290" xr:uid="{00000000-0005-0000-0000-000012180000}"/>
    <cellStyle name="Normal 2 2 6 2 2 2 6_SSL" xfId="13355" xr:uid="{00000000-0005-0000-0000-000013180000}"/>
    <cellStyle name="Normal 2 2 6 2 2 2 7" xfId="5461" xr:uid="{00000000-0005-0000-0000-000014180000}"/>
    <cellStyle name="Normal 2 2 6 2 2 2 7 2" xfId="12099" xr:uid="{00000000-0005-0000-0000-000015180000}"/>
    <cellStyle name="Normal 2 2 6 2 2 2 7_SSL" xfId="16597" xr:uid="{00000000-0005-0000-0000-000016180000}"/>
    <cellStyle name="Normal 2 2 6 2 2 2 8" xfId="7574" xr:uid="{00000000-0005-0000-0000-000017180000}"/>
    <cellStyle name="Normal 2 2 6 2 2 2 9" xfId="6378" xr:uid="{00000000-0005-0000-0000-000018180000}"/>
    <cellStyle name="Normal 2 2 6 2 2 2_SSL" xfId="13624" xr:uid="{00000000-0005-0000-0000-000019180000}"/>
    <cellStyle name="Normal 2 2 6 2 2 3" xfId="1379" xr:uid="{00000000-0005-0000-0000-00001A180000}"/>
    <cellStyle name="Normal 2 2 6 2 2 3 2" xfId="8034" xr:uid="{00000000-0005-0000-0000-00001B180000}"/>
    <cellStyle name="Normal 2 2 6 2 2 3_SSL" xfId="17540" xr:uid="{00000000-0005-0000-0000-00001C180000}"/>
    <cellStyle name="Normal 2 2 6 2 2 4" xfId="2199" xr:uid="{00000000-0005-0000-0000-00001D180000}"/>
    <cellStyle name="Normal 2 2 6 2 2 4 2" xfId="8847" xr:uid="{00000000-0005-0000-0000-00001E180000}"/>
    <cellStyle name="Normal 2 2 6 2 2 4_SSL" xfId="14885" xr:uid="{00000000-0005-0000-0000-00001F180000}"/>
    <cellStyle name="Normal 2 2 6 2 2 5" xfId="3018" xr:uid="{00000000-0005-0000-0000-000020180000}"/>
    <cellStyle name="Normal 2 2 6 2 2 5 2" xfId="9663" xr:uid="{00000000-0005-0000-0000-000021180000}"/>
    <cellStyle name="Normal 2 2 6 2 2 5_SSL" xfId="15190" xr:uid="{00000000-0005-0000-0000-000022180000}"/>
    <cellStyle name="Normal 2 2 6 2 2 6" xfId="3839" xr:uid="{00000000-0005-0000-0000-000023180000}"/>
    <cellStyle name="Normal 2 2 6 2 2 6 2" xfId="10479" xr:uid="{00000000-0005-0000-0000-000024180000}"/>
    <cellStyle name="Normal 2 2 6 2 2 6_SSL" xfId="16001" xr:uid="{00000000-0005-0000-0000-000025180000}"/>
    <cellStyle name="Normal 2 2 6 2 2 7" xfId="4650" xr:uid="{00000000-0005-0000-0000-000026180000}"/>
    <cellStyle name="Normal 2 2 6 2 2 7 2" xfId="11289" xr:uid="{00000000-0005-0000-0000-000027180000}"/>
    <cellStyle name="Normal 2 2 6 2 2 7_SSL" xfId="17467" xr:uid="{00000000-0005-0000-0000-000028180000}"/>
    <cellStyle name="Normal 2 2 6 2 2 8" xfId="5460" xr:uid="{00000000-0005-0000-0000-000029180000}"/>
    <cellStyle name="Normal 2 2 6 2 2 8 2" xfId="12098" xr:uid="{00000000-0005-0000-0000-00002A180000}"/>
    <cellStyle name="Normal 2 2 6 2 2 8_SSL" xfId="16203" xr:uid="{00000000-0005-0000-0000-00002B180000}"/>
    <cellStyle name="Normal 2 2 6 2 2 9" xfId="7190" xr:uid="{00000000-0005-0000-0000-00002C180000}"/>
    <cellStyle name="Normal 2 2 6 2 2_SSL" xfId="17322" xr:uid="{00000000-0005-0000-0000-00002D180000}"/>
    <cellStyle name="Normal 2 2 6 2 3" xfId="583" xr:uid="{00000000-0005-0000-0000-00002E180000}"/>
    <cellStyle name="Normal 2 2 6 2 3 2" xfId="1381" xr:uid="{00000000-0005-0000-0000-00002F180000}"/>
    <cellStyle name="Normal 2 2 6 2 3 2 2" xfId="8036" xr:uid="{00000000-0005-0000-0000-000030180000}"/>
    <cellStyle name="Normal 2 2 6 2 3 2_SSL" xfId="15114" xr:uid="{00000000-0005-0000-0000-000031180000}"/>
    <cellStyle name="Normal 2 2 6 2 3 3" xfId="2201" xr:uid="{00000000-0005-0000-0000-000032180000}"/>
    <cellStyle name="Normal 2 2 6 2 3 3 2" xfId="8849" xr:uid="{00000000-0005-0000-0000-000033180000}"/>
    <cellStyle name="Normal 2 2 6 2 3 3_SSL" xfId="14870" xr:uid="{00000000-0005-0000-0000-000034180000}"/>
    <cellStyle name="Normal 2 2 6 2 3 4" xfId="3020" xr:uid="{00000000-0005-0000-0000-000035180000}"/>
    <cellStyle name="Normal 2 2 6 2 3 4 2" xfId="9665" xr:uid="{00000000-0005-0000-0000-000036180000}"/>
    <cellStyle name="Normal 2 2 6 2 3 4_SSL" xfId="16323" xr:uid="{00000000-0005-0000-0000-000037180000}"/>
    <cellStyle name="Normal 2 2 6 2 3 5" xfId="3841" xr:uid="{00000000-0005-0000-0000-000038180000}"/>
    <cellStyle name="Normal 2 2 6 2 3 5 2" xfId="10481" xr:uid="{00000000-0005-0000-0000-000039180000}"/>
    <cellStyle name="Normal 2 2 6 2 3 5_SSL" xfId="15390" xr:uid="{00000000-0005-0000-0000-00003A180000}"/>
    <cellStyle name="Normal 2 2 6 2 3 6" xfId="4652" xr:uid="{00000000-0005-0000-0000-00003B180000}"/>
    <cellStyle name="Normal 2 2 6 2 3 6 2" xfId="11291" xr:uid="{00000000-0005-0000-0000-00003C180000}"/>
    <cellStyle name="Normal 2 2 6 2 3 6_SSL" xfId="17603" xr:uid="{00000000-0005-0000-0000-00003D180000}"/>
    <cellStyle name="Normal 2 2 6 2 3 7" xfId="5462" xr:uid="{00000000-0005-0000-0000-00003E180000}"/>
    <cellStyle name="Normal 2 2 6 2 3 7 2" xfId="12100" xr:uid="{00000000-0005-0000-0000-00003F180000}"/>
    <cellStyle name="Normal 2 2 6 2 3 7_SSL" xfId="16670" xr:uid="{00000000-0005-0000-0000-000040180000}"/>
    <cellStyle name="Normal 2 2 6 2 3 8" xfId="7439" xr:uid="{00000000-0005-0000-0000-000041180000}"/>
    <cellStyle name="Normal 2 2 6 2 3 9" xfId="6379" xr:uid="{00000000-0005-0000-0000-000042180000}"/>
    <cellStyle name="Normal 2 2 6 2 3_SSL" xfId="17352" xr:uid="{00000000-0005-0000-0000-000043180000}"/>
    <cellStyle name="Normal 2 2 6 2 4" xfId="1378" xr:uid="{00000000-0005-0000-0000-000044180000}"/>
    <cellStyle name="Normal 2 2 6 2 4 2" xfId="8033" xr:uid="{00000000-0005-0000-0000-000045180000}"/>
    <cellStyle name="Normal 2 2 6 2 4_SSL" xfId="16255" xr:uid="{00000000-0005-0000-0000-000046180000}"/>
    <cellStyle name="Normal 2 2 6 2 5" xfId="2198" xr:uid="{00000000-0005-0000-0000-000047180000}"/>
    <cellStyle name="Normal 2 2 6 2 5 2" xfId="8846" xr:uid="{00000000-0005-0000-0000-000048180000}"/>
    <cellStyle name="Normal 2 2 6 2 5_SSL" xfId="17104" xr:uid="{00000000-0005-0000-0000-000049180000}"/>
    <cellStyle name="Normal 2 2 6 2 6" xfId="3017" xr:uid="{00000000-0005-0000-0000-00004A180000}"/>
    <cellStyle name="Normal 2 2 6 2 6 2" xfId="9662" xr:uid="{00000000-0005-0000-0000-00004B180000}"/>
    <cellStyle name="Normal 2 2 6 2 6_SSL" xfId="13615" xr:uid="{00000000-0005-0000-0000-00004C180000}"/>
    <cellStyle name="Normal 2 2 6 2 7" xfId="3838" xr:uid="{00000000-0005-0000-0000-00004D180000}"/>
    <cellStyle name="Normal 2 2 6 2 7 2" xfId="10478" xr:uid="{00000000-0005-0000-0000-00004E180000}"/>
    <cellStyle name="Normal 2 2 6 2 7_SSL" xfId="15932" xr:uid="{00000000-0005-0000-0000-00004F180000}"/>
    <cellStyle name="Normal 2 2 6 2 8" xfId="4649" xr:uid="{00000000-0005-0000-0000-000050180000}"/>
    <cellStyle name="Normal 2 2 6 2 8 2" xfId="11288" xr:uid="{00000000-0005-0000-0000-000051180000}"/>
    <cellStyle name="Normal 2 2 6 2 8_SSL" xfId="15766" xr:uid="{00000000-0005-0000-0000-000052180000}"/>
    <cellStyle name="Normal 2 2 6 2 9" xfId="5459" xr:uid="{00000000-0005-0000-0000-000053180000}"/>
    <cellStyle name="Normal 2 2 6 2 9 2" xfId="12097" xr:uid="{00000000-0005-0000-0000-000054180000}"/>
    <cellStyle name="Normal 2 2 6 2 9_SSL" xfId="14063" xr:uid="{00000000-0005-0000-0000-000055180000}"/>
    <cellStyle name="Normal 2 2 6 2_SSL" xfId="6032" xr:uid="{00000000-0005-0000-0000-000056180000}"/>
    <cellStyle name="Normal 2 2 6 3" xfId="329" xr:uid="{00000000-0005-0000-0000-000057180000}"/>
    <cellStyle name="Normal 2 2 6 3 10" xfId="6380" xr:uid="{00000000-0005-0000-0000-000058180000}"/>
    <cellStyle name="Normal 2 2 6 3 2" xfId="717" xr:uid="{00000000-0005-0000-0000-000059180000}"/>
    <cellStyle name="Normal 2 2 6 3 2 2" xfId="1383" xr:uid="{00000000-0005-0000-0000-00005A180000}"/>
    <cellStyle name="Normal 2 2 6 3 2 2 2" xfId="8038" xr:uid="{00000000-0005-0000-0000-00005B180000}"/>
    <cellStyle name="Normal 2 2 6 3 2 2_SSL" xfId="13503" xr:uid="{00000000-0005-0000-0000-00005C180000}"/>
    <cellStyle name="Normal 2 2 6 3 2 3" xfId="2203" xr:uid="{00000000-0005-0000-0000-00005D180000}"/>
    <cellStyle name="Normal 2 2 6 3 2 3 2" xfId="8851" xr:uid="{00000000-0005-0000-0000-00005E180000}"/>
    <cellStyle name="Normal 2 2 6 3 2 3_SSL" xfId="14373" xr:uid="{00000000-0005-0000-0000-00005F180000}"/>
    <cellStyle name="Normal 2 2 6 3 2 4" xfId="3022" xr:uid="{00000000-0005-0000-0000-000060180000}"/>
    <cellStyle name="Normal 2 2 6 3 2 4 2" xfId="9667" xr:uid="{00000000-0005-0000-0000-000061180000}"/>
    <cellStyle name="Normal 2 2 6 3 2 4_SSL" xfId="17281" xr:uid="{00000000-0005-0000-0000-000062180000}"/>
    <cellStyle name="Normal 2 2 6 3 2 5" xfId="3843" xr:uid="{00000000-0005-0000-0000-000063180000}"/>
    <cellStyle name="Normal 2 2 6 3 2 5 2" xfId="10483" xr:uid="{00000000-0005-0000-0000-000064180000}"/>
    <cellStyle name="Normal 2 2 6 3 2 5_SSL" xfId="14596" xr:uid="{00000000-0005-0000-0000-000065180000}"/>
    <cellStyle name="Normal 2 2 6 3 2 6" xfId="4654" xr:uid="{00000000-0005-0000-0000-000066180000}"/>
    <cellStyle name="Normal 2 2 6 3 2 6 2" xfId="11293" xr:uid="{00000000-0005-0000-0000-000067180000}"/>
    <cellStyle name="Normal 2 2 6 3 2 6_SSL" xfId="18012" xr:uid="{00000000-0005-0000-0000-000068180000}"/>
    <cellStyle name="Normal 2 2 6 3 2 7" xfId="5464" xr:uid="{00000000-0005-0000-0000-000069180000}"/>
    <cellStyle name="Normal 2 2 6 3 2 7 2" xfId="12102" xr:uid="{00000000-0005-0000-0000-00006A180000}"/>
    <cellStyle name="Normal 2 2 6 3 2 7_SSL" xfId="13173" xr:uid="{00000000-0005-0000-0000-00006B180000}"/>
    <cellStyle name="Normal 2 2 6 3 2 8" xfId="7573" xr:uid="{00000000-0005-0000-0000-00006C180000}"/>
    <cellStyle name="Normal 2 2 6 3 2 9" xfId="6381" xr:uid="{00000000-0005-0000-0000-00006D180000}"/>
    <cellStyle name="Normal 2 2 6 3 2_SSL" xfId="17801" xr:uid="{00000000-0005-0000-0000-00006E180000}"/>
    <cellStyle name="Normal 2 2 6 3 3" xfId="1382" xr:uid="{00000000-0005-0000-0000-00006F180000}"/>
    <cellStyle name="Normal 2 2 6 3 3 2" xfId="8037" xr:uid="{00000000-0005-0000-0000-000070180000}"/>
    <cellStyle name="Normal 2 2 6 3 3_SSL" xfId="15895" xr:uid="{00000000-0005-0000-0000-000071180000}"/>
    <cellStyle name="Normal 2 2 6 3 4" xfId="2202" xr:uid="{00000000-0005-0000-0000-000072180000}"/>
    <cellStyle name="Normal 2 2 6 3 4 2" xfId="8850" xr:uid="{00000000-0005-0000-0000-000073180000}"/>
    <cellStyle name="Normal 2 2 6 3 4_SSL" xfId="14935" xr:uid="{00000000-0005-0000-0000-000074180000}"/>
    <cellStyle name="Normal 2 2 6 3 5" xfId="3021" xr:uid="{00000000-0005-0000-0000-000075180000}"/>
    <cellStyle name="Normal 2 2 6 3 5 2" xfId="9666" xr:uid="{00000000-0005-0000-0000-000076180000}"/>
    <cellStyle name="Normal 2 2 6 3 5_SSL" xfId="13060" xr:uid="{00000000-0005-0000-0000-000077180000}"/>
    <cellStyle name="Normal 2 2 6 3 6" xfId="3842" xr:uid="{00000000-0005-0000-0000-000078180000}"/>
    <cellStyle name="Normal 2 2 6 3 6 2" xfId="10482" xr:uid="{00000000-0005-0000-0000-000079180000}"/>
    <cellStyle name="Normal 2 2 6 3 6_SSL" xfId="17689" xr:uid="{00000000-0005-0000-0000-00007A180000}"/>
    <cellStyle name="Normal 2 2 6 3 7" xfId="4653" xr:uid="{00000000-0005-0000-0000-00007B180000}"/>
    <cellStyle name="Normal 2 2 6 3 7 2" xfId="11292" xr:uid="{00000000-0005-0000-0000-00007C180000}"/>
    <cellStyle name="Normal 2 2 6 3 7_SSL" xfId="16774" xr:uid="{00000000-0005-0000-0000-00007D180000}"/>
    <cellStyle name="Normal 2 2 6 3 8" xfId="5463" xr:uid="{00000000-0005-0000-0000-00007E180000}"/>
    <cellStyle name="Normal 2 2 6 3 8 2" xfId="12101" xr:uid="{00000000-0005-0000-0000-00007F180000}"/>
    <cellStyle name="Normal 2 2 6 3 8_SSL" xfId="16099" xr:uid="{00000000-0005-0000-0000-000080180000}"/>
    <cellStyle name="Normal 2 2 6 3 9" xfId="7189" xr:uid="{00000000-0005-0000-0000-000081180000}"/>
    <cellStyle name="Normal 2 2 6 3_SSL" xfId="13981" xr:uid="{00000000-0005-0000-0000-000082180000}"/>
    <cellStyle name="Normal 2 2 6 4" xfId="487" xr:uid="{00000000-0005-0000-0000-000083180000}"/>
    <cellStyle name="Normal 2 2 6 4 2" xfId="1384" xr:uid="{00000000-0005-0000-0000-000084180000}"/>
    <cellStyle name="Normal 2 2 6 4 2 2" xfId="8039" xr:uid="{00000000-0005-0000-0000-000085180000}"/>
    <cellStyle name="Normal 2 2 6 4 2_SSL" xfId="16708" xr:uid="{00000000-0005-0000-0000-000086180000}"/>
    <cellStyle name="Normal 2 2 6 4 3" xfId="2204" xr:uid="{00000000-0005-0000-0000-000087180000}"/>
    <cellStyle name="Normal 2 2 6 4 3 2" xfId="8852" xr:uid="{00000000-0005-0000-0000-000088180000}"/>
    <cellStyle name="Normal 2 2 6 4 3_SSL" xfId="12989" xr:uid="{00000000-0005-0000-0000-000089180000}"/>
    <cellStyle name="Normal 2 2 6 4 4" xfId="3023" xr:uid="{00000000-0005-0000-0000-00008A180000}"/>
    <cellStyle name="Normal 2 2 6 4 4 2" xfId="9668" xr:uid="{00000000-0005-0000-0000-00008B180000}"/>
    <cellStyle name="Normal 2 2 6 4 4_SSL" xfId="15490" xr:uid="{00000000-0005-0000-0000-00008C180000}"/>
    <cellStyle name="Normal 2 2 6 4 5" xfId="3844" xr:uid="{00000000-0005-0000-0000-00008D180000}"/>
    <cellStyle name="Normal 2 2 6 4 5 2" xfId="10484" xr:uid="{00000000-0005-0000-0000-00008E180000}"/>
    <cellStyle name="Normal 2 2 6 4 5_SSL" xfId="13455" xr:uid="{00000000-0005-0000-0000-00008F180000}"/>
    <cellStyle name="Normal 2 2 6 4 6" xfId="4655" xr:uid="{00000000-0005-0000-0000-000090180000}"/>
    <cellStyle name="Normal 2 2 6 4 6 2" xfId="11294" xr:uid="{00000000-0005-0000-0000-000091180000}"/>
    <cellStyle name="Normal 2 2 6 4 6_SSL" xfId="17929" xr:uid="{00000000-0005-0000-0000-000092180000}"/>
    <cellStyle name="Normal 2 2 6 4 7" xfId="5465" xr:uid="{00000000-0005-0000-0000-000093180000}"/>
    <cellStyle name="Normal 2 2 6 4 7 2" xfId="12103" xr:uid="{00000000-0005-0000-0000-000094180000}"/>
    <cellStyle name="Normal 2 2 6 4 7_SSL" xfId="13716" xr:uid="{00000000-0005-0000-0000-000095180000}"/>
    <cellStyle name="Normal 2 2 6 4 8" xfId="7343" xr:uid="{00000000-0005-0000-0000-000096180000}"/>
    <cellStyle name="Normal 2 2 6 4 9" xfId="6382" xr:uid="{00000000-0005-0000-0000-000097180000}"/>
    <cellStyle name="Normal 2 2 6 4_SSL" xfId="13844" xr:uid="{00000000-0005-0000-0000-000098180000}"/>
    <cellStyle name="Normal 2 2 6 5" xfId="1377" xr:uid="{00000000-0005-0000-0000-000099180000}"/>
    <cellStyle name="Normal 2 2 6 5 2" xfId="8032" xr:uid="{00000000-0005-0000-0000-00009A180000}"/>
    <cellStyle name="Normal 2 2 6 5_SSL" xfId="14800" xr:uid="{00000000-0005-0000-0000-00009B180000}"/>
    <cellStyle name="Normal 2 2 6 6" xfId="2197" xr:uid="{00000000-0005-0000-0000-00009C180000}"/>
    <cellStyle name="Normal 2 2 6 6 2" xfId="8845" xr:uid="{00000000-0005-0000-0000-00009D180000}"/>
    <cellStyle name="Normal 2 2 6 6_SSL" xfId="13021" xr:uid="{00000000-0005-0000-0000-00009E180000}"/>
    <cellStyle name="Normal 2 2 6 7" xfId="3016" xr:uid="{00000000-0005-0000-0000-00009F180000}"/>
    <cellStyle name="Normal 2 2 6 7 2" xfId="9661" xr:uid="{00000000-0005-0000-0000-0000A0180000}"/>
    <cellStyle name="Normal 2 2 6 7_SSL" xfId="13912" xr:uid="{00000000-0005-0000-0000-0000A1180000}"/>
    <cellStyle name="Normal 2 2 6 8" xfId="3837" xr:uid="{00000000-0005-0000-0000-0000A2180000}"/>
    <cellStyle name="Normal 2 2 6 8 2" xfId="10477" xr:uid="{00000000-0005-0000-0000-0000A3180000}"/>
    <cellStyle name="Normal 2 2 6 8_SSL" xfId="16193" xr:uid="{00000000-0005-0000-0000-0000A4180000}"/>
    <cellStyle name="Normal 2 2 6 9" xfId="4648" xr:uid="{00000000-0005-0000-0000-0000A5180000}"/>
    <cellStyle name="Normal 2 2 6 9 2" xfId="11287" xr:uid="{00000000-0005-0000-0000-0000A6180000}"/>
    <cellStyle name="Normal 2 2 6 9_SSL" xfId="16484" xr:uid="{00000000-0005-0000-0000-0000A7180000}"/>
    <cellStyle name="Normal 2 2 6_SSL" xfId="14685" xr:uid="{00000000-0005-0000-0000-0000A8180000}"/>
    <cellStyle name="Normal 2 2 7" xfId="105" xr:uid="{00000000-0005-0000-0000-0000A9180000}"/>
    <cellStyle name="Normal 2 2 7 10" xfId="5466" xr:uid="{00000000-0005-0000-0000-0000AA180000}"/>
    <cellStyle name="Normal 2 2 7 10 2" xfId="12104" xr:uid="{00000000-0005-0000-0000-0000AB180000}"/>
    <cellStyle name="Normal 2 2 7 10_SSL" xfId="15911" xr:uid="{00000000-0005-0000-0000-0000AC180000}"/>
    <cellStyle name="Normal 2 2 7 11" xfId="6982" xr:uid="{00000000-0005-0000-0000-0000AD180000}"/>
    <cellStyle name="Normal 2 2 7 12" xfId="6383" xr:uid="{00000000-0005-0000-0000-0000AE180000}"/>
    <cellStyle name="Normal 2 2 7 2" xfId="201" xr:uid="{00000000-0005-0000-0000-0000AF180000}"/>
    <cellStyle name="Normal 2 2 7 2 10" xfId="7078" xr:uid="{00000000-0005-0000-0000-0000B0180000}"/>
    <cellStyle name="Normal 2 2 7 2 11" xfId="6384" xr:uid="{00000000-0005-0000-0000-0000B1180000}"/>
    <cellStyle name="Normal 2 2 7 2 2" xfId="332" xr:uid="{00000000-0005-0000-0000-0000B2180000}"/>
    <cellStyle name="Normal 2 2 7 2 2 10" xfId="6385" xr:uid="{00000000-0005-0000-0000-0000B3180000}"/>
    <cellStyle name="Normal 2 2 7 2 2 2" xfId="720" xr:uid="{00000000-0005-0000-0000-0000B4180000}"/>
    <cellStyle name="Normal 2 2 7 2 2 2 2" xfId="1388" xr:uid="{00000000-0005-0000-0000-0000B5180000}"/>
    <cellStyle name="Normal 2 2 7 2 2 2 2 2" xfId="8043" xr:uid="{00000000-0005-0000-0000-0000B6180000}"/>
    <cellStyle name="Normal 2 2 7 2 2 2 2_SSL" xfId="14257" xr:uid="{00000000-0005-0000-0000-0000B7180000}"/>
    <cellStyle name="Normal 2 2 7 2 2 2 3" xfId="2208" xr:uid="{00000000-0005-0000-0000-0000B8180000}"/>
    <cellStyle name="Normal 2 2 7 2 2 2 3 2" xfId="8856" xr:uid="{00000000-0005-0000-0000-0000B9180000}"/>
    <cellStyle name="Normal 2 2 7 2 2 2 3_SSL" xfId="17475" xr:uid="{00000000-0005-0000-0000-0000BA180000}"/>
    <cellStyle name="Normal 2 2 7 2 2 2 4" xfId="3027" xr:uid="{00000000-0005-0000-0000-0000BB180000}"/>
    <cellStyle name="Normal 2 2 7 2 2 2 4 2" xfId="9672" xr:uid="{00000000-0005-0000-0000-0000BC180000}"/>
    <cellStyle name="Normal 2 2 7 2 2 2 4_SSL" xfId="15284" xr:uid="{00000000-0005-0000-0000-0000BD180000}"/>
    <cellStyle name="Normal 2 2 7 2 2 2 5" xfId="3848" xr:uid="{00000000-0005-0000-0000-0000BE180000}"/>
    <cellStyle name="Normal 2 2 7 2 2 2 5 2" xfId="10488" xr:uid="{00000000-0005-0000-0000-0000BF180000}"/>
    <cellStyle name="Normal 2 2 7 2 2 2 5_SSL" xfId="12748" xr:uid="{00000000-0005-0000-0000-0000C0180000}"/>
    <cellStyle name="Normal 2 2 7 2 2 2 6" xfId="4659" xr:uid="{00000000-0005-0000-0000-0000C1180000}"/>
    <cellStyle name="Normal 2 2 7 2 2 2 6 2" xfId="11298" xr:uid="{00000000-0005-0000-0000-0000C2180000}"/>
    <cellStyle name="Normal 2 2 7 2 2 2 6_SSL" xfId="16223" xr:uid="{00000000-0005-0000-0000-0000C3180000}"/>
    <cellStyle name="Normal 2 2 7 2 2 2 7" xfId="5469" xr:uid="{00000000-0005-0000-0000-0000C4180000}"/>
    <cellStyle name="Normal 2 2 7 2 2 2 7 2" xfId="12107" xr:uid="{00000000-0005-0000-0000-0000C5180000}"/>
    <cellStyle name="Normal 2 2 7 2 2 2 7_SSL" xfId="17302" xr:uid="{00000000-0005-0000-0000-0000C6180000}"/>
    <cellStyle name="Normal 2 2 7 2 2 2 8" xfId="7576" xr:uid="{00000000-0005-0000-0000-0000C7180000}"/>
    <cellStyle name="Normal 2 2 7 2 2 2 9" xfId="6386" xr:uid="{00000000-0005-0000-0000-0000C8180000}"/>
    <cellStyle name="Normal 2 2 7 2 2 2_SSL" xfId="15522" xr:uid="{00000000-0005-0000-0000-0000C9180000}"/>
    <cellStyle name="Normal 2 2 7 2 2 3" xfId="1387" xr:uid="{00000000-0005-0000-0000-0000CA180000}"/>
    <cellStyle name="Normal 2 2 7 2 2 3 2" xfId="8042" xr:uid="{00000000-0005-0000-0000-0000CB180000}"/>
    <cellStyle name="Normal 2 2 7 2 2 3_SSL" xfId="14840" xr:uid="{00000000-0005-0000-0000-0000CC180000}"/>
    <cellStyle name="Normal 2 2 7 2 2 4" xfId="2207" xr:uid="{00000000-0005-0000-0000-0000CD180000}"/>
    <cellStyle name="Normal 2 2 7 2 2 4 2" xfId="8855" xr:uid="{00000000-0005-0000-0000-0000CE180000}"/>
    <cellStyle name="Normal 2 2 7 2 2 4_SSL" xfId="13363" xr:uid="{00000000-0005-0000-0000-0000CF180000}"/>
    <cellStyle name="Normal 2 2 7 2 2 5" xfId="3026" xr:uid="{00000000-0005-0000-0000-0000D0180000}"/>
    <cellStyle name="Normal 2 2 7 2 2 5 2" xfId="9671" xr:uid="{00000000-0005-0000-0000-0000D1180000}"/>
    <cellStyle name="Normal 2 2 7 2 2 5_SSL" xfId="17543" xr:uid="{00000000-0005-0000-0000-0000D2180000}"/>
    <cellStyle name="Normal 2 2 7 2 2 6" xfId="3847" xr:uid="{00000000-0005-0000-0000-0000D3180000}"/>
    <cellStyle name="Normal 2 2 7 2 2 6 2" xfId="10487" xr:uid="{00000000-0005-0000-0000-0000D4180000}"/>
    <cellStyle name="Normal 2 2 7 2 2 6_SSL" xfId="6919" xr:uid="{00000000-0005-0000-0000-0000D5180000}"/>
    <cellStyle name="Normal 2 2 7 2 2 7" xfId="4658" xr:uid="{00000000-0005-0000-0000-0000D6180000}"/>
    <cellStyle name="Normal 2 2 7 2 2 7 2" xfId="11297" xr:uid="{00000000-0005-0000-0000-0000D7180000}"/>
    <cellStyle name="Normal 2 2 7 2 2 7_SSL" xfId="14683" xr:uid="{00000000-0005-0000-0000-0000D8180000}"/>
    <cellStyle name="Normal 2 2 7 2 2 8" xfId="5468" xr:uid="{00000000-0005-0000-0000-0000D9180000}"/>
    <cellStyle name="Normal 2 2 7 2 2 8 2" xfId="12106" xr:uid="{00000000-0005-0000-0000-0000DA180000}"/>
    <cellStyle name="Normal 2 2 7 2 2 8_SSL" xfId="13488" xr:uid="{00000000-0005-0000-0000-0000DB180000}"/>
    <cellStyle name="Normal 2 2 7 2 2 9" xfId="7192" xr:uid="{00000000-0005-0000-0000-0000DC180000}"/>
    <cellStyle name="Normal 2 2 7 2 2_SSL" xfId="17868" xr:uid="{00000000-0005-0000-0000-0000DD180000}"/>
    <cellStyle name="Normal 2 2 7 2 3" xfId="606" xr:uid="{00000000-0005-0000-0000-0000DE180000}"/>
    <cellStyle name="Normal 2 2 7 2 3 2" xfId="1389" xr:uid="{00000000-0005-0000-0000-0000DF180000}"/>
    <cellStyle name="Normal 2 2 7 2 3 2 2" xfId="8044" xr:uid="{00000000-0005-0000-0000-0000E0180000}"/>
    <cellStyle name="Normal 2 2 7 2 3 2_SSL" xfId="17987" xr:uid="{00000000-0005-0000-0000-0000E1180000}"/>
    <cellStyle name="Normal 2 2 7 2 3 3" xfId="2209" xr:uid="{00000000-0005-0000-0000-0000E2180000}"/>
    <cellStyle name="Normal 2 2 7 2 3 3 2" xfId="8857" xr:uid="{00000000-0005-0000-0000-0000E3180000}"/>
    <cellStyle name="Normal 2 2 7 2 3 3_SSL" xfId="15471" xr:uid="{00000000-0005-0000-0000-0000E4180000}"/>
    <cellStyle name="Normal 2 2 7 2 3 4" xfId="3028" xr:uid="{00000000-0005-0000-0000-0000E5180000}"/>
    <cellStyle name="Normal 2 2 7 2 3 4 2" xfId="9673" xr:uid="{00000000-0005-0000-0000-0000E6180000}"/>
    <cellStyle name="Normal 2 2 7 2 3 4_SSL" xfId="15200" xr:uid="{00000000-0005-0000-0000-0000E7180000}"/>
    <cellStyle name="Normal 2 2 7 2 3 5" xfId="3849" xr:uid="{00000000-0005-0000-0000-0000E8180000}"/>
    <cellStyle name="Normal 2 2 7 2 3 5 2" xfId="10489" xr:uid="{00000000-0005-0000-0000-0000E9180000}"/>
    <cellStyle name="Normal 2 2 7 2 3 5_SSL" xfId="13039" xr:uid="{00000000-0005-0000-0000-0000EA180000}"/>
    <cellStyle name="Normal 2 2 7 2 3 6" xfId="4660" xr:uid="{00000000-0005-0000-0000-0000EB180000}"/>
    <cellStyle name="Normal 2 2 7 2 3 6 2" xfId="11299" xr:uid="{00000000-0005-0000-0000-0000EC180000}"/>
    <cellStyle name="Normal 2 2 7 2 3 6_SSL" xfId="13903" xr:uid="{00000000-0005-0000-0000-0000ED180000}"/>
    <cellStyle name="Normal 2 2 7 2 3 7" xfId="5470" xr:uid="{00000000-0005-0000-0000-0000EE180000}"/>
    <cellStyle name="Normal 2 2 7 2 3 7 2" xfId="12108" xr:uid="{00000000-0005-0000-0000-0000EF180000}"/>
    <cellStyle name="Normal 2 2 7 2 3 7_SSL" xfId="14209" xr:uid="{00000000-0005-0000-0000-0000F0180000}"/>
    <cellStyle name="Normal 2 2 7 2 3 8" xfId="7462" xr:uid="{00000000-0005-0000-0000-0000F1180000}"/>
    <cellStyle name="Normal 2 2 7 2 3 9" xfId="6387" xr:uid="{00000000-0005-0000-0000-0000F2180000}"/>
    <cellStyle name="Normal 2 2 7 2 3_SSL" xfId="5993" xr:uid="{00000000-0005-0000-0000-0000F3180000}"/>
    <cellStyle name="Normal 2 2 7 2 4" xfId="1386" xr:uid="{00000000-0005-0000-0000-0000F4180000}"/>
    <cellStyle name="Normal 2 2 7 2 4 2" xfId="8041" xr:uid="{00000000-0005-0000-0000-0000F5180000}"/>
    <cellStyle name="Normal 2 2 7 2 4_SSL" xfId="12694" xr:uid="{00000000-0005-0000-0000-0000F6180000}"/>
    <cellStyle name="Normal 2 2 7 2 5" xfId="2206" xr:uid="{00000000-0005-0000-0000-0000F7180000}"/>
    <cellStyle name="Normal 2 2 7 2 5 2" xfId="8854" xr:uid="{00000000-0005-0000-0000-0000F8180000}"/>
    <cellStyle name="Normal 2 2 7 2 5_SSL" xfId="15177" xr:uid="{00000000-0005-0000-0000-0000F9180000}"/>
    <cellStyle name="Normal 2 2 7 2 6" xfId="3025" xr:uid="{00000000-0005-0000-0000-0000FA180000}"/>
    <cellStyle name="Normal 2 2 7 2 6 2" xfId="9670" xr:uid="{00000000-0005-0000-0000-0000FB180000}"/>
    <cellStyle name="Normal 2 2 7 2 6_SSL" xfId="15831" xr:uid="{00000000-0005-0000-0000-0000FC180000}"/>
    <cellStyle name="Normal 2 2 7 2 7" xfId="3846" xr:uid="{00000000-0005-0000-0000-0000FD180000}"/>
    <cellStyle name="Normal 2 2 7 2 7 2" xfId="10486" xr:uid="{00000000-0005-0000-0000-0000FE180000}"/>
    <cellStyle name="Normal 2 2 7 2 7_SSL" xfId="13956" xr:uid="{00000000-0005-0000-0000-0000FF180000}"/>
    <cellStyle name="Normal 2 2 7 2 8" xfId="4657" xr:uid="{00000000-0005-0000-0000-000000190000}"/>
    <cellStyle name="Normal 2 2 7 2 8 2" xfId="11296" xr:uid="{00000000-0005-0000-0000-000001190000}"/>
    <cellStyle name="Normal 2 2 7 2 8_SSL" xfId="13826" xr:uid="{00000000-0005-0000-0000-000002190000}"/>
    <cellStyle name="Normal 2 2 7 2 9" xfId="5467" xr:uid="{00000000-0005-0000-0000-000003190000}"/>
    <cellStyle name="Normal 2 2 7 2 9 2" xfId="12105" xr:uid="{00000000-0005-0000-0000-000004190000}"/>
    <cellStyle name="Normal 2 2 7 2 9_SSL" xfId="16755" xr:uid="{00000000-0005-0000-0000-000005190000}"/>
    <cellStyle name="Normal 2 2 7 2_SSL" xfId="17099" xr:uid="{00000000-0005-0000-0000-000006190000}"/>
    <cellStyle name="Normal 2 2 7 3" xfId="331" xr:uid="{00000000-0005-0000-0000-000007190000}"/>
    <cellStyle name="Normal 2 2 7 3 10" xfId="6388" xr:uid="{00000000-0005-0000-0000-000008190000}"/>
    <cellStyle name="Normal 2 2 7 3 2" xfId="719" xr:uid="{00000000-0005-0000-0000-000009190000}"/>
    <cellStyle name="Normal 2 2 7 3 2 2" xfId="1391" xr:uid="{00000000-0005-0000-0000-00000A190000}"/>
    <cellStyle name="Normal 2 2 7 3 2 2 2" xfId="8046" xr:uid="{00000000-0005-0000-0000-00000B190000}"/>
    <cellStyle name="Normal 2 2 7 3 2 2_SSL" xfId="13064" xr:uid="{00000000-0005-0000-0000-00000C190000}"/>
    <cellStyle name="Normal 2 2 7 3 2 3" xfId="2211" xr:uid="{00000000-0005-0000-0000-00000D190000}"/>
    <cellStyle name="Normal 2 2 7 3 2 3 2" xfId="8859" xr:uid="{00000000-0005-0000-0000-00000E190000}"/>
    <cellStyle name="Normal 2 2 7 3 2 3_SSL" xfId="17482" xr:uid="{00000000-0005-0000-0000-00000F190000}"/>
    <cellStyle name="Normal 2 2 7 3 2 4" xfId="3030" xr:uid="{00000000-0005-0000-0000-000010190000}"/>
    <cellStyle name="Normal 2 2 7 3 2 4 2" xfId="9675" xr:uid="{00000000-0005-0000-0000-000011190000}"/>
    <cellStyle name="Normal 2 2 7 3 2 4_SSL" xfId="15757" xr:uid="{00000000-0005-0000-0000-000012190000}"/>
    <cellStyle name="Normal 2 2 7 3 2 5" xfId="3851" xr:uid="{00000000-0005-0000-0000-000013190000}"/>
    <cellStyle name="Normal 2 2 7 3 2 5 2" xfId="10491" xr:uid="{00000000-0005-0000-0000-000014190000}"/>
    <cellStyle name="Normal 2 2 7 3 2 5_SSL" xfId="17967" xr:uid="{00000000-0005-0000-0000-000015190000}"/>
    <cellStyle name="Normal 2 2 7 3 2 6" xfId="4662" xr:uid="{00000000-0005-0000-0000-000016190000}"/>
    <cellStyle name="Normal 2 2 7 3 2 6 2" xfId="11301" xr:uid="{00000000-0005-0000-0000-000017190000}"/>
    <cellStyle name="Normal 2 2 7 3 2 6_SSL" xfId="13375" xr:uid="{00000000-0005-0000-0000-000018190000}"/>
    <cellStyle name="Normal 2 2 7 3 2 7" xfId="5472" xr:uid="{00000000-0005-0000-0000-000019190000}"/>
    <cellStyle name="Normal 2 2 7 3 2 7 2" xfId="12110" xr:uid="{00000000-0005-0000-0000-00001A190000}"/>
    <cellStyle name="Normal 2 2 7 3 2 7_SSL" xfId="13694" xr:uid="{00000000-0005-0000-0000-00001B190000}"/>
    <cellStyle name="Normal 2 2 7 3 2 8" xfId="7575" xr:uid="{00000000-0005-0000-0000-00001C190000}"/>
    <cellStyle name="Normal 2 2 7 3 2 9" xfId="6389" xr:uid="{00000000-0005-0000-0000-00001D190000}"/>
    <cellStyle name="Normal 2 2 7 3 2_SSL" xfId="16633" xr:uid="{00000000-0005-0000-0000-00001E190000}"/>
    <cellStyle name="Normal 2 2 7 3 3" xfId="1390" xr:uid="{00000000-0005-0000-0000-00001F190000}"/>
    <cellStyle name="Normal 2 2 7 3 3 2" xfId="8045" xr:uid="{00000000-0005-0000-0000-000020190000}"/>
    <cellStyle name="Normal 2 2 7 3 3_SSL" xfId="17726" xr:uid="{00000000-0005-0000-0000-000021190000}"/>
    <cellStyle name="Normal 2 2 7 3 4" xfId="2210" xr:uid="{00000000-0005-0000-0000-000022190000}"/>
    <cellStyle name="Normal 2 2 7 3 4 2" xfId="8858" xr:uid="{00000000-0005-0000-0000-000023190000}"/>
    <cellStyle name="Normal 2 2 7 3 4_SSL" xfId="14960" xr:uid="{00000000-0005-0000-0000-000024190000}"/>
    <cellStyle name="Normal 2 2 7 3 5" xfId="3029" xr:uid="{00000000-0005-0000-0000-000025190000}"/>
    <cellStyle name="Normal 2 2 7 3 5 2" xfId="9674" xr:uid="{00000000-0005-0000-0000-000026190000}"/>
    <cellStyle name="Normal 2 2 7 3 5_SSL" xfId="16236" xr:uid="{00000000-0005-0000-0000-000027190000}"/>
    <cellStyle name="Normal 2 2 7 3 6" xfId="3850" xr:uid="{00000000-0005-0000-0000-000028190000}"/>
    <cellStyle name="Normal 2 2 7 3 6 2" xfId="10490" xr:uid="{00000000-0005-0000-0000-000029190000}"/>
    <cellStyle name="Normal 2 2 7 3 6_SSL" xfId="17196" xr:uid="{00000000-0005-0000-0000-00002A190000}"/>
    <cellStyle name="Normal 2 2 7 3 7" xfId="4661" xr:uid="{00000000-0005-0000-0000-00002B190000}"/>
    <cellStyle name="Normal 2 2 7 3 7 2" xfId="11300" xr:uid="{00000000-0005-0000-0000-00002C190000}"/>
    <cellStyle name="Normal 2 2 7 3 7_SSL" xfId="14008" xr:uid="{00000000-0005-0000-0000-00002D190000}"/>
    <cellStyle name="Normal 2 2 7 3 8" xfId="5471" xr:uid="{00000000-0005-0000-0000-00002E190000}"/>
    <cellStyle name="Normal 2 2 7 3 8 2" xfId="12109" xr:uid="{00000000-0005-0000-0000-00002F190000}"/>
    <cellStyle name="Normal 2 2 7 3 8_SSL" xfId="13445" xr:uid="{00000000-0005-0000-0000-000030190000}"/>
    <cellStyle name="Normal 2 2 7 3 9" xfId="7191" xr:uid="{00000000-0005-0000-0000-000031190000}"/>
    <cellStyle name="Normal 2 2 7 3_SSL" xfId="17473" xr:uid="{00000000-0005-0000-0000-000032190000}"/>
    <cellStyle name="Normal 2 2 7 4" xfId="510" xr:uid="{00000000-0005-0000-0000-000033190000}"/>
    <cellStyle name="Normal 2 2 7 4 2" xfId="1392" xr:uid="{00000000-0005-0000-0000-000034190000}"/>
    <cellStyle name="Normal 2 2 7 4 2 2" xfId="8047" xr:uid="{00000000-0005-0000-0000-000035190000}"/>
    <cellStyle name="Normal 2 2 7 4 2_SSL" xfId="15270" xr:uid="{00000000-0005-0000-0000-000036190000}"/>
    <cellStyle name="Normal 2 2 7 4 3" xfId="2212" xr:uid="{00000000-0005-0000-0000-000037190000}"/>
    <cellStyle name="Normal 2 2 7 4 3 2" xfId="8860" xr:uid="{00000000-0005-0000-0000-000038190000}"/>
    <cellStyle name="Normal 2 2 7 4 3_SSL" xfId="16453" xr:uid="{00000000-0005-0000-0000-000039190000}"/>
    <cellStyle name="Normal 2 2 7 4 4" xfId="3031" xr:uid="{00000000-0005-0000-0000-00003A190000}"/>
    <cellStyle name="Normal 2 2 7 4 4 2" xfId="9676" xr:uid="{00000000-0005-0000-0000-00003B190000}"/>
    <cellStyle name="Normal 2 2 7 4 4_SSL" xfId="12981" xr:uid="{00000000-0005-0000-0000-00003C190000}"/>
    <cellStyle name="Normal 2 2 7 4 5" xfId="3852" xr:uid="{00000000-0005-0000-0000-00003D190000}"/>
    <cellStyle name="Normal 2 2 7 4 5 2" xfId="10492" xr:uid="{00000000-0005-0000-0000-00003E190000}"/>
    <cellStyle name="Normal 2 2 7 4 5_SSL" xfId="16953" xr:uid="{00000000-0005-0000-0000-00003F190000}"/>
    <cellStyle name="Normal 2 2 7 4 6" xfId="4663" xr:uid="{00000000-0005-0000-0000-000040190000}"/>
    <cellStyle name="Normal 2 2 7 4 6 2" xfId="11302" xr:uid="{00000000-0005-0000-0000-000041190000}"/>
    <cellStyle name="Normal 2 2 7 4 6_SSL" xfId="15847" xr:uid="{00000000-0005-0000-0000-000042190000}"/>
    <cellStyle name="Normal 2 2 7 4 7" xfId="5473" xr:uid="{00000000-0005-0000-0000-000043190000}"/>
    <cellStyle name="Normal 2 2 7 4 7 2" xfId="12111" xr:uid="{00000000-0005-0000-0000-000044190000}"/>
    <cellStyle name="Normal 2 2 7 4 7_SSL" xfId="14449" xr:uid="{00000000-0005-0000-0000-000045190000}"/>
    <cellStyle name="Normal 2 2 7 4 8" xfId="7366" xr:uid="{00000000-0005-0000-0000-000046190000}"/>
    <cellStyle name="Normal 2 2 7 4 9" xfId="6390" xr:uid="{00000000-0005-0000-0000-000047190000}"/>
    <cellStyle name="Normal 2 2 7 4_SSL" xfId="16262" xr:uid="{00000000-0005-0000-0000-000048190000}"/>
    <cellStyle name="Normal 2 2 7 5" xfId="1385" xr:uid="{00000000-0005-0000-0000-000049190000}"/>
    <cellStyle name="Normal 2 2 7 5 2" xfId="8040" xr:uid="{00000000-0005-0000-0000-00004A190000}"/>
    <cellStyle name="Normal 2 2 7 5_SSL" xfId="17182" xr:uid="{00000000-0005-0000-0000-00004B190000}"/>
    <cellStyle name="Normal 2 2 7 6" xfId="2205" xr:uid="{00000000-0005-0000-0000-00004C190000}"/>
    <cellStyle name="Normal 2 2 7 6 2" xfId="8853" xr:uid="{00000000-0005-0000-0000-00004D190000}"/>
    <cellStyle name="Normal 2 2 7 6_SSL" xfId="16283" xr:uid="{00000000-0005-0000-0000-00004E190000}"/>
    <cellStyle name="Normal 2 2 7 7" xfId="3024" xr:uid="{00000000-0005-0000-0000-00004F190000}"/>
    <cellStyle name="Normal 2 2 7 7 2" xfId="9669" xr:uid="{00000000-0005-0000-0000-000050190000}"/>
    <cellStyle name="Normal 2 2 7 7_SSL" xfId="16501" xr:uid="{00000000-0005-0000-0000-000051190000}"/>
    <cellStyle name="Normal 2 2 7 8" xfId="3845" xr:uid="{00000000-0005-0000-0000-000052190000}"/>
    <cellStyle name="Normal 2 2 7 8 2" xfId="10485" xr:uid="{00000000-0005-0000-0000-000053190000}"/>
    <cellStyle name="Normal 2 2 7 8_SSL" xfId="17425" xr:uid="{00000000-0005-0000-0000-000054190000}"/>
    <cellStyle name="Normal 2 2 7 9" xfId="4656" xr:uid="{00000000-0005-0000-0000-000055190000}"/>
    <cellStyle name="Normal 2 2 7 9 2" xfId="11295" xr:uid="{00000000-0005-0000-0000-000056190000}"/>
    <cellStyle name="Normal 2 2 7 9_SSL" xfId="13496" xr:uid="{00000000-0005-0000-0000-000057190000}"/>
    <cellStyle name="Normal 2 2 7_SSL" xfId="17519" xr:uid="{00000000-0005-0000-0000-000058190000}"/>
    <cellStyle name="Normal 2 2 8" xfId="130" xr:uid="{00000000-0005-0000-0000-000059190000}"/>
    <cellStyle name="Normal 2 2 8 10" xfId="7007" xr:uid="{00000000-0005-0000-0000-00005A190000}"/>
    <cellStyle name="Normal 2 2 8 11" xfId="6391" xr:uid="{00000000-0005-0000-0000-00005B190000}"/>
    <cellStyle name="Normal 2 2 8 2" xfId="333" xr:uid="{00000000-0005-0000-0000-00005C190000}"/>
    <cellStyle name="Normal 2 2 8 2 10" xfId="6392" xr:uid="{00000000-0005-0000-0000-00005D190000}"/>
    <cellStyle name="Normal 2 2 8 2 2" xfId="721" xr:uid="{00000000-0005-0000-0000-00005E190000}"/>
    <cellStyle name="Normal 2 2 8 2 2 2" xfId="1395" xr:uid="{00000000-0005-0000-0000-00005F190000}"/>
    <cellStyle name="Normal 2 2 8 2 2 2 2" xfId="8050" xr:uid="{00000000-0005-0000-0000-000060190000}"/>
    <cellStyle name="Normal 2 2 8 2 2 2_SSL" xfId="16534" xr:uid="{00000000-0005-0000-0000-000061190000}"/>
    <cellStyle name="Normal 2 2 8 2 2 3" xfId="2215" xr:uid="{00000000-0005-0000-0000-000062190000}"/>
    <cellStyle name="Normal 2 2 8 2 2 3 2" xfId="8863" xr:uid="{00000000-0005-0000-0000-000063190000}"/>
    <cellStyle name="Normal 2 2 8 2 2 3_SSL" xfId="15462" xr:uid="{00000000-0005-0000-0000-000064190000}"/>
    <cellStyle name="Normal 2 2 8 2 2 4" xfId="3034" xr:uid="{00000000-0005-0000-0000-000065190000}"/>
    <cellStyle name="Normal 2 2 8 2 2 4 2" xfId="9679" xr:uid="{00000000-0005-0000-0000-000066190000}"/>
    <cellStyle name="Normal 2 2 8 2 2 4_SSL" xfId="17723" xr:uid="{00000000-0005-0000-0000-000067190000}"/>
    <cellStyle name="Normal 2 2 8 2 2 5" xfId="3855" xr:uid="{00000000-0005-0000-0000-000068190000}"/>
    <cellStyle name="Normal 2 2 8 2 2 5 2" xfId="10495" xr:uid="{00000000-0005-0000-0000-000069190000}"/>
    <cellStyle name="Normal 2 2 8 2 2 5_SSL" xfId="14680" xr:uid="{00000000-0005-0000-0000-00006A190000}"/>
    <cellStyle name="Normal 2 2 8 2 2 6" xfId="4666" xr:uid="{00000000-0005-0000-0000-00006B190000}"/>
    <cellStyle name="Normal 2 2 8 2 2 6 2" xfId="11305" xr:uid="{00000000-0005-0000-0000-00006C190000}"/>
    <cellStyle name="Normal 2 2 8 2 2 6_SSL" xfId="15358" xr:uid="{00000000-0005-0000-0000-00006D190000}"/>
    <cellStyle name="Normal 2 2 8 2 2 7" xfId="5476" xr:uid="{00000000-0005-0000-0000-00006E190000}"/>
    <cellStyle name="Normal 2 2 8 2 2 7 2" xfId="12114" xr:uid="{00000000-0005-0000-0000-00006F190000}"/>
    <cellStyle name="Normal 2 2 8 2 2 7_SSL" xfId="16518" xr:uid="{00000000-0005-0000-0000-000070190000}"/>
    <cellStyle name="Normal 2 2 8 2 2 8" xfId="7577" xr:uid="{00000000-0005-0000-0000-000071190000}"/>
    <cellStyle name="Normal 2 2 8 2 2 9" xfId="6393" xr:uid="{00000000-0005-0000-0000-000072190000}"/>
    <cellStyle name="Normal 2 2 8 2 2_SSL" xfId="14405" xr:uid="{00000000-0005-0000-0000-000073190000}"/>
    <cellStyle name="Normal 2 2 8 2 3" xfId="1394" xr:uid="{00000000-0005-0000-0000-000074190000}"/>
    <cellStyle name="Normal 2 2 8 2 3 2" xfId="8049" xr:uid="{00000000-0005-0000-0000-000075190000}"/>
    <cellStyle name="Normal 2 2 8 2 3_SSL" xfId="15615" xr:uid="{00000000-0005-0000-0000-000076190000}"/>
    <cellStyle name="Normal 2 2 8 2 4" xfId="2214" xr:uid="{00000000-0005-0000-0000-000077190000}"/>
    <cellStyle name="Normal 2 2 8 2 4 2" xfId="8862" xr:uid="{00000000-0005-0000-0000-000078190000}"/>
    <cellStyle name="Normal 2 2 8 2 4_SSL" xfId="16631" xr:uid="{00000000-0005-0000-0000-000079190000}"/>
    <cellStyle name="Normal 2 2 8 2 5" xfId="3033" xr:uid="{00000000-0005-0000-0000-00007A190000}"/>
    <cellStyle name="Normal 2 2 8 2 5 2" xfId="9678" xr:uid="{00000000-0005-0000-0000-00007B190000}"/>
    <cellStyle name="Normal 2 2 8 2 5_SSL" xfId="12828" xr:uid="{00000000-0005-0000-0000-00007C190000}"/>
    <cellStyle name="Normal 2 2 8 2 6" xfId="3854" xr:uid="{00000000-0005-0000-0000-00007D190000}"/>
    <cellStyle name="Normal 2 2 8 2 6 2" xfId="10494" xr:uid="{00000000-0005-0000-0000-00007E190000}"/>
    <cellStyle name="Normal 2 2 8 2 6_SSL" xfId="6013" xr:uid="{00000000-0005-0000-0000-00007F190000}"/>
    <cellStyle name="Normal 2 2 8 2 7" xfId="4665" xr:uid="{00000000-0005-0000-0000-000080190000}"/>
    <cellStyle name="Normal 2 2 8 2 7 2" xfId="11304" xr:uid="{00000000-0005-0000-0000-000081190000}"/>
    <cellStyle name="Normal 2 2 8 2 7_SSL" xfId="17010" xr:uid="{00000000-0005-0000-0000-000082190000}"/>
    <cellStyle name="Normal 2 2 8 2 8" xfId="5475" xr:uid="{00000000-0005-0000-0000-000083190000}"/>
    <cellStyle name="Normal 2 2 8 2 8 2" xfId="12113" xr:uid="{00000000-0005-0000-0000-000084190000}"/>
    <cellStyle name="Normal 2 2 8 2 8_SSL" xfId="13424" xr:uid="{00000000-0005-0000-0000-000085190000}"/>
    <cellStyle name="Normal 2 2 8 2 9" xfId="7193" xr:uid="{00000000-0005-0000-0000-000086190000}"/>
    <cellStyle name="Normal 2 2 8 2_SSL" xfId="14906" xr:uid="{00000000-0005-0000-0000-000087190000}"/>
    <cellStyle name="Normal 2 2 8 3" xfId="535" xr:uid="{00000000-0005-0000-0000-000088190000}"/>
    <cellStyle name="Normal 2 2 8 3 2" xfId="1396" xr:uid="{00000000-0005-0000-0000-000089190000}"/>
    <cellStyle name="Normal 2 2 8 3 2 2" xfId="8051" xr:uid="{00000000-0005-0000-0000-00008A190000}"/>
    <cellStyle name="Normal 2 2 8 3 2_SSL" xfId="18003" xr:uid="{00000000-0005-0000-0000-00008B190000}"/>
    <cellStyle name="Normal 2 2 8 3 3" xfId="2216" xr:uid="{00000000-0005-0000-0000-00008C190000}"/>
    <cellStyle name="Normal 2 2 8 3 3 2" xfId="8864" xr:uid="{00000000-0005-0000-0000-00008D190000}"/>
    <cellStyle name="Normal 2 2 8 3 3_SSL" xfId="14495" xr:uid="{00000000-0005-0000-0000-00008E190000}"/>
    <cellStyle name="Normal 2 2 8 3 4" xfId="3035" xr:uid="{00000000-0005-0000-0000-00008F190000}"/>
    <cellStyle name="Normal 2 2 8 3 4 2" xfId="9680" xr:uid="{00000000-0005-0000-0000-000090190000}"/>
    <cellStyle name="Normal 2 2 8 3 4_SSL" xfId="14132" xr:uid="{00000000-0005-0000-0000-000091190000}"/>
    <cellStyle name="Normal 2 2 8 3 5" xfId="3856" xr:uid="{00000000-0005-0000-0000-000092190000}"/>
    <cellStyle name="Normal 2 2 8 3 5 2" xfId="10496" xr:uid="{00000000-0005-0000-0000-000093190000}"/>
    <cellStyle name="Normal 2 2 8 3 5_SSL" xfId="14446" xr:uid="{00000000-0005-0000-0000-000094190000}"/>
    <cellStyle name="Normal 2 2 8 3 6" xfId="4667" xr:uid="{00000000-0005-0000-0000-000095190000}"/>
    <cellStyle name="Normal 2 2 8 3 6 2" xfId="11306" xr:uid="{00000000-0005-0000-0000-000096190000}"/>
    <cellStyle name="Normal 2 2 8 3 6_SSL" xfId="16387" xr:uid="{00000000-0005-0000-0000-000097190000}"/>
    <cellStyle name="Normal 2 2 8 3 7" xfId="5477" xr:uid="{00000000-0005-0000-0000-000098190000}"/>
    <cellStyle name="Normal 2 2 8 3 7 2" xfId="12115" xr:uid="{00000000-0005-0000-0000-000099190000}"/>
    <cellStyle name="Normal 2 2 8 3 7_SSL" xfId="15538" xr:uid="{00000000-0005-0000-0000-00009A190000}"/>
    <cellStyle name="Normal 2 2 8 3 8" xfId="7391" xr:uid="{00000000-0005-0000-0000-00009B190000}"/>
    <cellStyle name="Normal 2 2 8 3 9" xfId="6394" xr:uid="{00000000-0005-0000-0000-00009C190000}"/>
    <cellStyle name="Normal 2 2 8 3_SSL" xfId="12745" xr:uid="{00000000-0005-0000-0000-00009D190000}"/>
    <cellStyle name="Normal 2 2 8 4" xfId="1393" xr:uid="{00000000-0005-0000-0000-00009E190000}"/>
    <cellStyle name="Normal 2 2 8 4 2" xfId="8048" xr:uid="{00000000-0005-0000-0000-00009F190000}"/>
    <cellStyle name="Normal 2 2 8 4_SSL" xfId="6049" xr:uid="{00000000-0005-0000-0000-0000A0190000}"/>
    <cellStyle name="Normal 2 2 8 5" xfId="2213" xr:uid="{00000000-0005-0000-0000-0000A1190000}"/>
    <cellStyle name="Normal 2 2 8 5 2" xfId="8861" xr:uid="{00000000-0005-0000-0000-0000A2190000}"/>
    <cellStyle name="Normal 2 2 8 5_SSL" xfId="6025" xr:uid="{00000000-0005-0000-0000-0000A3190000}"/>
    <cellStyle name="Normal 2 2 8 6" xfId="3032" xr:uid="{00000000-0005-0000-0000-0000A4190000}"/>
    <cellStyle name="Normal 2 2 8 6 2" xfId="9677" xr:uid="{00000000-0005-0000-0000-0000A5190000}"/>
    <cellStyle name="Normal 2 2 8 6_SSL" xfId="17152" xr:uid="{00000000-0005-0000-0000-0000A6190000}"/>
    <cellStyle name="Normal 2 2 8 7" xfId="3853" xr:uid="{00000000-0005-0000-0000-0000A7190000}"/>
    <cellStyle name="Normal 2 2 8 7 2" xfId="10493" xr:uid="{00000000-0005-0000-0000-0000A8190000}"/>
    <cellStyle name="Normal 2 2 8 7_SSL" xfId="14491" xr:uid="{00000000-0005-0000-0000-0000A9190000}"/>
    <cellStyle name="Normal 2 2 8 8" xfId="4664" xr:uid="{00000000-0005-0000-0000-0000AA190000}"/>
    <cellStyle name="Normal 2 2 8 8 2" xfId="11303" xr:uid="{00000000-0005-0000-0000-0000AB190000}"/>
    <cellStyle name="Normal 2 2 8 8_SSL" xfId="16214" xr:uid="{00000000-0005-0000-0000-0000AC190000}"/>
    <cellStyle name="Normal 2 2 8 9" xfId="5474" xr:uid="{00000000-0005-0000-0000-0000AD190000}"/>
    <cellStyle name="Normal 2 2 8 9 2" xfId="12112" xr:uid="{00000000-0005-0000-0000-0000AE190000}"/>
    <cellStyle name="Normal 2 2 8 9_SSL" xfId="14665" xr:uid="{00000000-0005-0000-0000-0000AF190000}"/>
    <cellStyle name="Normal 2 2 8_SSL" xfId="12940" xr:uid="{00000000-0005-0000-0000-0000B0190000}"/>
    <cellStyle name="Normal 2 2 9" xfId="226" xr:uid="{00000000-0005-0000-0000-0000B1190000}"/>
    <cellStyle name="Normal 2 2 9 10" xfId="7103" xr:uid="{00000000-0005-0000-0000-0000B2190000}"/>
    <cellStyle name="Normal 2 2 9 11" xfId="6395" xr:uid="{00000000-0005-0000-0000-0000B3190000}"/>
    <cellStyle name="Normal 2 2 9 2" xfId="334" xr:uid="{00000000-0005-0000-0000-0000B4190000}"/>
    <cellStyle name="Normal 2 2 9 2 10" xfId="6396" xr:uid="{00000000-0005-0000-0000-0000B5190000}"/>
    <cellStyle name="Normal 2 2 9 2 2" xfId="722" xr:uid="{00000000-0005-0000-0000-0000B6190000}"/>
    <cellStyle name="Normal 2 2 9 2 2 2" xfId="1399" xr:uid="{00000000-0005-0000-0000-0000B7190000}"/>
    <cellStyle name="Normal 2 2 9 2 2 2 2" xfId="8054" xr:uid="{00000000-0005-0000-0000-0000B8190000}"/>
    <cellStyle name="Normal 2 2 9 2 2 2_SSL" xfId="14944" xr:uid="{00000000-0005-0000-0000-0000B9190000}"/>
    <cellStyle name="Normal 2 2 9 2 2 3" xfId="2219" xr:uid="{00000000-0005-0000-0000-0000BA190000}"/>
    <cellStyle name="Normal 2 2 9 2 2 3 2" xfId="8867" xr:uid="{00000000-0005-0000-0000-0000BB190000}"/>
    <cellStyle name="Normal 2 2 9 2 2 3_SSL" xfId="16324" xr:uid="{00000000-0005-0000-0000-0000BC190000}"/>
    <cellStyle name="Normal 2 2 9 2 2 4" xfId="3038" xr:uid="{00000000-0005-0000-0000-0000BD190000}"/>
    <cellStyle name="Normal 2 2 9 2 2 4 2" xfId="9683" xr:uid="{00000000-0005-0000-0000-0000BE190000}"/>
    <cellStyle name="Normal 2 2 9 2 2 4_SSL" xfId="17362" xr:uid="{00000000-0005-0000-0000-0000BF190000}"/>
    <cellStyle name="Normal 2 2 9 2 2 5" xfId="3859" xr:uid="{00000000-0005-0000-0000-0000C0190000}"/>
    <cellStyle name="Normal 2 2 9 2 2 5 2" xfId="10499" xr:uid="{00000000-0005-0000-0000-0000C1190000}"/>
    <cellStyle name="Normal 2 2 9 2 2 5_SSL" xfId="17866" xr:uid="{00000000-0005-0000-0000-0000C2190000}"/>
    <cellStyle name="Normal 2 2 9 2 2 6" xfId="4670" xr:uid="{00000000-0005-0000-0000-0000C3190000}"/>
    <cellStyle name="Normal 2 2 9 2 2 6 2" xfId="11309" xr:uid="{00000000-0005-0000-0000-0000C4190000}"/>
    <cellStyle name="Normal 2 2 9 2 2 6_SSL" xfId="16935" xr:uid="{00000000-0005-0000-0000-0000C5190000}"/>
    <cellStyle name="Normal 2 2 9 2 2 7" xfId="5480" xr:uid="{00000000-0005-0000-0000-0000C6190000}"/>
    <cellStyle name="Normal 2 2 9 2 2 7 2" xfId="12118" xr:uid="{00000000-0005-0000-0000-0000C7190000}"/>
    <cellStyle name="Normal 2 2 9 2 2 7_SSL" xfId="17303" xr:uid="{00000000-0005-0000-0000-0000C8190000}"/>
    <cellStyle name="Normal 2 2 9 2 2 8" xfId="7578" xr:uid="{00000000-0005-0000-0000-0000C9190000}"/>
    <cellStyle name="Normal 2 2 9 2 2 9" xfId="6397" xr:uid="{00000000-0005-0000-0000-0000CA190000}"/>
    <cellStyle name="Normal 2 2 9 2 2_SSL" xfId="15311" xr:uid="{00000000-0005-0000-0000-0000CB190000}"/>
    <cellStyle name="Normal 2 2 9 2 3" xfId="1398" xr:uid="{00000000-0005-0000-0000-0000CC190000}"/>
    <cellStyle name="Normal 2 2 9 2 3 2" xfId="8053" xr:uid="{00000000-0005-0000-0000-0000CD190000}"/>
    <cellStyle name="Normal 2 2 9 2 3_SSL" xfId="15089" xr:uid="{00000000-0005-0000-0000-0000CE190000}"/>
    <cellStyle name="Normal 2 2 9 2 4" xfId="2218" xr:uid="{00000000-0005-0000-0000-0000CF190000}"/>
    <cellStyle name="Normal 2 2 9 2 4 2" xfId="8866" xr:uid="{00000000-0005-0000-0000-0000D0190000}"/>
    <cellStyle name="Normal 2 2 9 2 4_SSL" xfId="17755" xr:uid="{00000000-0005-0000-0000-0000D1190000}"/>
    <cellStyle name="Normal 2 2 9 2 5" xfId="3037" xr:uid="{00000000-0005-0000-0000-0000D2190000}"/>
    <cellStyle name="Normal 2 2 9 2 5 2" xfId="9682" xr:uid="{00000000-0005-0000-0000-0000D3190000}"/>
    <cellStyle name="Normal 2 2 9 2 5_SSL" xfId="15648" xr:uid="{00000000-0005-0000-0000-0000D4190000}"/>
    <cellStyle name="Normal 2 2 9 2 6" xfId="3858" xr:uid="{00000000-0005-0000-0000-0000D5190000}"/>
    <cellStyle name="Normal 2 2 9 2 6 2" xfId="10498" xr:uid="{00000000-0005-0000-0000-0000D6190000}"/>
    <cellStyle name="Normal 2 2 9 2 6_SSL" xfId="17691" xr:uid="{00000000-0005-0000-0000-0000D7190000}"/>
    <cellStyle name="Normal 2 2 9 2 7" xfId="4669" xr:uid="{00000000-0005-0000-0000-0000D8190000}"/>
    <cellStyle name="Normal 2 2 9 2 7 2" xfId="11308" xr:uid="{00000000-0005-0000-0000-0000D9190000}"/>
    <cellStyle name="Normal 2 2 9 2 7_SSL" xfId="16749" xr:uid="{00000000-0005-0000-0000-0000DA190000}"/>
    <cellStyle name="Normal 2 2 9 2 8" xfId="5479" xr:uid="{00000000-0005-0000-0000-0000DB190000}"/>
    <cellStyle name="Normal 2 2 9 2 8 2" xfId="12117" xr:uid="{00000000-0005-0000-0000-0000DC190000}"/>
    <cellStyle name="Normal 2 2 9 2 8_SSL" xfId="17681" xr:uid="{00000000-0005-0000-0000-0000DD190000}"/>
    <cellStyle name="Normal 2 2 9 2 9" xfId="7194" xr:uid="{00000000-0005-0000-0000-0000DE190000}"/>
    <cellStyle name="Normal 2 2 9 2_SSL" xfId="15972" xr:uid="{00000000-0005-0000-0000-0000DF190000}"/>
    <cellStyle name="Normal 2 2 9 3" xfId="631" xr:uid="{00000000-0005-0000-0000-0000E0190000}"/>
    <cellStyle name="Normal 2 2 9 3 2" xfId="1400" xr:uid="{00000000-0005-0000-0000-0000E1190000}"/>
    <cellStyle name="Normal 2 2 9 3 2 2" xfId="8055" xr:uid="{00000000-0005-0000-0000-0000E2190000}"/>
    <cellStyle name="Normal 2 2 9 3 2_SSL" xfId="6923" xr:uid="{00000000-0005-0000-0000-0000E3190000}"/>
    <cellStyle name="Normal 2 2 9 3 3" xfId="2220" xr:uid="{00000000-0005-0000-0000-0000E4190000}"/>
    <cellStyle name="Normal 2 2 9 3 3 2" xfId="8868" xr:uid="{00000000-0005-0000-0000-0000E5190000}"/>
    <cellStyle name="Normal 2 2 9 3 3_SSL" xfId="17001" xr:uid="{00000000-0005-0000-0000-0000E6190000}"/>
    <cellStyle name="Normal 2 2 9 3 4" xfId="3039" xr:uid="{00000000-0005-0000-0000-0000E7190000}"/>
    <cellStyle name="Normal 2 2 9 3 4 2" xfId="9684" xr:uid="{00000000-0005-0000-0000-0000E8190000}"/>
    <cellStyle name="Normal 2 2 9 3 4_SSL" xfId="17956" xr:uid="{00000000-0005-0000-0000-0000E9190000}"/>
    <cellStyle name="Normal 2 2 9 3 5" xfId="3860" xr:uid="{00000000-0005-0000-0000-0000EA190000}"/>
    <cellStyle name="Normal 2 2 9 3 5 2" xfId="10500" xr:uid="{00000000-0005-0000-0000-0000EB190000}"/>
    <cellStyle name="Normal 2 2 9 3 5_SSL" xfId="16472" xr:uid="{00000000-0005-0000-0000-0000EC190000}"/>
    <cellStyle name="Normal 2 2 9 3 6" xfId="4671" xr:uid="{00000000-0005-0000-0000-0000ED190000}"/>
    <cellStyle name="Normal 2 2 9 3 6 2" xfId="11310" xr:uid="{00000000-0005-0000-0000-0000EE190000}"/>
    <cellStyle name="Normal 2 2 9 3 6_SSL" xfId="15052" xr:uid="{00000000-0005-0000-0000-0000EF190000}"/>
    <cellStyle name="Normal 2 2 9 3 7" xfId="5481" xr:uid="{00000000-0005-0000-0000-0000F0190000}"/>
    <cellStyle name="Normal 2 2 9 3 7 2" xfId="12119" xr:uid="{00000000-0005-0000-0000-0000F1190000}"/>
    <cellStyle name="Normal 2 2 9 3 7_SSL" xfId="13979" xr:uid="{00000000-0005-0000-0000-0000F2190000}"/>
    <cellStyle name="Normal 2 2 9 3 8" xfId="7487" xr:uid="{00000000-0005-0000-0000-0000F3190000}"/>
    <cellStyle name="Normal 2 2 9 3 9" xfId="6398" xr:uid="{00000000-0005-0000-0000-0000F4190000}"/>
    <cellStyle name="Normal 2 2 9 3_SSL" xfId="16467" xr:uid="{00000000-0005-0000-0000-0000F5190000}"/>
    <cellStyle name="Normal 2 2 9 4" xfId="1397" xr:uid="{00000000-0005-0000-0000-0000F6190000}"/>
    <cellStyle name="Normal 2 2 9 4 2" xfId="8052" xr:uid="{00000000-0005-0000-0000-0000F7190000}"/>
    <cellStyle name="Normal 2 2 9 4_SSL" xfId="15019" xr:uid="{00000000-0005-0000-0000-0000F8190000}"/>
    <cellStyle name="Normal 2 2 9 5" xfId="2217" xr:uid="{00000000-0005-0000-0000-0000F9190000}"/>
    <cellStyle name="Normal 2 2 9 5 2" xfId="8865" xr:uid="{00000000-0005-0000-0000-0000FA190000}"/>
    <cellStyle name="Normal 2 2 9 5_SSL" xfId="14610" xr:uid="{00000000-0005-0000-0000-0000FB190000}"/>
    <cellStyle name="Normal 2 2 9 6" xfId="3036" xr:uid="{00000000-0005-0000-0000-0000FC190000}"/>
    <cellStyle name="Normal 2 2 9 6 2" xfId="9681" xr:uid="{00000000-0005-0000-0000-0000FD190000}"/>
    <cellStyle name="Normal 2 2 9 6_SSL" xfId="16821" xr:uid="{00000000-0005-0000-0000-0000FE190000}"/>
    <cellStyle name="Normal 2 2 9 7" xfId="3857" xr:uid="{00000000-0005-0000-0000-0000FF190000}"/>
    <cellStyle name="Normal 2 2 9 7 2" xfId="10497" xr:uid="{00000000-0005-0000-0000-0000001A0000}"/>
    <cellStyle name="Normal 2 2 9 7_SSL" xfId="16174" xr:uid="{00000000-0005-0000-0000-0000011A0000}"/>
    <cellStyle name="Normal 2 2 9 8" xfId="4668" xr:uid="{00000000-0005-0000-0000-0000021A0000}"/>
    <cellStyle name="Normal 2 2 9 8 2" xfId="11307" xr:uid="{00000000-0005-0000-0000-0000031A0000}"/>
    <cellStyle name="Normal 2 2 9 8_SSL" xfId="14972" xr:uid="{00000000-0005-0000-0000-0000041A0000}"/>
    <cellStyle name="Normal 2 2 9 9" xfId="5478" xr:uid="{00000000-0005-0000-0000-0000051A0000}"/>
    <cellStyle name="Normal 2 2 9 9 2" xfId="12116" xr:uid="{00000000-0005-0000-0000-0000061A0000}"/>
    <cellStyle name="Normal 2 2 9 9_SSL" xfId="14540" xr:uid="{00000000-0005-0000-0000-0000071A0000}"/>
    <cellStyle name="Normal 2 2 9_SSL" xfId="14268" xr:uid="{00000000-0005-0000-0000-0000081A0000}"/>
    <cellStyle name="Normal 2 20" xfId="5180" xr:uid="{00000000-0005-0000-0000-0000091A0000}"/>
    <cellStyle name="Normal 2 20 2" xfId="11818" xr:uid="{00000000-0005-0000-0000-00000A1A0000}"/>
    <cellStyle name="Normal 2 20_SSL" xfId="15590" xr:uid="{00000000-0005-0000-0000-00000B1A0000}"/>
    <cellStyle name="Normal 2 21" xfId="6072" xr:uid="{00000000-0005-0000-0000-00000C1A0000}"/>
    <cellStyle name="Normal 2 3" xfId="30" xr:uid="{00000000-0005-0000-0000-00000D1A0000}"/>
    <cellStyle name="Normal 2 3 10" xfId="466" xr:uid="{00000000-0005-0000-0000-00000E1A0000}"/>
    <cellStyle name="Normal 2 3 10 2" xfId="1402" xr:uid="{00000000-0005-0000-0000-00000F1A0000}"/>
    <cellStyle name="Normal 2 3 10 2 2" xfId="8057" xr:uid="{00000000-0005-0000-0000-0000101A0000}"/>
    <cellStyle name="Normal 2 3 10 2_SSL" xfId="13141" xr:uid="{00000000-0005-0000-0000-0000111A0000}"/>
    <cellStyle name="Normal 2 3 10 3" xfId="2222" xr:uid="{00000000-0005-0000-0000-0000121A0000}"/>
    <cellStyle name="Normal 2 3 10 3 2" xfId="8870" xr:uid="{00000000-0005-0000-0000-0000131A0000}"/>
    <cellStyle name="Normal 2 3 10 3_SSL" xfId="15186" xr:uid="{00000000-0005-0000-0000-0000141A0000}"/>
    <cellStyle name="Normal 2 3 10 4" xfId="3041" xr:uid="{00000000-0005-0000-0000-0000151A0000}"/>
    <cellStyle name="Normal 2 3 10 4 2" xfId="9686" xr:uid="{00000000-0005-0000-0000-0000161A0000}"/>
    <cellStyle name="Normal 2 3 10 4_SSL" xfId="14299" xr:uid="{00000000-0005-0000-0000-0000171A0000}"/>
    <cellStyle name="Normal 2 3 10 5" xfId="3862" xr:uid="{00000000-0005-0000-0000-0000181A0000}"/>
    <cellStyle name="Normal 2 3 10 5 2" xfId="10502" xr:uid="{00000000-0005-0000-0000-0000191A0000}"/>
    <cellStyle name="Normal 2 3 10 5_SSL" xfId="16199" xr:uid="{00000000-0005-0000-0000-00001A1A0000}"/>
    <cellStyle name="Normal 2 3 10 6" xfId="4673" xr:uid="{00000000-0005-0000-0000-00001B1A0000}"/>
    <cellStyle name="Normal 2 3 10 6 2" xfId="11312" xr:uid="{00000000-0005-0000-0000-00001C1A0000}"/>
    <cellStyle name="Normal 2 3 10 6_SSL" xfId="16300" xr:uid="{00000000-0005-0000-0000-00001D1A0000}"/>
    <cellStyle name="Normal 2 3 10 7" xfId="5483" xr:uid="{00000000-0005-0000-0000-00001E1A0000}"/>
    <cellStyle name="Normal 2 3 10 7 2" xfId="12121" xr:uid="{00000000-0005-0000-0000-00001F1A0000}"/>
    <cellStyle name="Normal 2 3 10 7_SSL" xfId="15581" xr:uid="{00000000-0005-0000-0000-0000201A0000}"/>
    <cellStyle name="Normal 2 3 10 8" xfId="7322" xr:uid="{00000000-0005-0000-0000-0000211A0000}"/>
    <cellStyle name="Normal 2 3 10 9" xfId="6400" xr:uid="{00000000-0005-0000-0000-0000221A0000}"/>
    <cellStyle name="Normal 2 3 10_SSL" xfId="14538" xr:uid="{00000000-0005-0000-0000-0000231A0000}"/>
    <cellStyle name="Normal 2 3 11" xfId="1401" xr:uid="{00000000-0005-0000-0000-0000241A0000}"/>
    <cellStyle name="Normal 2 3 11 2" xfId="8056" xr:uid="{00000000-0005-0000-0000-0000251A0000}"/>
    <cellStyle name="Normal 2 3 11_SSL" xfId="14116" xr:uid="{00000000-0005-0000-0000-0000261A0000}"/>
    <cellStyle name="Normal 2 3 12" xfId="2221" xr:uid="{00000000-0005-0000-0000-0000271A0000}"/>
    <cellStyle name="Normal 2 3 12 2" xfId="8869" xr:uid="{00000000-0005-0000-0000-0000281A0000}"/>
    <cellStyle name="Normal 2 3 12_SSL" xfId="15791" xr:uid="{00000000-0005-0000-0000-0000291A0000}"/>
    <cellStyle name="Normal 2 3 13" xfId="3040" xr:uid="{00000000-0005-0000-0000-00002A1A0000}"/>
    <cellStyle name="Normal 2 3 13 2" xfId="9685" xr:uid="{00000000-0005-0000-0000-00002B1A0000}"/>
    <cellStyle name="Normal 2 3 13_SSL" xfId="16306" xr:uid="{00000000-0005-0000-0000-00002C1A0000}"/>
    <cellStyle name="Normal 2 3 14" xfId="3861" xr:uid="{00000000-0005-0000-0000-00002D1A0000}"/>
    <cellStyle name="Normal 2 3 14 2" xfId="10501" xr:uid="{00000000-0005-0000-0000-00002E1A0000}"/>
    <cellStyle name="Normal 2 3 14_SSL" xfId="16427" xr:uid="{00000000-0005-0000-0000-00002F1A0000}"/>
    <cellStyle name="Normal 2 3 15" xfId="4672" xr:uid="{00000000-0005-0000-0000-0000301A0000}"/>
    <cellStyle name="Normal 2 3 15 2" xfId="11311" xr:uid="{00000000-0005-0000-0000-0000311A0000}"/>
    <cellStyle name="Normal 2 3 15_SSL" xfId="15498" xr:uid="{00000000-0005-0000-0000-0000321A0000}"/>
    <cellStyle name="Normal 2 3 16" xfId="5482" xr:uid="{00000000-0005-0000-0000-0000331A0000}"/>
    <cellStyle name="Normal 2 3 16 2" xfId="12120" xr:uid="{00000000-0005-0000-0000-0000341A0000}"/>
    <cellStyle name="Normal 2 3 16_SSL" xfId="12904" xr:uid="{00000000-0005-0000-0000-0000351A0000}"/>
    <cellStyle name="Normal 2 3 17" xfId="6936" xr:uid="{00000000-0005-0000-0000-0000361A0000}"/>
    <cellStyle name="Normal 2 3 18" xfId="6399" xr:uid="{00000000-0005-0000-0000-0000371A0000}"/>
    <cellStyle name="Normal 2 3 2" xfId="40" xr:uid="{00000000-0005-0000-0000-0000381A0000}"/>
    <cellStyle name="Normal 2 3 2 10" xfId="1403" xr:uid="{00000000-0005-0000-0000-0000391A0000}"/>
    <cellStyle name="Normal 2 3 2 10 2" xfId="8058" xr:uid="{00000000-0005-0000-0000-00003A1A0000}"/>
    <cellStyle name="Normal 2 3 2 10_SSL" xfId="16192" xr:uid="{00000000-0005-0000-0000-00003B1A0000}"/>
    <cellStyle name="Normal 2 3 2 11" xfId="2223" xr:uid="{00000000-0005-0000-0000-00003C1A0000}"/>
    <cellStyle name="Normal 2 3 2 11 2" xfId="8871" xr:uid="{00000000-0005-0000-0000-00003D1A0000}"/>
    <cellStyle name="Normal 2 3 2 11_SSL" xfId="17105" xr:uid="{00000000-0005-0000-0000-00003E1A0000}"/>
    <cellStyle name="Normal 2 3 2 12" xfId="3042" xr:uid="{00000000-0005-0000-0000-00003F1A0000}"/>
    <cellStyle name="Normal 2 3 2 12 2" xfId="9687" xr:uid="{00000000-0005-0000-0000-0000401A0000}"/>
    <cellStyle name="Normal 2 3 2 12_SSL" xfId="17695" xr:uid="{00000000-0005-0000-0000-0000411A0000}"/>
    <cellStyle name="Normal 2 3 2 13" xfId="3863" xr:uid="{00000000-0005-0000-0000-0000421A0000}"/>
    <cellStyle name="Normal 2 3 2 13 2" xfId="10503" xr:uid="{00000000-0005-0000-0000-0000431A0000}"/>
    <cellStyle name="Normal 2 3 2 13_SSL" xfId="15337" xr:uid="{00000000-0005-0000-0000-0000441A0000}"/>
    <cellStyle name="Normal 2 3 2 14" xfId="4674" xr:uid="{00000000-0005-0000-0000-0000451A0000}"/>
    <cellStyle name="Normal 2 3 2 14 2" xfId="11313" xr:uid="{00000000-0005-0000-0000-0000461A0000}"/>
    <cellStyle name="Normal 2 3 2 14_SSL" xfId="17934" xr:uid="{00000000-0005-0000-0000-0000471A0000}"/>
    <cellStyle name="Normal 2 3 2 15" xfId="5484" xr:uid="{00000000-0005-0000-0000-0000481A0000}"/>
    <cellStyle name="Normal 2 3 2 15 2" xfId="12122" xr:uid="{00000000-0005-0000-0000-0000491A0000}"/>
    <cellStyle name="Normal 2 3 2 15_SSL" xfId="12861" xr:uid="{00000000-0005-0000-0000-00004A1A0000}"/>
    <cellStyle name="Normal 2 3 2 16" xfId="6941" xr:uid="{00000000-0005-0000-0000-00004B1A0000}"/>
    <cellStyle name="Normal 2 3 2 17" xfId="6401" xr:uid="{00000000-0005-0000-0000-00004C1A0000}"/>
    <cellStyle name="Normal 2 3 2 2" xfId="70" xr:uid="{00000000-0005-0000-0000-00004D1A0000}"/>
    <cellStyle name="Normal 2 3 2 2 10" xfId="2224" xr:uid="{00000000-0005-0000-0000-00004E1A0000}"/>
    <cellStyle name="Normal 2 3 2 2 10 2" xfId="8872" xr:uid="{00000000-0005-0000-0000-00004F1A0000}"/>
    <cellStyle name="Normal 2 3 2 2 10_SSL" xfId="16217" xr:uid="{00000000-0005-0000-0000-0000501A0000}"/>
    <cellStyle name="Normal 2 3 2 2 11" xfId="3043" xr:uid="{00000000-0005-0000-0000-0000511A0000}"/>
    <cellStyle name="Normal 2 3 2 2 11 2" xfId="9688" xr:uid="{00000000-0005-0000-0000-0000521A0000}"/>
    <cellStyle name="Normal 2 3 2 2 11_SSL" xfId="12691" xr:uid="{00000000-0005-0000-0000-0000531A0000}"/>
    <cellStyle name="Normal 2 3 2 2 12" xfId="3864" xr:uid="{00000000-0005-0000-0000-0000541A0000}"/>
    <cellStyle name="Normal 2 3 2 2 12 2" xfId="10504" xr:uid="{00000000-0005-0000-0000-0000551A0000}"/>
    <cellStyle name="Normal 2 3 2 2 12_SSL" xfId="17869" xr:uid="{00000000-0005-0000-0000-0000561A0000}"/>
    <cellStyle name="Normal 2 3 2 2 13" xfId="4675" xr:uid="{00000000-0005-0000-0000-0000571A0000}"/>
    <cellStyle name="Normal 2 3 2 2 13 2" xfId="11314" xr:uid="{00000000-0005-0000-0000-0000581A0000}"/>
    <cellStyle name="Normal 2 3 2 2 13_SSL" xfId="16401" xr:uid="{00000000-0005-0000-0000-0000591A0000}"/>
    <cellStyle name="Normal 2 3 2 2 14" xfId="5485" xr:uid="{00000000-0005-0000-0000-00005A1A0000}"/>
    <cellStyle name="Normal 2 3 2 2 14 2" xfId="12123" xr:uid="{00000000-0005-0000-0000-00005B1A0000}"/>
    <cellStyle name="Normal 2 3 2 2 14_SSL" xfId="17558" xr:uid="{00000000-0005-0000-0000-00005C1A0000}"/>
    <cellStyle name="Normal 2 3 2 2 15" xfId="6955" xr:uid="{00000000-0005-0000-0000-00005D1A0000}"/>
    <cellStyle name="Normal 2 3 2 2 16" xfId="6402" xr:uid="{00000000-0005-0000-0000-00005E1A0000}"/>
    <cellStyle name="Normal 2 3 2 2 2" xfId="99" xr:uid="{00000000-0005-0000-0000-00005F1A0000}"/>
    <cellStyle name="Normal 2 3 2 2 2 10" xfId="5486" xr:uid="{00000000-0005-0000-0000-0000601A0000}"/>
    <cellStyle name="Normal 2 3 2 2 2 10 2" xfId="12124" xr:uid="{00000000-0005-0000-0000-0000611A0000}"/>
    <cellStyle name="Normal 2 3 2 2 2 10_SSL" xfId="16678" xr:uid="{00000000-0005-0000-0000-0000621A0000}"/>
    <cellStyle name="Normal 2 3 2 2 2 11" xfId="6978" xr:uid="{00000000-0005-0000-0000-0000631A0000}"/>
    <cellStyle name="Normal 2 3 2 2 2 12" xfId="6403" xr:uid="{00000000-0005-0000-0000-0000641A0000}"/>
    <cellStyle name="Normal 2 3 2 2 2 2" xfId="197" xr:uid="{00000000-0005-0000-0000-0000651A0000}"/>
    <cellStyle name="Normal 2 3 2 2 2 2 10" xfId="7074" xr:uid="{00000000-0005-0000-0000-0000661A0000}"/>
    <cellStyle name="Normal 2 3 2 2 2 2 11" xfId="6404" xr:uid="{00000000-0005-0000-0000-0000671A0000}"/>
    <cellStyle name="Normal 2 3 2 2 2 2 2" xfId="339" xr:uid="{00000000-0005-0000-0000-0000681A0000}"/>
    <cellStyle name="Normal 2 3 2 2 2 2 2 10" xfId="6405" xr:uid="{00000000-0005-0000-0000-0000691A0000}"/>
    <cellStyle name="Normal 2 3 2 2 2 2 2 2" xfId="727" xr:uid="{00000000-0005-0000-0000-00006A1A0000}"/>
    <cellStyle name="Normal 2 3 2 2 2 2 2 2 2" xfId="1408" xr:uid="{00000000-0005-0000-0000-00006B1A0000}"/>
    <cellStyle name="Normal 2 3 2 2 2 2 2 2 2 2" xfId="8063" xr:uid="{00000000-0005-0000-0000-00006C1A0000}"/>
    <cellStyle name="Normal 2 3 2 2 2 2 2 2 2_SSL" xfId="14332" xr:uid="{00000000-0005-0000-0000-00006D1A0000}"/>
    <cellStyle name="Normal 2 3 2 2 2 2 2 2 3" xfId="2228" xr:uid="{00000000-0005-0000-0000-00006E1A0000}"/>
    <cellStyle name="Normal 2 3 2 2 2 2 2 2 3 2" xfId="8876" xr:uid="{00000000-0005-0000-0000-00006F1A0000}"/>
    <cellStyle name="Normal 2 3 2 2 2 2 2 2 3_SSL" xfId="16562" xr:uid="{00000000-0005-0000-0000-0000701A0000}"/>
    <cellStyle name="Normal 2 3 2 2 2 2 2 2 4" xfId="3047" xr:uid="{00000000-0005-0000-0000-0000711A0000}"/>
    <cellStyle name="Normal 2 3 2 2 2 2 2 2 4 2" xfId="9692" xr:uid="{00000000-0005-0000-0000-0000721A0000}"/>
    <cellStyle name="Normal 2 3 2 2 2 2 2 2 4_SSL" xfId="13282" xr:uid="{00000000-0005-0000-0000-0000731A0000}"/>
    <cellStyle name="Normal 2 3 2 2 2 2 2 2 5" xfId="3868" xr:uid="{00000000-0005-0000-0000-0000741A0000}"/>
    <cellStyle name="Normal 2 3 2 2 2 2 2 2 5 2" xfId="10508" xr:uid="{00000000-0005-0000-0000-0000751A0000}"/>
    <cellStyle name="Normal 2 3 2 2 2 2 2 2 5_SSL" xfId="12936" xr:uid="{00000000-0005-0000-0000-0000761A0000}"/>
    <cellStyle name="Normal 2 3 2 2 2 2 2 2 6" xfId="4679" xr:uid="{00000000-0005-0000-0000-0000771A0000}"/>
    <cellStyle name="Normal 2 3 2 2 2 2 2 2 6 2" xfId="11318" xr:uid="{00000000-0005-0000-0000-0000781A0000}"/>
    <cellStyle name="Normal 2 3 2 2 2 2 2 2 6_SSL" xfId="14399" xr:uid="{00000000-0005-0000-0000-0000791A0000}"/>
    <cellStyle name="Normal 2 3 2 2 2 2 2 2 7" xfId="5489" xr:uid="{00000000-0005-0000-0000-00007A1A0000}"/>
    <cellStyle name="Normal 2 3 2 2 2 2 2 2 7 2" xfId="12127" xr:uid="{00000000-0005-0000-0000-00007B1A0000}"/>
    <cellStyle name="Normal 2 3 2 2 2 2 2 2 7_SSL" xfId="6022" xr:uid="{00000000-0005-0000-0000-00007C1A0000}"/>
    <cellStyle name="Normal 2 3 2 2 2 2 2 2 8" xfId="7583" xr:uid="{00000000-0005-0000-0000-00007D1A0000}"/>
    <cellStyle name="Normal 2 3 2 2 2 2 2 2 9" xfId="6406" xr:uid="{00000000-0005-0000-0000-00007E1A0000}"/>
    <cellStyle name="Normal 2 3 2 2 2 2 2 2_SSL" xfId="13914" xr:uid="{00000000-0005-0000-0000-00007F1A0000}"/>
    <cellStyle name="Normal 2 3 2 2 2 2 2 3" xfId="1407" xr:uid="{00000000-0005-0000-0000-0000801A0000}"/>
    <cellStyle name="Normal 2 3 2 2 2 2 2 3 2" xfId="8062" xr:uid="{00000000-0005-0000-0000-0000811A0000}"/>
    <cellStyle name="Normal 2 3 2 2 2 2 2 3_SSL" xfId="17800" xr:uid="{00000000-0005-0000-0000-0000821A0000}"/>
    <cellStyle name="Normal 2 3 2 2 2 2 2 4" xfId="2227" xr:uid="{00000000-0005-0000-0000-0000831A0000}"/>
    <cellStyle name="Normal 2 3 2 2 2 2 2 4 2" xfId="8875" xr:uid="{00000000-0005-0000-0000-0000841A0000}"/>
    <cellStyle name="Normal 2 3 2 2 2 2 2 4_SSL" xfId="16346" xr:uid="{00000000-0005-0000-0000-0000851A0000}"/>
    <cellStyle name="Normal 2 3 2 2 2 2 2 5" xfId="3046" xr:uid="{00000000-0005-0000-0000-0000861A0000}"/>
    <cellStyle name="Normal 2 3 2 2 2 2 2 5 2" xfId="9691" xr:uid="{00000000-0005-0000-0000-0000871A0000}"/>
    <cellStyle name="Normal 2 3 2 2 2 2 2 5_SSL" xfId="12630" xr:uid="{00000000-0005-0000-0000-0000881A0000}"/>
    <cellStyle name="Normal 2 3 2 2 2 2 2 6" xfId="3867" xr:uid="{00000000-0005-0000-0000-0000891A0000}"/>
    <cellStyle name="Normal 2 3 2 2 2 2 2 6 2" xfId="10507" xr:uid="{00000000-0005-0000-0000-00008A1A0000}"/>
    <cellStyle name="Normal 2 3 2 2 2 2 2 6_SSL" xfId="14812" xr:uid="{00000000-0005-0000-0000-00008B1A0000}"/>
    <cellStyle name="Normal 2 3 2 2 2 2 2 7" xfId="4678" xr:uid="{00000000-0005-0000-0000-00008C1A0000}"/>
    <cellStyle name="Normal 2 3 2 2 2 2 2 7 2" xfId="11317" xr:uid="{00000000-0005-0000-0000-00008D1A0000}"/>
    <cellStyle name="Normal 2 3 2 2 2 2 2 7_SSL" xfId="15280" xr:uid="{00000000-0005-0000-0000-00008E1A0000}"/>
    <cellStyle name="Normal 2 3 2 2 2 2 2 8" xfId="5488" xr:uid="{00000000-0005-0000-0000-00008F1A0000}"/>
    <cellStyle name="Normal 2 3 2 2 2 2 2 8 2" xfId="12126" xr:uid="{00000000-0005-0000-0000-0000901A0000}"/>
    <cellStyle name="Normal 2 3 2 2 2 2 2 8_SSL" xfId="16549" xr:uid="{00000000-0005-0000-0000-0000911A0000}"/>
    <cellStyle name="Normal 2 3 2 2 2 2 2 9" xfId="7199" xr:uid="{00000000-0005-0000-0000-0000921A0000}"/>
    <cellStyle name="Normal 2 3 2 2 2 2 2_SSL" xfId="16511" xr:uid="{00000000-0005-0000-0000-0000931A0000}"/>
    <cellStyle name="Normal 2 3 2 2 2 2 3" xfId="602" xr:uid="{00000000-0005-0000-0000-0000941A0000}"/>
    <cellStyle name="Normal 2 3 2 2 2 2 3 2" xfId="1409" xr:uid="{00000000-0005-0000-0000-0000951A0000}"/>
    <cellStyle name="Normal 2 3 2 2 2 2 3 2 2" xfId="8064" xr:uid="{00000000-0005-0000-0000-0000961A0000}"/>
    <cellStyle name="Normal 2 3 2 2 2 2 3 2_SSL" xfId="15635" xr:uid="{00000000-0005-0000-0000-0000971A0000}"/>
    <cellStyle name="Normal 2 3 2 2 2 2 3 3" xfId="2229" xr:uid="{00000000-0005-0000-0000-0000981A0000}"/>
    <cellStyle name="Normal 2 3 2 2 2 2 3 3 2" xfId="8877" xr:uid="{00000000-0005-0000-0000-0000991A0000}"/>
    <cellStyle name="Normal 2 3 2 2 2 2 3 3_SSL" xfId="6097" xr:uid="{00000000-0005-0000-0000-00009A1A0000}"/>
    <cellStyle name="Normal 2 3 2 2 2 2 3 4" xfId="3048" xr:uid="{00000000-0005-0000-0000-00009B1A0000}"/>
    <cellStyle name="Normal 2 3 2 2 2 2 3 4 2" xfId="9693" xr:uid="{00000000-0005-0000-0000-00009C1A0000}"/>
    <cellStyle name="Normal 2 3 2 2 2 2 3 4_SSL" xfId="15347" xr:uid="{00000000-0005-0000-0000-00009D1A0000}"/>
    <cellStyle name="Normal 2 3 2 2 2 2 3 5" xfId="3869" xr:uid="{00000000-0005-0000-0000-00009E1A0000}"/>
    <cellStyle name="Normal 2 3 2 2 2 2 3 5 2" xfId="10509" xr:uid="{00000000-0005-0000-0000-00009F1A0000}"/>
    <cellStyle name="Normal 2 3 2 2 2 2 3 5_SSL" xfId="14274" xr:uid="{00000000-0005-0000-0000-0000A01A0000}"/>
    <cellStyle name="Normal 2 3 2 2 2 2 3 6" xfId="4680" xr:uid="{00000000-0005-0000-0000-0000A11A0000}"/>
    <cellStyle name="Normal 2 3 2 2 2 2 3 6 2" xfId="11319" xr:uid="{00000000-0005-0000-0000-0000A21A0000}"/>
    <cellStyle name="Normal 2 3 2 2 2 2 3 6_SSL" xfId="15434" xr:uid="{00000000-0005-0000-0000-0000A31A0000}"/>
    <cellStyle name="Normal 2 3 2 2 2 2 3 7" xfId="5490" xr:uid="{00000000-0005-0000-0000-0000A41A0000}"/>
    <cellStyle name="Normal 2 3 2 2 2 2 3 7 2" xfId="12128" xr:uid="{00000000-0005-0000-0000-0000A51A0000}"/>
    <cellStyle name="Normal 2 3 2 2 2 2 3 7_SSL" xfId="14962" xr:uid="{00000000-0005-0000-0000-0000A61A0000}"/>
    <cellStyle name="Normal 2 3 2 2 2 2 3 8" xfId="7458" xr:uid="{00000000-0005-0000-0000-0000A71A0000}"/>
    <cellStyle name="Normal 2 3 2 2 2 2 3 9" xfId="6407" xr:uid="{00000000-0005-0000-0000-0000A81A0000}"/>
    <cellStyle name="Normal 2 3 2 2 2 2 3_SSL" xfId="13928" xr:uid="{00000000-0005-0000-0000-0000A91A0000}"/>
    <cellStyle name="Normal 2 3 2 2 2 2 4" xfId="1406" xr:uid="{00000000-0005-0000-0000-0000AA1A0000}"/>
    <cellStyle name="Normal 2 3 2 2 2 2 4 2" xfId="8061" xr:uid="{00000000-0005-0000-0000-0000AB1A0000}"/>
    <cellStyle name="Normal 2 3 2 2 2 2 4_SSL" xfId="16835" xr:uid="{00000000-0005-0000-0000-0000AC1A0000}"/>
    <cellStyle name="Normal 2 3 2 2 2 2 5" xfId="2226" xr:uid="{00000000-0005-0000-0000-0000AD1A0000}"/>
    <cellStyle name="Normal 2 3 2 2 2 2 5 2" xfId="8874" xr:uid="{00000000-0005-0000-0000-0000AE1A0000}"/>
    <cellStyle name="Normal 2 3 2 2 2 2 5_SSL" xfId="13778" xr:uid="{00000000-0005-0000-0000-0000AF1A0000}"/>
    <cellStyle name="Normal 2 3 2 2 2 2 6" xfId="3045" xr:uid="{00000000-0005-0000-0000-0000B01A0000}"/>
    <cellStyle name="Normal 2 3 2 2 2 2 6 2" xfId="9690" xr:uid="{00000000-0005-0000-0000-0000B11A0000}"/>
    <cellStyle name="Normal 2 3 2 2 2 2 6_SSL" xfId="15059" xr:uid="{00000000-0005-0000-0000-0000B21A0000}"/>
    <cellStyle name="Normal 2 3 2 2 2 2 7" xfId="3866" xr:uid="{00000000-0005-0000-0000-0000B31A0000}"/>
    <cellStyle name="Normal 2 3 2 2 2 2 7 2" xfId="10506" xr:uid="{00000000-0005-0000-0000-0000B41A0000}"/>
    <cellStyle name="Normal 2 3 2 2 2 2 7_SSL" xfId="15238" xr:uid="{00000000-0005-0000-0000-0000B51A0000}"/>
    <cellStyle name="Normal 2 3 2 2 2 2 8" xfId="4677" xr:uid="{00000000-0005-0000-0000-0000B61A0000}"/>
    <cellStyle name="Normal 2 3 2 2 2 2 8 2" xfId="11316" xr:uid="{00000000-0005-0000-0000-0000B71A0000}"/>
    <cellStyle name="Normal 2 3 2 2 2 2 8_SSL" xfId="14868" xr:uid="{00000000-0005-0000-0000-0000B81A0000}"/>
    <cellStyle name="Normal 2 3 2 2 2 2 9" xfId="5487" xr:uid="{00000000-0005-0000-0000-0000B91A0000}"/>
    <cellStyle name="Normal 2 3 2 2 2 2 9 2" xfId="12125" xr:uid="{00000000-0005-0000-0000-0000BA1A0000}"/>
    <cellStyle name="Normal 2 3 2 2 2 2 9_SSL" xfId="15517" xr:uid="{00000000-0005-0000-0000-0000BB1A0000}"/>
    <cellStyle name="Normal 2 3 2 2 2 2_SSL" xfId="15867" xr:uid="{00000000-0005-0000-0000-0000BC1A0000}"/>
    <cellStyle name="Normal 2 3 2 2 2 3" xfId="338" xr:uid="{00000000-0005-0000-0000-0000BD1A0000}"/>
    <cellStyle name="Normal 2 3 2 2 2 3 10" xfId="6408" xr:uid="{00000000-0005-0000-0000-0000BE1A0000}"/>
    <cellStyle name="Normal 2 3 2 2 2 3 2" xfId="726" xr:uid="{00000000-0005-0000-0000-0000BF1A0000}"/>
    <cellStyle name="Normal 2 3 2 2 2 3 2 2" xfId="1411" xr:uid="{00000000-0005-0000-0000-0000C01A0000}"/>
    <cellStyle name="Normal 2 3 2 2 2 3 2 2 2" xfId="8066" xr:uid="{00000000-0005-0000-0000-0000C11A0000}"/>
    <cellStyle name="Normal 2 3 2 2 2 3 2 2_SSL" xfId="14341" xr:uid="{00000000-0005-0000-0000-0000C21A0000}"/>
    <cellStyle name="Normal 2 3 2 2 2 3 2 3" xfId="2231" xr:uid="{00000000-0005-0000-0000-0000C31A0000}"/>
    <cellStyle name="Normal 2 3 2 2 2 3 2 3 2" xfId="8879" xr:uid="{00000000-0005-0000-0000-0000C41A0000}"/>
    <cellStyle name="Normal 2 3 2 2 2 3 2 3_SSL" xfId="16924" xr:uid="{00000000-0005-0000-0000-0000C51A0000}"/>
    <cellStyle name="Normal 2 3 2 2 2 3 2 4" xfId="3050" xr:uid="{00000000-0005-0000-0000-0000C61A0000}"/>
    <cellStyle name="Normal 2 3 2 2 2 3 2 4 2" xfId="9695" xr:uid="{00000000-0005-0000-0000-0000C71A0000}"/>
    <cellStyle name="Normal 2 3 2 2 2 3 2 4_SSL" xfId="15669" xr:uid="{00000000-0005-0000-0000-0000C81A0000}"/>
    <cellStyle name="Normal 2 3 2 2 2 3 2 5" xfId="3871" xr:uid="{00000000-0005-0000-0000-0000C91A0000}"/>
    <cellStyle name="Normal 2 3 2 2 2 3 2 5 2" xfId="10511" xr:uid="{00000000-0005-0000-0000-0000CA1A0000}"/>
    <cellStyle name="Normal 2 3 2 2 2 3 2 5_SSL" xfId="15509" xr:uid="{00000000-0005-0000-0000-0000CB1A0000}"/>
    <cellStyle name="Normal 2 3 2 2 2 3 2 6" xfId="4682" xr:uid="{00000000-0005-0000-0000-0000CC1A0000}"/>
    <cellStyle name="Normal 2 3 2 2 2 3 2 6 2" xfId="11321" xr:uid="{00000000-0005-0000-0000-0000CD1A0000}"/>
    <cellStyle name="Normal 2 3 2 2 2 3 2 6_SSL" xfId="16059" xr:uid="{00000000-0005-0000-0000-0000CE1A0000}"/>
    <cellStyle name="Normal 2 3 2 2 2 3 2 7" xfId="5492" xr:uid="{00000000-0005-0000-0000-0000CF1A0000}"/>
    <cellStyle name="Normal 2 3 2 2 2 3 2 7 2" xfId="12130" xr:uid="{00000000-0005-0000-0000-0000D01A0000}"/>
    <cellStyle name="Normal 2 3 2 2 2 3 2 7_SSL" xfId="15018" xr:uid="{00000000-0005-0000-0000-0000D11A0000}"/>
    <cellStyle name="Normal 2 3 2 2 2 3 2 8" xfId="7582" xr:uid="{00000000-0005-0000-0000-0000D21A0000}"/>
    <cellStyle name="Normal 2 3 2 2 2 3 2 9" xfId="6409" xr:uid="{00000000-0005-0000-0000-0000D31A0000}"/>
    <cellStyle name="Normal 2 3 2 2 2 3 2_SSL" xfId="14496" xr:uid="{00000000-0005-0000-0000-0000D41A0000}"/>
    <cellStyle name="Normal 2 3 2 2 2 3 3" xfId="1410" xr:uid="{00000000-0005-0000-0000-0000D51A0000}"/>
    <cellStyle name="Normal 2 3 2 2 2 3 3 2" xfId="8065" xr:uid="{00000000-0005-0000-0000-0000D61A0000}"/>
    <cellStyle name="Normal 2 3 2 2 2 3 3_SSL" xfId="13259" xr:uid="{00000000-0005-0000-0000-0000D71A0000}"/>
    <cellStyle name="Normal 2 3 2 2 2 3 4" xfId="2230" xr:uid="{00000000-0005-0000-0000-0000D81A0000}"/>
    <cellStyle name="Normal 2 3 2 2 2 3 4 2" xfId="8878" xr:uid="{00000000-0005-0000-0000-0000D91A0000}"/>
    <cellStyle name="Normal 2 3 2 2 2 3 4_SSL" xfId="14573" xr:uid="{00000000-0005-0000-0000-0000DA1A0000}"/>
    <cellStyle name="Normal 2 3 2 2 2 3 5" xfId="3049" xr:uid="{00000000-0005-0000-0000-0000DB1A0000}"/>
    <cellStyle name="Normal 2 3 2 2 2 3 5 2" xfId="9694" xr:uid="{00000000-0005-0000-0000-0000DC1A0000}"/>
    <cellStyle name="Normal 2 3 2 2 2 3 5_SSL" xfId="17944" xr:uid="{00000000-0005-0000-0000-0000DD1A0000}"/>
    <cellStyle name="Normal 2 3 2 2 2 3 6" xfId="3870" xr:uid="{00000000-0005-0000-0000-0000DE1A0000}"/>
    <cellStyle name="Normal 2 3 2 2 2 3 6 2" xfId="10510" xr:uid="{00000000-0005-0000-0000-0000DF1A0000}"/>
    <cellStyle name="Normal 2 3 2 2 2 3 6_SSL" xfId="16999" xr:uid="{00000000-0005-0000-0000-0000E01A0000}"/>
    <cellStyle name="Normal 2 3 2 2 2 3 7" xfId="4681" xr:uid="{00000000-0005-0000-0000-0000E11A0000}"/>
    <cellStyle name="Normal 2 3 2 2 2 3 7 2" xfId="11320" xr:uid="{00000000-0005-0000-0000-0000E21A0000}"/>
    <cellStyle name="Normal 2 3 2 2 2 3 7_SSL" xfId="14626" xr:uid="{00000000-0005-0000-0000-0000E31A0000}"/>
    <cellStyle name="Normal 2 3 2 2 2 3 8" xfId="5491" xr:uid="{00000000-0005-0000-0000-0000E41A0000}"/>
    <cellStyle name="Normal 2 3 2 2 2 3 8 2" xfId="12129" xr:uid="{00000000-0005-0000-0000-0000E51A0000}"/>
    <cellStyle name="Normal 2 3 2 2 2 3 8_SSL" xfId="16155" xr:uid="{00000000-0005-0000-0000-0000E61A0000}"/>
    <cellStyle name="Normal 2 3 2 2 2 3 9" xfId="7198" xr:uid="{00000000-0005-0000-0000-0000E71A0000}"/>
    <cellStyle name="Normal 2 3 2 2 2 3_SSL" xfId="14687" xr:uid="{00000000-0005-0000-0000-0000E81A0000}"/>
    <cellStyle name="Normal 2 3 2 2 2 4" xfId="506" xr:uid="{00000000-0005-0000-0000-0000E91A0000}"/>
    <cellStyle name="Normal 2 3 2 2 2 4 2" xfId="1412" xr:uid="{00000000-0005-0000-0000-0000EA1A0000}"/>
    <cellStyle name="Normal 2 3 2 2 2 4 2 2" xfId="8067" xr:uid="{00000000-0005-0000-0000-0000EB1A0000}"/>
    <cellStyle name="Normal 2 3 2 2 2 4 2_SSL" xfId="16972" xr:uid="{00000000-0005-0000-0000-0000EC1A0000}"/>
    <cellStyle name="Normal 2 3 2 2 2 4 3" xfId="2232" xr:uid="{00000000-0005-0000-0000-0000ED1A0000}"/>
    <cellStyle name="Normal 2 3 2 2 2 4 3 2" xfId="8880" xr:uid="{00000000-0005-0000-0000-0000EE1A0000}"/>
    <cellStyle name="Normal 2 3 2 2 2 4 3_SSL" xfId="14478" xr:uid="{00000000-0005-0000-0000-0000EF1A0000}"/>
    <cellStyle name="Normal 2 3 2 2 2 4 4" xfId="3051" xr:uid="{00000000-0005-0000-0000-0000F01A0000}"/>
    <cellStyle name="Normal 2 3 2 2 2 4 4 2" xfId="9696" xr:uid="{00000000-0005-0000-0000-0000F11A0000}"/>
    <cellStyle name="Normal 2 3 2 2 2 4 4_SSL" xfId="14679" xr:uid="{00000000-0005-0000-0000-0000F21A0000}"/>
    <cellStyle name="Normal 2 3 2 2 2 4 5" xfId="3872" xr:uid="{00000000-0005-0000-0000-0000F31A0000}"/>
    <cellStyle name="Normal 2 3 2 2 2 4 5 2" xfId="10512" xr:uid="{00000000-0005-0000-0000-0000F41A0000}"/>
    <cellStyle name="Normal 2 3 2 2 2 4 5_SSL" xfId="16366" xr:uid="{00000000-0005-0000-0000-0000F51A0000}"/>
    <cellStyle name="Normal 2 3 2 2 2 4 6" xfId="4683" xr:uid="{00000000-0005-0000-0000-0000F61A0000}"/>
    <cellStyle name="Normal 2 3 2 2 2 4 6 2" xfId="11322" xr:uid="{00000000-0005-0000-0000-0000F71A0000}"/>
    <cellStyle name="Normal 2 3 2 2 2 4 6_SSL" xfId="15752" xr:uid="{00000000-0005-0000-0000-0000F81A0000}"/>
    <cellStyle name="Normal 2 3 2 2 2 4 7" xfId="5493" xr:uid="{00000000-0005-0000-0000-0000F91A0000}"/>
    <cellStyle name="Normal 2 3 2 2 2 4 7 2" xfId="12131" xr:uid="{00000000-0005-0000-0000-0000FA1A0000}"/>
    <cellStyle name="Normal 2 3 2 2 2 4 7_SSL" xfId="13770" xr:uid="{00000000-0005-0000-0000-0000FB1A0000}"/>
    <cellStyle name="Normal 2 3 2 2 2 4 8" xfId="7362" xr:uid="{00000000-0005-0000-0000-0000FC1A0000}"/>
    <cellStyle name="Normal 2 3 2 2 2 4 9" xfId="6410" xr:uid="{00000000-0005-0000-0000-0000FD1A0000}"/>
    <cellStyle name="Normal 2 3 2 2 2 4_SSL" xfId="12722" xr:uid="{00000000-0005-0000-0000-0000FE1A0000}"/>
    <cellStyle name="Normal 2 3 2 2 2 5" xfId="1405" xr:uid="{00000000-0005-0000-0000-0000FF1A0000}"/>
    <cellStyle name="Normal 2 3 2 2 2 5 2" xfId="8060" xr:uid="{00000000-0005-0000-0000-0000001B0000}"/>
    <cellStyle name="Normal 2 3 2 2 2 5_SSL" xfId="16909" xr:uid="{00000000-0005-0000-0000-0000011B0000}"/>
    <cellStyle name="Normal 2 3 2 2 2 6" xfId="2225" xr:uid="{00000000-0005-0000-0000-0000021B0000}"/>
    <cellStyle name="Normal 2 3 2 2 2 6 2" xfId="8873" xr:uid="{00000000-0005-0000-0000-0000031B0000}"/>
    <cellStyle name="Normal 2 3 2 2 2 6_SSL" xfId="16016" xr:uid="{00000000-0005-0000-0000-0000041B0000}"/>
    <cellStyle name="Normal 2 3 2 2 2 7" xfId="3044" xr:uid="{00000000-0005-0000-0000-0000051B0000}"/>
    <cellStyle name="Normal 2 3 2 2 2 7 2" xfId="9689" xr:uid="{00000000-0005-0000-0000-0000061B0000}"/>
    <cellStyle name="Normal 2 3 2 2 2 7_SSL" xfId="16874" xr:uid="{00000000-0005-0000-0000-0000071B0000}"/>
    <cellStyle name="Normal 2 3 2 2 2 8" xfId="3865" xr:uid="{00000000-0005-0000-0000-0000081B0000}"/>
    <cellStyle name="Normal 2 3 2 2 2 8 2" xfId="10505" xr:uid="{00000000-0005-0000-0000-0000091B0000}"/>
    <cellStyle name="Normal 2 3 2 2 2 8_SSL" xfId="15314" xr:uid="{00000000-0005-0000-0000-00000A1B0000}"/>
    <cellStyle name="Normal 2 3 2 2 2 9" xfId="4676" xr:uid="{00000000-0005-0000-0000-00000B1B0000}"/>
    <cellStyle name="Normal 2 3 2 2 2 9 2" xfId="11315" xr:uid="{00000000-0005-0000-0000-00000C1B0000}"/>
    <cellStyle name="Normal 2 3 2 2 2 9_SSL" xfId="13027" xr:uid="{00000000-0005-0000-0000-00000D1B0000}"/>
    <cellStyle name="Normal 2 3 2 2 2_SSL" xfId="6916" xr:uid="{00000000-0005-0000-0000-00000E1B0000}"/>
    <cellStyle name="Normal 2 3 2 2 3" xfId="124" xr:uid="{00000000-0005-0000-0000-00000F1B0000}"/>
    <cellStyle name="Normal 2 3 2 2 3 10" xfId="5494" xr:uid="{00000000-0005-0000-0000-0000101B0000}"/>
    <cellStyle name="Normal 2 3 2 2 3 10 2" xfId="12132" xr:uid="{00000000-0005-0000-0000-0000111B0000}"/>
    <cellStyle name="Normal 2 3 2 2 3 10_SSL" xfId="16732" xr:uid="{00000000-0005-0000-0000-0000121B0000}"/>
    <cellStyle name="Normal 2 3 2 2 3 11" xfId="7001" xr:uid="{00000000-0005-0000-0000-0000131B0000}"/>
    <cellStyle name="Normal 2 3 2 2 3 12" xfId="6411" xr:uid="{00000000-0005-0000-0000-0000141B0000}"/>
    <cellStyle name="Normal 2 3 2 2 3 2" xfId="220" xr:uid="{00000000-0005-0000-0000-0000151B0000}"/>
    <cellStyle name="Normal 2 3 2 2 3 2 10" xfId="7097" xr:uid="{00000000-0005-0000-0000-0000161B0000}"/>
    <cellStyle name="Normal 2 3 2 2 3 2 11" xfId="6412" xr:uid="{00000000-0005-0000-0000-0000171B0000}"/>
    <cellStyle name="Normal 2 3 2 2 3 2 2" xfId="341" xr:uid="{00000000-0005-0000-0000-0000181B0000}"/>
    <cellStyle name="Normal 2 3 2 2 3 2 2 10" xfId="6413" xr:uid="{00000000-0005-0000-0000-0000191B0000}"/>
    <cellStyle name="Normal 2 3 2 2 3 2 2 2" xfId="729" xr:uid="{00000000-0005-0000-0000-00001A1B0000}"/>
    <cellStyle name="Normal 2 3 2 2 3 2 2 2 2" xfId="1416" xr:uid="{00000000-0005-0000-0000-00001B1B0000}"/>
    <cellStyle name="Normal 2 3 2 2 3 2 2 2 2 2" xfId="8071" xr:uid="{00000000-0005-0000-0000-00001C1B0000}"/>
    <cellStyle name="Normal 2 3 2 2 3 2 2 2 2_SSL" xfId="13308" xr:uid="{00000000-0005-0000-0000-00001D1B0000}"/>
    <cellStyle name="Normal 2 3 2 2 3 2 2 2 3" xfId="2236" xr:uid="{00000000-0005-0000-0000-00001E1B0000}"/>
    <cellStyle name="Normal 2 3 2 2 3 2 2 2 3 2" xfId="8884" xr:uid="{00000000-0005-0000-0000-00001F1B0000}"/>
    <cellStyle name="Normal 2 3 2 2 3 2 2 2 3_SSL" xfId="13156" xr:uid="{00000000-0005-0000-0000-0000201B0000}"/>
    <cellStyle name="Normal 2 3 2 2 3 2 2 2 4" xfId="3055" xr:uid="{00000000-0005-0000-0000-0000211B0000}"/>
    <cellStyle name="Normal 2 3 2 2 3 2 2 2 4 2" xfId="9700" xr:uid="{00000000-0005-0000-0000-0000221B0000}"/>
    <cellStyle name="Normal 2 3 2 2 3 2 2 2 4_SSL" xfId="13549" xr:uid="{00000000-0005-0000-0000-0000231B0000}"/>
    <cellStyle name="Normal 2 3 2 2 3 2 2 2 5" xfId="3876" xr:uid="{00000000-0005-0000-0000-0000241B0000}"/>
    <cellStyle name="Normal 2 3 2 2 3 2 2 2 5 2" xfId="10516" xr:uid="{00000000-0005-0000-0000-0000251B0000}"/>
    <cellStyle name="Normal 2 3 2 2 3 2 2 2 5_SSL" xfId="13640" xr:uid="{00000000-0005-0000-0000-0000261B0000}"/>
    <cellStyle name="Normal 2 3 2 2 3 2 2 2 6" xfId="4687" xr:uid="{00000000-0005-0000-0000-0000271B0000}"/>
    <cellStyle name="Normal 2 3 2 2 3 2 2 2 6 2" xfId="11326" xr:uid="{00000000-0005-0000-0000-0000281B0000}"/>
    <cellStyle name="Normal 2 3 2 2 3 2 2 2 6_SSL" xfId="12986" xr:uid="{00000000-0005-0000-0000-0000291B0000}"/>
    <cellStyle name="Normal 2 3 2 2 3 2 2 2 7" xfId="5497" xr:uid="{00000000-0005-0000-0000-00002A1B0000}"/>
    <cellStyle name="Normal 2 3 2 2 3 2 2 2 7 2" xfId="12135" xr:uid="{00000000-0005-0000-0000-00002B1B0000}"/>
    <cellStyle name="Normal 2 3 2 2 3 2 2 2 7_SSL" xfId="15012" xr:uid="{00000000-0005-0000-0000-00002C1B0000}"/>
    <cellStyle name="Normal 2 3 2 2 3 2 2 2 8" xfId="7585" xr:uid="{00000000-0005-0000-0000-00002D1B0000}"/>
    <cellStyle name="Normal 2 3 2 2 3 2 2 2 9" xfId="6414" xr:uid="{00000000-0005-0000-0000-00002E1B0000}"/>
    <cellStyle name="Normal 2 3 2 2 3 2 2 2_SSL" xfId="15878" xr:uid="{00000000-0005-0000-0000-00002F1B0000}"/>
    <cellStyle name="Normal 2 3 2 2 3 2 2 3" xfId="1415" xr:uid="{00000000-0005-0000-0000-0000301B0000}"/>
    <cellStyle name="Normal 2 3 2 2 3 2 2 3 2" xfId="8070" xr:uid="{00000000-0005-0000-0000-0000311B0000}"/>
    <cellStyle name="Normal 2 3 2 2 3 2 2 3_SSL" xfId="15086" xr:uid="{00000000-0005-0000-0000-0000321B0000}"/>
    <cellStyle name="Normal 2 3 2 2 3 2 2 4" xfId="2235" xr:uid="{00000000-0005-0000-0000-0000331B0000}"/>
    <cellStyle name="Normal 2 3 2 2 3 2 2 4 2" xfId="8883" xr:uid="{00000000-0005-0000-0000-0000341B0000}"/>
    <cellStyle name="Normal 2 3 2 2 3 2 2 4_SSL" xfId="15912" xr:uid="{00000000-0005-0000-0000-0000351B0000}"/>
    <cellStyle name="Normal 2 3 2 2 3 2 2 5" xfId="3054" xr:uid="{00000000-0005-0000-0000-0000361B0000}"/>
    <cellStyle name="Normal 2 3 2 2 3 2 2 5 2" xfId="9699" xr:uid="{00000000-0005-0000-0000-0000371B0000}"/>
    <cellStyle name="Normal 2 3 2 2 3 2 2 5_SSL" xfId="13613" xr:uid="{00000000-0005-0000-0000-0000381B0000}"/>
    <cellStyle name="Normal 2 3 2 2 3 2 2 6" xfId="3875" xr:uid="{00000000-0005-0000-0000-0000391B0000}"/>
    <cellStyle name="Normal 2 3 2 2 3 2 2 6 2" xfId="10515" xr:uid="{00000000-0005-0000-0000-00003A1B0000}"/>
    <cellStyle name="Normal 2 3 2 2 3 2 2 6_SSL" xfId="15857" xr:uid="{00000000-0005-0000-0000-00003B1B0000}"/>
    <cellStyle name="Normal 2 3 2 2 3 2 2 7" xfId="4686" xr:uid="{00000000-0005-0000-0000-00003C1B0000}"/>
    <cellStyle name="Normal 2 3 2 2 3 2 2 7 2" xfId="11325" xr:uid="{00000000-0005-0000-0000-00003D1B0000}"/>
    <cellStyle name="Normal 2 3 2 2 3 2 2 7_SSL" xfId="17521" xr:uid="{00000000-0005-0000-0000-00003E1B0000}"/>
    <cellStyle name="Normal 2 3 2 2 3 2 2 8" xfId="5496" xr:uid="{00000000-0005-0000-0000-00003F1B0000}"/>
    <cellStyle name="Normal 2 3 2 2 3 2 2 8 2" xfId="12134" xr:uid="{00000000-0005-0000-0000-0000401B0000}"/>
    <cellStyle name="Normal 2 3 2 2 3 2 2 8_SSL" xfId="15956" xr:uid="{00000000-0005-0000-0000-0000411B0000}"/>
    <cellStyle name="Normal 2 3 2 2 3 2 2 9" xfId="7201" xr:uid="{00000000-0005-0000-0000-0000421B0000}"/>
    <cellStyle name="Normal 2 3 2 2 3 2 2_SSL" xfId="13505" xr:uid="{00000000-0005-0000-0000-0000431B0000}"/>
    <cellStyle name="Normal 2 3 2 2 3 2 3" xfId="625" xr:uid="{00000000-0005-0000-0000-0000441B0000}"/>
    <cellStyle name="Normal 2 3 2 2 3 2 3 2" xfId="1417" xr:uid="{00000000-0005-0000-0000-0000451B0000}"/>
    <cellStyle name="Normal 2 3 2 2 3 2 3 2 2" xfId="8072" xr:uid="{00000000-0005-0000-0000-0000461B0000}"/>
    <cellStyle name="Normal 2 3 2 2 3 2 3 2_SSL" xfId="13190" xr:uid="{00000000-0005-0000-0000-0000471B0000}"/>
    <cellStyle name="Normal 2 3 2 2 3 2 3 3" xfId="2237" xr:uid="{00000000-0005-0000-0000-0000481B0000}"/>
    <cellStyle name="Normal 2 3 2 2 3 2 3 3 2" xfId="8885" xr:uid="{00000000-0005-0000-0000-0000491B0000}"/>
    <cellStyle name="Normal 2 3 2 2 3 2 3 3_SSL" xfId="15931" xr:uid="{00000000-0005-0000-0000-00004A1B0000}"/>
    <cellStyle name="Normal 2 3 2 2 3 2 3 4" xfId="3056" xr:uid="{00000000-0005-0000-0000-00004B1B0000}"/>
    <cellStyle name="Normal 2 3 2 2 3 2 3 4 2" xfId="9701" xr:uid="{00000000-0005-0000-0000-00004C1B0000}"/>
    <cellStyle name="Normal 2 3 2 2 3 2 3 4_SSL" xfId="13753" xr:uid="{00000000-0005-0000-0000-00004D1B0000}"/>
    <cellStyle name="Normal 2 3 2 2 3 2 3 5" xfId="3877" xr:uid="{00000000-0005-0000-0000-00004E1B0000}"/>
    <cellStyle name="Normal 2 3 2 2 3 2 3 5 2" xfId="10517" xr:uid="{00000000-0005-0000-0000-00004F1B0000}"/>
    <cellStyle name="Normal 2 3 2 2 3 2 3 5_SSL" xfId="14494" xr:uid="{00000000-0005-0000-0000-0000501B0000}"/>
    <cellStyle name="Normal 2 3 2 2 3 2 3 6" xfId="4688" xr:uid="{00000000-0005-0000-0000-0000511B0000}"/>
    <cellStyle name="Normal 2 3 2 2 3 2 3 6 2" xfId="11327" xr:uid="{00000000-0005-0000-0000-0000521B0000}"/>
    <cellStyle name="Normal 2 3 2 2 3 2 3 6_SSL" xfId="15095" xr:uid="{00000000-0005-0000-0000-0000531B0000}"/>
    <cellStyle name="Normal 2 3 2 2 3 2 3 7" xfId="5498" xr:uid="{00000000-0005-0000-0000-0000541B0000}"/>
    <cellStyle name="Normal 2 3 2 2 3 2 3 7 2" xfId="12136" xr:uid="{00000000-0005-0000-0000-0000551B0000}"/>
    <cellStyle name="Normal 2 3 2 2 3 2 3 7_SSL" xfId="17844" xr:uid="{00000000-0005-0000-0000-0000561B0000}"/>
    <cellStyle name="Normal 2 3 2 2 3 2 3 8" xfId="7481" xr:uid="{00000000-0005-0000-0000-0000571B0000}"/>
    <cellStyle name="Normal 2 3 2 2 3 2 3 9" xfId="6415" xr:uid="{00000000-0005-0000-0000-0000581B0000}"/>
    <cellStyle name="Normal 2 3 2 2 3 2 3_SSL" xfId="17729" xr:uid="{00000000-0005-0000-0000-0000591B0000}"/>
    <cellStyle name="Normal 2 3 2 2 3 2 4" xfId="1414" xr:uid="{00000000-0005-0000-0000-00005A1B0000}"/>
    <cellStyle name="Normal 2 3 2 2 3 2 4 2" xfId="8069" xr:uid="{00000000-0005-0000-0000-00005B1B0000}"/>
    <cellStyle name="Normal 2 3 2 2 3 2 4_SSL" xfId="17841" xr:uid="{00000000-0005-0000-0000-00005C1B0000}"/>
    <cellStyle name="Normal 2 3 2 2 3 2 5" xfId="2234" xr:uid="{00000000-0005-0000-0000-00005D1B0000}"/>
    <cellStyle name="Normal 2 3 2 2 3 2 5 2" xfId="8882" xr:uid="{00000000-0005-0000-0000-00005E1B0000}"/>
    <cellStyle name="Normal 2 3 2 2 3 2 5_SSL" xfId="15706" xr:uid="{00000000-0005-0000-0000-00005F1B0000}"/>
    <cellStyle name="Normal 2 3 2 2 3 2 6" xfId="3053" xr:uid="{00000000-0005-0000-0000-0000601B0000}"/>
    <cellStyle name="Normal 2 3 2 2 3 2 6 2" xfId="9698" xr:uid="{00000000-0005-0000-0000-0000611B0000}"/>
    <cellStyle name="Normal 2 3 2 2 3 2 6_SSL" xfId="15138" xr:uid="{00000000-0005-0000-0000-0000621B0000}"/>
    <cellStyle name="Normal 2 3 2 2 3 2 7" xfId="3874" xr:uid="{00000000-0005-0000-0000-0000631B0000}"/>
    <cellStyle name="Normal 2 3 2 2 3 2 7 2" xfId="10514" xr:uid="{00000000-0005-0000-0000-0000641B0000}"/>
    <cellStyle name="Normal 2 3 2 2 3 2 7_SSL" xfId="14693" xr:uid="{00000000-0005-0000-0000-0000651B0000}"/>
    <cellStyle name="Normal 2 3 2 2 3 2 8" xfId="4685" xr:uid="{00000000-0005-0000-0000-0000661B0000}"/>
    <cellStyle name="Normal 2 3 2 2 3 2 8 2" xfId="11324" xr:uid="{00000000-0005-0000-0000-0000671B0000}"/>
    <cellStyle name="Normal 2 3 2 2 3 2 8_SSL" xfId="16634" xr:uid="{00000000-0005-0000-0000-0000681B0000}"/>
    <cellStyle name="Normal 2 3 2 2 3 2 9" xfId="5495" xr:uid="{00000000-0005-0000-0000-0000691B0000}"/>
    <cellStyle name="Normal 2 3 2 2 3 2 9 2" xfId="12133" xr:uid="{00000000-0005-0000-0000-00006A1B0000}"/>
    <cellStyle name="Normal 2 3 2 2 3 2 9_SSL" xfId="17858" xr:uid="{00000000-0005-0000-0000-00006B1B0000}"/>
    <cellStyle name="Normal 2 3 2 2 3 2_SSL" xfId="17162" xr:uid="{00000000-0005-0000-0000-00006C1B0000}"/>
    <cellStyle name="Normal 2 3 2 2 3 3" xfId="340" xr:uid="{00000000-0005-0000-0000-00006D1B0000}"/>
    <cellStyle name="Normal 2 3 2 2 3 3 10" xfId="6416" xr:uid="{00000000-0005-0000-0000-00006E1B0000}"/>
    <cellStyle name="Normal 2 3 2 2 3 3 2" xfId="728" xr:uid="{00000000-0005-0000-0000-00006F1B0000}"/>
    <cellStyle name="Normal 2 3 2 2 3 3 2 2" xfId="1419" xr:uid="{00000000-0005-0000-0000-0000701B0000}"/>
    <cellStyle name="Normal 2 3 2 2 3 3 2 2 2" xfId="8074" xr:uid="{00000000-0005-0000-0000-0000711B0000}"/>
    <cellStyle name="Normal 2 3 2 2 3 3 2 2_SSL" xfId="16665" xr:uid="{00000000-0005-0000-0000-0000721B0000}"/>
    <cellStyle name="Normal 2 3 2 2 3 3 2 3" xfId="2239" xr:uid="{00000000-0005-0000-0000-0000731B0000}"/>
    <cellStyle name="Normal 2 3 2 2 3 3 2 3 2" xfId="8887" xr:uid="{00000000-0005-0000-0000-0000741B0000}"/>
    <cellStyle name="Normal 2 3 2 2 3 3 2 3_SSL" xfId="15818" xr:uid="{00000000-0005-0000-0000-0000751B0000}"/>
    <cellStyle name="Normal 2 3 2 2 3 3 2 4" xfId="3058" xr:uid="{00000000-0005-0000-0000-0000761B0000}"/>
    <cellStyle name="Normal 2 3 2 2 3 3 2 4 2" xfId="9703" xr:uid="{00000000-0005-0000-0000-0000771B0000}"/>
    <cellStyle name="Normal 2 3 2 2 3 3 2 4_SSL" xfId="16191" xr:uid="{00000000-0005-0000-0000-0000781B0000}"/>
    <cellStyle name="Normal 2 3 2 2 3 3 2 5" xfId="3879" xr:uid="{00000000-0005-0000-0000-0000791B0000}"/>
    <cellStyle name="Normal 2 3 2 2 3 3 2 5 2" xfId="10519" xr:uid="{00000000-0005-0000-0000-00007A1B0000}"/>
    <cellStyle name="Normal 2 3 2 2 3 3 2 5_SSL" xfId="16389" xr:uid="{00000000-0005-0000-0000-00007B1B0000}"/>
    <cellStyle name="Normal 2 3 2 2 3 3 2 6" xfId="4690" xr:uid="{00000000-0005-0000-0000-00007C1B0000}"/>
    <cellStyle name="Normal 2 3 2 2 3 3 2 6 2" xfId="11329" xr:uid="{00000000-0005-0000-0000-00007D1B0000}"/>
    <cellStyle name="Normal 2 3 2 2 3 3 2 6_SSL" xfId="13518" xr:uid="{00000000-0005-0000-0000-00007E1B0000}"/>
    <cellStyle name="Normal 2 3 2 2 3 3 2 7" xfId="5500" xr:uid="{00000000-0005-0000-0000-00007F1B0000}"/>
    <cellStyle name="Normal 2 3 2 2 3 3 2 7 2" xfId="12138" xr:uid="{00000000-0005-0000-0000-0000801B0000}"/>
    <cellStyle name="Normal 2 3 2 2 3 3 2 7_SSL" xfId="14005" xr:uid="{00000000-0005-0000-0000-0000811B0000}"/>
    <cellStyle name="Normal 2 3 2 2 3 3 2 8" xfId="7584" xr:uid="{00000000-0005-0000-0000-0000821B0000}"/>
    <cellStyle name="Normal 2 3 2 2 3 3 2 9" xfId="6417" xr:uid="{00000000-0005-0000-0000-0000831B0000}"/>
    <cellStyle name="Normal 2 3 2 2 3 3 2_SSL" xfId="17212" xr:uid="{00000000-0005-0000-0000-0000841B0000}"/>
    <cellStyle name="Normal 2 3 2 2 3 3 3" xfId="1418" xr:uid="{00000000-0005-0000-0000-0000851B0000}"/>
    <cellStyle name="Normal 2 3 2 2 3 3 3 2" xfId="8073" xr:uid="{00000000-0005-0000-0000-0000861B0000}"/>
    <cellStyle name="Normal 2 3 2 2 3 3 3_SSL" xfId="14579" xr:uid="{00000000-0005-0000-0000-0000871B0000}"/>
    <cellStyle name="Normal 2 3 2 2 3 3 4" xfId="2238" xr:uid="{00000000-0005-0000-0000-0000881B0000}"/>
    <cellStyle name="Normal 2 3 2 2 3 3 4 2" xfId="8886" xr:uid="{00000000-0005-0000-0000-0000891B0000}"/>
    <cellStyle name="Normal 2 3 2 2 3 3 4_SSL" xfId="15455" xr:uid="{00000000-0005-0000-0000-00008A1B0000}"/>
    <cellStyle name="Normal 2 3 2 2 3 3 5" xfId="3057" xr:uid="{00000000-0005-0000-0000-00008B1B0000}"/>
    <cellStyle name="Normal 2 3 2 2 3 3 5 2" xfId="9702" xr:uid="{00000000-0005-0000-0000-00008C1B0000}"/>
    <cellStyle name="Normal 2 3 2 2 3 3 5_SSL" xfId="14734" xr:uid="{00000000-0005-0000-0000-00008D1B0000}"/>
    <cellStyle name="Normal 2 3 2 2 3 3 6" xfId="3878" xr:uid="{00000000-0005-0000-0000-00008E1B0000}"/>
    <cellStyle name="Normal 2 3 2 2 3 3 6 2" xfId="10518" xr:uid="{00000000-0005-0000-0000-00008F1B0000}"/>
    <cellStyle name="Normal 2 3 2 2 3 3 6_SSL" xfId="13326" xr:uid="{00000000-0005-0000-0000-0000901B0000}"/>
    <cellStyle name="Normal 2 3 2 2 3 3 7" xfId="4689" xr:uid="{00000000-0005-0000-0000-0000911B0000}"/>
    <cellStyle name="Normal 2 3 2 2 3 3 7 2" xfId="11328" xr:uid="{00000000-0005-0000-0000-0000921B0000}"/>
    <cellStyle name="Normal 2 3 2 2 3 3 7_SSL" xfId="15578" xr:uid="{00000000-0005-0000-0000-0000931B0000}"/>
    <cellStyle name="Normal 2 3 2 2 3 3 8" xfId="5499" xr:uid="{00000000-0005-0000-0000-0000941B0000}"/>
    <cellStyle name="Normal 2 3 2 2 3 3 8 2" xfId="12137" xr:uid="{00000000-0005-0000-0000-0000951B0000}"/>
    <cellStyle name="Normal 2 3 2 2 3 3 8_SSL" xfId="16252" xr:uid="{00000000-0005-0000-0000-0000961B0000}"/>
    <cellStyle name="Normal 2 3 2 2 3 3 9" xfId="7200" xr:uid="{00000000-0005-0000-0000-0000971B0000}"/>
    <cellStyle name="Normal 2 3 2 2 3 3_SSL" xfId="13397" xr:uid="{00000000-0005-0000-0000-0000981B0000}"/>
    <cellStyle name="Normal 2 3 2 2 3 4" xfId="529" xr:uid="{00000000-0005-0000-0000-0000991B0000}"/>
    <cellStyle name="Normal 2 3 2 2 3 4 2" xfId="1420" xr:uid="{00000000-0005-0000-0000-00009A1B0000}"/>
    <cellStyle name="Normal 2 3 2 2 3 4 2 2" xfId="8075" xr:uid="{00000000-0005-0000-0000-00009B1B0000}"/>
    <cellStyle name="Normal 2 3 2 2 3 4 2_SSL" xfId="14655" xr:uid="{00000000-0005-0000-0000-00009C1B0000}"/>
    <cellStyle name="Normal 2 3 2 2 3 4 3" xfId="2240" xr:uid="{00000000-0005-0000-0000-00009D1B0000}"/>
    <cellStyle name="Normal 2 3 2 2 3 4 3 2" xfId="8888" xr:uid="{00000000-0005-0000-0000-00009E1B0000}"/>
    <cellStyle name="Normal 2 3 2 2 3 4 3_SSL" xfId="16805" xr:uid="{00000000-0005-0000-0000-00009F1B0000}"/>
    <cellStyle name="Normal 2 3 2 2 3 4 4" xfId="3059" xr:uid="{00000000-0005-0000-0000-0000A01B0000}"/>
    <cellStyle name="Normal 2 3 2 2 3 4 4 2" xfId="9704" xr:uid="{00000000-0005-0000-0000-0000A11B0000}"/>
    <cellStyle name="Normal 2 3 2 2 3 4 4_SSL" xfId="13833" xr:uid="{00000000-0005-0000-0000-0000A21B0000}"/>
    <cellStyle name="Normal 2 3 2 2 3 4 5" xfId="3880" xr:uid="{00000000-0005-0000-0000-0000A31B0000}"/>
    <cellStyle name="Normal 2 3 2 2 3 4 5 2" xfId="10520" xr:uid="{00000000-0005-0000-0000-0000A41B0000}"/>
    <cellStyle name="Normal 2 3 2 2 3 4 5_SSL" xfId="14871" xr:uid="{00000000-0005-0000-0000-0000A51B0000}"/>
    <cellStyle name="Normal 2 3 2 2 3 4 6" xfId="4691" xr:uid="{00000000-0005-0000-0000-0000A61B0000}"/>
    <cellStyle name="Normal 2 3 2 2 3 4 6 2" xfId="11330" xr:uid="{00000000-0005-0000-0000-0000A71B0000}"/>
    <cellStyle name="Normal 2 3 2 2 3 4 6_SSL" xfId="6062" xr:uid="{00000000-0005-0000-0000-0000A81B0000}"/>
    <cellStyle name="Normal 2 3 2 2 3 4 7" xfId="5501" xr:uid="{00000000-0005-0000-0000-0000A91B0000}"/>
    <cellStyle name="Normal 2 3 2 2 3 4 7 2" xfId="12139" xr:uid="{00000000-0005-0000-0000-0000AA1B0000}"/>
    <cellStyle name="Normal 2 3 2 2 3 4 7_SSL" xfId="13877" xr:uid="{00000000-0005-0000-0000-0000AB1B0000}"/>
    <cellStyle name="Normal 2 3 2 2 3 4 8" xfId="7385" xr:uid="{00000000-0005-0000-0000-0000AC1B0000}"/>
    <cellStyle name="Normal 2 3 2 2 3 4 9" xfId="6418" xr:uid="{00000000-0005-0000-0000-0000AD1B0000}"/>
    <cellStyle name="Normal 2 3 2 2 3 4_SSL" xfId="15167" xr:uid="{00000000-0005-0000-0000-0000AE1B0000}"/>
    <cellStyle name="Normal 2 3 2 2 3 5" xfId="1413" xr:uid="{00000000-0005-0000-0000-0000AF1B0000}"/>
    <cellStyle name="Normal 2 3 2 2 3 5 2" xfId="8068" xr:uid="{00000000-0005-0000-0000-0000B01B0000}"/>
    <cellStyle name="Normal 2 3 2 2 3 5_SSL" xfId="12767" xr:uid="{00000000-0005-0000-0000-0000B11B0000}"/>
    <cellStyle name="Normal 2 3 2 2 3 6" xfId="2233" xr:uid="{00000000-0005-0000-0000-0000B21B0000}"/>
    <cellStyle name="Normal 2 3 2 2 3 6 2" xfId="8881" xr:uid="{00000000-0005-0000-0000-0000B31B0000}"/>
    <cellStyle name="Normal 2 3 2 2 3 6_SSL" xfId="14727" xr:uid="{00000000-0005-0000-0000-0000B41B0000}"/>
    <cellStyle name="Normal 2 3 2 2 3 7" xfId="3052" xr:uid="{00000000-0005-0000-0000-0000B51B0000}"/>
    <cellStyle name="Normal 2 3 2 2 3 7 2" xfId="9697" xr:uid="{00000000-0005-0000-0000-0000B61B0000}"/>
    <cellStyle name="Normal 2 3 2 2 3 7_SSL" xfId="15279" xr:uid="{00000000-0005-0000-0000-0000B71B0000}"/>
    <cellStyle name="Normal 2 3 2 2 3 8" xfId="3873" xr:uid="{00000000-0005-0000-0000-0000B81B0000}"/>
    <cellStyle name="Normal 2 3 2 2 3 8 2" xfId="10513" xr:uid="{00000000-0005-0000-0000-0000B91B0000}"/>
    <cellStyle name="Normal 2 3 2 2 3 8_SSL" xfId="17859" xr:uid="{00000000-0005-0000-0000-0000BA1B0000}"/>
    <cellStyle name="Normal 2 3 2 2 3 9" xfId="4684" xr:uid="{00000000-0005-0000-0000-0000BB1B0000}"/>
    <cellStyle name="Normal 2 3 2 2 3 9 2" xfId="11323" xr:uid="{00000000-0005-0000-0000-0000BC1B0000}"/>
    <cellStyle name="Normal 2 3 2 2 3 9_SSL" xfId="15094" xr:uid="{00000000-0005-0000-0000-0000BD1B0000}"/>
    <cellStyle name="Normal 2 3 2 2 3_SSL" xfId="16470" xr:uid="{00000000-0005-0000-0000-0000BE1B0000}"/>
    <cellStyle name="Normal 2 3 2 2 4" xfId="149" xr:uid="{00000000-0005-0000-0000-0000BF1B0000}"/>
    <cellStyle name="Normal 2 3 2 2 4 10" xfId="7026" xr:uid="{00000000-0005-0000-0000-0000C01B0000}"/>
    <cellStyle name="Normal 2 3 2 2 4 11" xfId="6419" xr:uid="{00000000-0005-0000-0000-0000C11B0000}"/>
    <cellStyle name="Normal 2 3 2 2 4 2" xfId="342" xr:uid="{00000000-0005-0000-0000-0000C21B0000}"/>
    <cellStyle name="Normal 2 3 2 2 4 2 10" xfId="6420" xr:uid="{00000000-0005-0000-0000-0000C31B0000}"/>
    <cellStyle name="Normal 2 3 2 2 4 2 2" xfId="730" xr:uid="{00000000-0005-0000-0000-0000C41B0000}"/>
    <cellStyle name="Normal 2 3 2 2 4 2 2 2" xfId="1423" xr:uid="{00000000-0005-0000-0000-0000C51B0000}"/>
    <cellStyle name="Normal 2 3 2 2 4 2 2 2 2" xfId="8078" xr:uid="{00000000-0005-0000-0000-0000C61B0000}"/>
    <cellStyle name="Normal 2 3 2 2 4 2 2 2_SSL" xfId="13278" xr:uid="{00000000-0005-0000-0000-0000C71B0000}"/>
    <cellStyle name="Normal 2 3 2 2 4 2 2 3" xfId="2243" xr:uid="{00000000-0005-0000-0000-0000C81B0000}"/>
    <cellStyle name="Normal 2 3 2 2 4 2 2 3 2" xfId="8891" xr:uid="{00000000-0005-0000-0000-0000C91B0000}"/>
    <cellStyle name="Normal 2 3 2 2 4 2 2 3_SSL" xfId="13566" xr:uid="{00000000-0005-0000-0000-0000CA1B0000}"/>
    <cellStyle name="Normal 2 3 2 2 4 2 2 4" xfId="3062" xr:uid="{00000000-0005-0000-0000-0000CB1B0000}"/>
    <cellStyle name="Normal 2 3 2 2 4 2 2 4 2" xfId="9707" xr:uid="{00000000-0005-0000-0000-0000CC1B0000}"/>
    <cellStyle name="Normal 2 3 2 2 4 2 2 4_SSL" xfId="16505" xr:uid="{00000000-0005-0000-0000-0000CD1B0000}"/>
    <cellStyle name="Normal 2 3 2 2 4 2 2 5" xfId="3883" xr:uid="{00000000-0005-0000-0000-0000CE1B0000}"/>
    <cellStyle name="Normal 2 3 2 2 4 2 2 5 2" xfId="10523" xr:uid="{00000000-0005-0000-0000-0000CF1B0000}"/>
    <cellStyle name="Normal 2 3 2 2 4 2 2 5_SSL" xfId="15246" xr:uid="{00000000-0005-0000-0000-0000D01B0000}"/>
    <cellStyle name="Normal 2 3 2 2 4 2 2 6" xfId="4694" xr:uid="{00000000-0005-0000-0000-0000D11B0000}"/>
    <cellStyle name="Normal 2 3 2 2 4 2 2 6 2" xfId="11333" xr:uid="{00000000-0005-0000-0000-0000D21B0000}"/>
    <cellStyle name="Normal 2 3 2 2 4 2 2 6_SSL" xfId="16144" xr:uid="{00000000-0005-0000-0000-0000D31B0000}"/>
    <cellStyle name="Normal 2 3 2 2 4 2 2 7" xfId="5504" xr:uid="{00000000-0005-0000-0000-0000D41B0000}"/>
    <cellStyle name="Normal 2 3 2 2 4 2 2 7 2" xfId="12142" xr:uid="{00000000-0005-0000-0000-0000D51B0000}"/>
    <cellStyle name="Normal 2 3 2 2 4 2 2 7_SSL" xfId="16151" xr:uid="{00000000-0005-0000-0000-0000D61B0000}"/>
    <cellStyle name="Normal 2 3 2 2 4 2 2 8" xfId="7586" xr:uid="{00000000-0005-0000-0000-0000D71B0000}"/>
    <cellStyle name="Normal 2 3 2 2 4 2 2 9" xfId="6421" xr:uid="{00000000-0005-0000-0000-0000D81B0000}"/>
    <cellStyle name="Normal 2 3 2 2 4 2 2_SSL" xfId="17762" xr:uid="{00000000-0005-0000-0000-0000D91B0000}"/>
    <cellStyle name="Normal 2 3 2 2 4 2 3" xfId="1422" xr:uid="{00000000-0005-0000-0000-0000DA1B0000}"/>
    <cellStyle name="Normal 2 3 2 2 4 2 3 2" xfId="8077" xr:uid="{00000000-0005-0000-0000-0000DB1B0000}"/>
    <cellStyle name="Normal 2 3 2 2 4 2 3_SSL" xfId="16783" xr:uid="{00000000-0005-0000-0000-0000DC1B0000}"/>
    <cellStyle name="Normal 2 3 2 2 4 2 4" xfId="2242" xr:uid="{00000000-0005-0000-0000-0000DD1B0000}"/>
    <cellStyle name="Normal 2 3 2 2 4 2 4 2" xfId="8890" xr:uid="{00000000-0005-0000-0000-0000DE1B0000}"/>
    <cellStyle name="Normal 2 3 2 2 4 2 4_SSL" xfId="13420" xr:uid="{00000000-0005-0000-0000-0000DF1B0000}"/>
    <cellStyle name="Normal 2 3 2 2 4 2 5" xfId="3061" xr:uid="{00000000-0005-0000-0000-0000E01B0000}"/>
    <cellStyle name="Normal 2 3 2 2 4 2 5 2" xfId="9706" xr:uid="{00000000-0005-0000-0000-0000E11B0000}"/>
    <cellStyle name="Normal 2 3 2 2 4 2 5_SSL" xfId="15963" xr:uid="{00000000-0005-0000-0000-0000E21B0000}"/>
    <cellStyle name="Normal 2 3 2 2 4 2 6" xfId="3882" xr:uid="{00000000-0005-0000-0000-0000E31B0000}"/>
    <cellStyle name="Normal 2 3 2 2 4 2 6 2" xfId="10522" xr:uid="{00000000-0005-0000-0000-0000E41B0000}"/>
    <cellStyle name="Normal 2 3 2 2 4 2 6_SSL" xfId="13063" xr:uid="{00000000-0005-0000-0000-0000E51B0000}"/>
    <cellStyle name="Normal 2 3 2 2 4 2 7" xfId="4693" xr:uid="{00000000-0005-0000-0000-0000E61B0000}"/>
    <cellStyle name="Normal 2 3 2 2 4 2 7 2" xfId="11332" xr:uid="{00000000-0005-0000-0000-0000E71B0000}"/>
    <cellStyle name="Normal 2 3 2 2 4 2 7_SSL" xfId="13871" xr:uid="{00000000-0005-0000-0000-0000E81B0000}"/>
    <cellStyle name="Normal 2 3 2 2 4 2 8" xfId="5503" xr:uid="{00000000-0005-0000-0000-0000E91B0000}"/>
    <cellStyle name="Normal 2 3 2 2 4 2 8 2" xfId="12141" xr:uid="{00000000-0005-0000-0000-0000EA1B0000}"/>
    <cellStyle name="Normal 2 3 2 2 4 2 8_SSL" xfId="17857" xr:uid="{00000000-0005-0000-0000-0000EB1B0000}"/>
    <cellStyle name="Normal 2 3 2 2 4 2 9" xfId="7202" xr:uid="{00000000-0005-0000-0000-0000EC1B0000}"/>
    <cellStyle name="Normal 2 3 2 2 4 2_SSL" xfId="12754" xr:uid="{00000000-0005-0000-0000-0000ED1B0000}"/>
    <cellStyle name="Normal 2 3 2 2 4 3" xfId="554" xr:uid="{00000000-0005-0000-0000-0000EE1B0000}"/>
    <cellStyle name="Normal 2 3 2 2 4 3 2" xfId="1424" xr:uid="{00000000-0005-0000-0000-0000EF1B0000}"/>
    <cellStyle name="Normal 2 3 2 2 4 3 2 2" xfId="8079" xr:uid="{00000000-0005-0000-0000-0000F01B0000}"/>
    <cellStyle name="Normal 2 3 2 2 4 3 2_SSL" xfId="17479" xr:uid="{00000000-0005-0000-0000-0000F11B0000}"/>
    <cellStyle name="Normal 2 3 2 2 4 3 3" xfId="2244" xr:uid="{00000000-0005-0000-0000-0000F21B0000}"/>
    <cellStyle name="Normal 2 3 2 2 4 3 3 2" xfId="8892" xr:uid="{00000000-0005-0000-0000-0000F31B0000}"/>
    <cellStyle name="Normal 2 3 2 2 4 3 3_SSL" xfId="14492" xr:uid="{00000000-0005-0000-0000-0000F41B0000}"/>
    <cellStyle name="Normal 2 3 2 2 4 3 4" xfId="3063" xr:uid="{00000000-0005-0000-0000-0000F51B0000}"/>
    <cellStyle name="Normal 2 3 2 2 4 3 4 2" xfId="9708" xr:uid="{00000000-0005-0000-0000-0000F61B0000}"/>
    <cellStyle name="Normal 2 3 2 2 4 3 4_SSL" xfId="15383" xr:uid="{00000000-0005-0000-0000-0000F71B0000}"/>
    <cellStyle name="Normal 2 3 2 2 4 3 5" xfId="3884" xr:uid="{00000000-0005-0000-0000-0000F81B0000}"/>
    <cellStyle name="Normal 2 3 2 2 4 3 5 2" xfId="10524" xr:uid="{00000000-0005-0000-0000-0000F91B0000}"/>
    <cellStyle name="Normal 2 3 2 2 4 3 5_SSL" xfId="14333" xr:uid="{00000000-0005-0000-0000-0000FA1B0000}"/>
    <cellStyle name="Normal 2 3 2 2 4 3 6" xfId="4695" xr:uid="{00000000-0005-0000-0000-0000FB1B0000}"/>
    <cellStyle name="Normal 2 3 2 2 4 3 6 2" xfId="11334" xr:uid="{00000000-0005-0000-0000-0000FC1B0000}"/>
    <cellStyle name="Normal 2 3 2 2 4 3 6_SSL" xfId="13372" xr:uid="{00000000-0005-0000-0000-0000FD1B0000}"/>
    <cellStyle name="Normal 2 3 2 2 4 3 7" xfId="5505" xr:uid="{00000000-0005-0000-0000-0000FE1B0000}"/>
    <cellStyle name="Normal 2 3 2 2 4 3 7 2" xfId="12143" xr:uid="{00000000-0005-0000-0000-0000FF1B0000}"/>
    <cellStyle name="Normal 2 3 2 2 4 3 7_SSL" xfId="15066" xr:uid="{00000000-0005-0000-0000-0000001C0000}"/>
    <cellStyle name="Normal 2 3 2 2 4 3 8" xfId="7410" xr:uid="{00000000-0005-0000-0000-0000011C0000}"/>
    <cellStyle name="Normal 2 3 2 2 4 3 9" xfId="6422" xr:uid="{00000000-0005-0000-0000-0000021C0000}"/>
    <cellStyle name="Normal 2 3 2 2 4 3_SSL" xfId="14616" xr:uid="{00000000-0005-0000-0000-0000031C0000}"/>
    <cellStyle name="Normal 2 3 2 2 4 4" xfId="1421" xr:uid="{00000000-0005-0000-0000-0000041C0000}"/>
    <cellStyle name="Normal 2 3 2 2 4 4 2" xfId="8076" xr:uid="{00000000-0005-0000-0000-0000051C0000}"/>
    <cellStyle name="Normal 2 3 2 2 4 4_SSL" xfId="12909" xr:uid="{00000000-0005-0000-0000-0000061C0000}"/>
    <cellStyle name="Normal 2 3 2 2 4 5" xfId="2241" xr:uid="{00000000-0005-0000-0000-0000071C0000}"/>
    <cellStyle name="Normal 2 3 2 2 4 5 2" xfId="8889" xr:uid="{00000000-0005-0000-0000-0000081C0000}"/>
    <cellStyle name="Normal 2 3 2 2 4 5_SSL" xfId="14137" xr:uid="{00000000-0005-0000-0000-0000091C0000}"/>
    <cellStyle name="Normal 2 3 2 2 4 6" xfId="3060" xr:uid="{00000000-0005-0000-0000-00000A1C0000}"/>
    <cellStyle name="Normal 2 3 2 2 4 6 2" xfId="9705" xr:uid="{00000000-0005-0000-0000-00000B1C0000}"/>
    <cellStyle name="Normal 2 3 2 2 4 6_SSL" xfId="14482" xr:uid="{00000000-0005-0000-0000-00000C1C0000}"/>
    <cellStyle name="Normal 2 3 2 2 4 7" xfId="3881" xr:uid="{00000000-0005-0000-0000-00000D1C0000}"/>
    <cellStyle name="Normal 2 3 2 2 4 7 2" xfId="10521" xr:uid="{00000000-0005-0000-0000-00000E1C0000}"/>
    <cellStyle name="Normal 2 3 2 2 4 7_SSL" xfId="13812" xr:uid="{00000000-0005-0000-0000-00000F1C0000}"/>
    <cellStyle name="Normal 2 3 2 2 4 8" xfId="4692" xr:uid="{00000000-0005-0000-0000-0000101C0000}"/>
    <cellStyle name="Normal 2 3 2 2 4 8 2" xfId="11331" xr:uid="{00000000-0005-0000-0000-0000111C0000}"/>
    <cellStyle name="Normal 2 3 2 2 4 8_SSL" xfId="13672" xr:uid="{00000000-0005-0000-0000-0000121C0000}"/>
    <cellStyle name="Normal 2 3 2 2 4 9" xfId="5502" xr:uid="{00000000-0005-0000-0000-0000131C0000}"/>
    <cellStyle name="Normal 2 3 2 2 4 9 2" xfId="12140" xr:uid="{00000000-0005-0000-0000-0000141C0000}"/>
    <cellStyle name="Normal 2 3 2 2 4 9_SSL" xfId="17612" xr:uid="{00000000-0005-0000-0000-0000151C0000}"/>
    <cellStyle name="Normal 2 3 2 2 4_SSL" xfId="16443" xr:uid="{00000000-0005-0000-0000-0000161C0000}"/>
    <cellStyle name="Normal 2 3 2 2 5" xfId="174" xr:uid="{00000000-0005-0000-0000-0000171C0000}"/>
    <cellStyle name="Normal 2 3 2 2 5 10" xfId="7051" xr:uid="{00000000-0005-0000-0000-0000181C0000}"/>
    <cellStyle name="Normal 2 3 2 2 5 11" xfId="6423" xr:uid="{00000000-0005-0000-0000-0000191C0000}"/>
    <cellStyle name="Normal 2 3 2 2 5 2" xfId="343" xr:uid="{00000000-0005-0000-0000-00001A1C0000}"/>
    <cellStyle name="Normal 2 3 2 2 5 2 10" xfId="6424" xr:uid="{00000000-0005-0000-0000-00001B1C0000}"/>
    <cellStyle name="Normal 2 3 2 2 5 2 2" xfId="731" xr:uid="{00000000-0005-0000-0000-00001C1C0000}"/>
    <cellStyle name="Normal 2 3 2 2 5 2 2 2" xfId="1427" xr:uid="{00000000-0005-0000-0000-00001D1C0000}"/>
    <cellStyle name="Normal 2 3 2 2 5 2 2 2 2" xfId="8082" xr:uid="{00000000-0005-0000-0000-00001E1C0000}"/>
    <cellStyle name="Normal 2 3 2 2 5 2 2 2_SSL" xfId="16563" xr:uid="{00000000-0005-0000-0000-00001F1C0000}"/>
    <cellStyle name="Normal 2 3 2 2 5 2 2 3" xfId="2247" xr:uid="{00000000-0005-0000-0000-0000201C0000}"/>
    <cellStyle name="Normal 2 3 2 2 5 2 2 3 2" xfId="8895" xr:uid="{00000000-0005-0000-0000-0000211C0000}"/>
    <cellStyle name="Normal 2 3 2 2 5 2 2 3_SSL" xfId="13004" xr:uid="{00000000-0005-0000-0000-0000221C0000}"/>
    <cellStyle name="Normal 2 3 2 2 5 2 2 4" xfId="3066" xr:uid="{00000000-0005-0000-0000-0000231C0000}"/>
    <cellStyle name="Normal 2 3 2 2 5 2 2 4 2" xfId="9711" xr:uid="{00000000-0005-0000-0000-0000241C0000}"/>
    <cellStyle name="Normal 2 3 2 2 5 2 2 4_SSL" xfId="14187" xr:uid="{00000000-0005-0000-0000-0000251C0000}"/>
    <cellStyle name="Normal 2 3 2 2 5 2 2 5" xfId="3887" xr:uid="{00000000-0005-0000-0000-0000261C0000}"/>
    <cellStyle name="Normal 2 3 2 2 5 2 2 5 2" xfId="10527" xr:uid="{00000000-0005-0000-0000-0000271C0000}"/>
    <cellStyle name="Normal 2 3 2 2 5 2 2 5_SSL" xfId="15660" xr:uid="{00000000-0005-0000-0000-0000281C0000}"/>
    <cellStyle name="Normal 2 3 2 2 5 2 2 6" xfId="4698" xr:uid="{00000000-0005-0000-0000-0000291C0000}"/>
    <cellStyle name="Normal 2 3 2 2 5 2 2 6 2" xfId="11337" xr:uid="{00000000-0005-0000-0000-00002A1C0000}"/>
    <cellStyle name="Normal 2 3 2 2 5 2 2 6_SSL" xfId="12678" xr:uid="{00000000-0005-0000-0000-00002B1C0000}"/>
    <cellStyle name="Normal 2 3 2 2 5 2 2 7" xfId="5508" xr:uid="{00000000-0005-0000-0000-00002C1C0000}"/>
    <cellStyle name="Normal 2 3 2 2 5 2 2 7 2" xfId="12146" xr:uid="{00000000-0005-0000-0000-00002D1C0000}"/>
    <cellStyle name="Normal 2 3 2 2 5 2 2 7_SSL" xfId="16591" xr:uid="{00000000-0005-0000-0000-00002E1C0000}"/>
    <cellStyle name="Normal 2 3 2 2 5 2 2 8" xfId="7587" xr:uid="{00000000-0005-0000-0000-00002F1C0000}"/>
    <cellStyle name="Normal 2 3 2 2 5 2 2 9" xfId="6425" xr:uid="{00000000-0005-0000-0000-0000301C0000}"/>
    <cellStyle name="Normal 2 3 2 2 5 2 2_SSL" xfId="13969" xr:uid="{00000000-0005-0000-0000-0000311C0000}"/>
    <cellStyle name="Normal 2 3 2 2 5 2 3" xfId="1426" xr:uid="{00000000-0005-0000-0000-0000321C0000}"/>
    <cellStyle name="Normal 2 3 2 2 5 2 3 2" xfId="8081" xr:uid="{00000000-0005-0000-0000-0000331C0000}"/>
    <cellStyle name="Normal 2 3 2 2 5 2 3_SSL" xfId="16004" xr:uid="{00000000-0005-0000-0000-0000341C0000}"/>
    <cellStyle name="Normal 2 3 2 2 5 2 4" xfId="2246" xr:uid="{00000000-0005-0000-0000-0000351C0000}"/>
    <cellStyle name="Normal 2 3 2 2 5 2 4 2" xfId="8894" xr:uid="{00000000-0005-0000-0000-0000361C0000}"/>
    <cellStyle name="Normal 2 3 2 2 5 2 4_SSL" xfId="13106" xr:uid="{00000000-0005-0000-0000-0000371C0000}"/>
    <cellStyle name="Normal 2 3 2 2 5 2 5" xfId="3065" xr:uid="{00000000-0005-0000-0000-0000381C0000}"/>
    <cellStyle name="Normal 2 3 2 2 5 2 5 2" xfId="9710" xr:uid="{00000000-0005-0000-0000-0000391C0000}"/>
    <cellStyle name="Normal 2 3 2 2 5 2 5_SSL" xfId="17059" xr:uid="{00000000-0005-0000-0000-00003A1C0000}"/>
    <cellStyle name="Normal 2 3 2 2 5 2 6" xfId="3886" xr:uid="{00000000-0005-0000-0000-00003B1C0000}"/>
    <cellStyle name="Normal 2 3 2 2 5 2 6 2" xfId="10526" xr:uid="{00000000-0005-0000-0000-00003C1C0000}"/>
    <cellStyle name="Normal 2 3 2 2 5 2 6_SSL" xfId="13241" xr:uid="{00000000-0005-0000-0000-00003D1C0000}"/>
    <cellStyle name="Normal 2 3 2 2 5 2 7" xfId="4697" xr:uid="{00000000-0005-0000-0000-00003E1C0000}"/>
    <cellStyle name="Normal 2 3 2 2 5 2 7 2" xfId="11336" xr:uid="{00000000-0005-0000-0000-00003F1C0000}"/>
    <cellStyle name="Normal 2 3 2 2 5 2 7_SSL" xfId="13128" xr:uid="{00000000-0005-0000-0000-0000401C0000}"/>
    <cellStyle name="Normal 2 3 2 2 5 2 8" xfId="5507" xr:uid="{00000000-0005-0000-0000-0000411C0000}"/>
    <cellStyle name="Normal 2 3 2 2 5 2 8 2" xfId="12145" xr:uid="{00000000-0005-0000-0000-0000421C0000}"/>
    <cellStyle name="Normal 2 3 2 2 5 2 8_SSL" xfId="16328" xr:uid="{00000000-0005-0000-0000-0000431C0000}"/>
    <cellStyle name="Normal 2 3 2 2 5 2 9" xfId="7203" xr:uid="{00000000-0005-0000-0000-0000441C0000}"/>
    <cellStyle name="Normal 2 3 2 2 5 2_SSL" xfId="14186" xr:uid="{00000000-0005-0000-0000-0000451C0000}"/>
    <cellStyle name="Normal 2 3 2 2 5 3" xfId="579" xr:uid="{00000000-0005-0000-0000-0000461C0000}"/>
    <cellStyle name="Normal 2 3 2 2 5 3 2" xfId="1428" xr:uid="{00000000-0005-0000-0000-0000471C0000}"/>
    <cellStyle name="Normal 2 3 2 2 5 3 2 2" xfId="8083" xr:uid="{00000000-0005-0000-0000-0000481C0000}"/>
    <cellStyle name="Normal 2 3 2 2 5 3 2_SSL" xfId="14067" xr:uid="{00000000-0005-0000-0000-0000491C0000}"/>
    <cellStyle name="Normal 2 3 2 2 5 3 3" xfId="2248" xr:uid="{00000000-0005-0000-0000-00004A1C0000}"/>
    <cellStyle name="Normal 2 3 2 2 5 3 3 2" xfId="8896" xr:uid="{00000000-0005-0000-0000-00004B1C0000}"/>
    <cellStyle name="Normal 2 3 2 2 5 3 3_SSL" xfId="13901" xr:uid="{00000000-0005-0000-0000-00004C1C0000}"/>
    <cellStyle name="Normal 2 3 2 2 5 3 4" xfId="3067" xr:uid="{00000000-0005-0000-0000-00004D1C0000}"/>
    <cellStyle name="Normal 2 3 2 2 5 3 4 2" xfId="9712" xr:uid="{00000000-0005-0000-0000-00004E1C0000}"/>
    <cellStyle name="Normal 2 3 2 2 5 3 4_SSL" xfId="14819" xr:uid="{00000000-0005-0000-0000-00004F1C0000}"/>
    <cellStyle name="Normal 2 3 2 2 5 3 5" xfId="3888" xr:uid="{00000000-0005-0000-0000-0000501C0000}"/>
    <cellStyle name="Normal 2 3 2 2 5 3 5 2" xfId="10528" xr:uid="{00000000-0005-0000-0000-0000511C0000}"/>
    <cellStyle name="Normal 2 3 2 2 5 3 5_SSL" xfId="14894" xr:uid="{00000000-0005-0000-0000-0000521C0000}"/>
    <cellStyle name="Normal 2 3 2 2 5 3 6" xfId="4699" xr:uid="{00000000-0005-0000-0000-0000531C0000}"/>
    <cellStyle name="Normal 2 3 2 2 5 3 6 2" xfId="11338" xr:uid="{00000000-0005-0000-0000-0000541C0000}"/>
    <cellStyle name="Normal 2 3 2 2 5 3 6_SSL" xfId="17270" xr:uid="{00000000-0005-0000-0000-0000551C0000}"/>
    <cellStyle name="Normal 2 3 2 2 5 3 7" xfId="5509" xr:uid="{00000000-0005-0000-0000-0000561C0000}"/>
    <cellStyle name="Normal 2 3 2 2 5 3 7 2" xfId="12147" xr:uid="{00000000-0005-0000-0000-0000571C0000}"/>
    <cellStyle name="Normal 2 3 2 2 5 3 7_SSL" xfId="13096" xr:uid="{00000000-0005-0000-0000-0000581C0000}"/>
    <cellStyle name="Normal 2 3 2 2 5 3 8" xfId="7435" xr:uid="{00000000-0005-0000-0000-0000591C0000}"/>
    <cellStyle name="Normal 2 3 2 2 5 3 9" xfId="6426" xr:uid="{00000000-0005-0000-0000-00005A1C0000}"/>
    <cellStyle name="Normal 2 3 2 2 5 3_SSL" xfId="15245" xr:uid="{00000000-0005-0000-0000-00005B1C0000}"/>
    <cellStyle name="Normal 2 3 2 2 5 4" xfId="1425" xr:uid="{00000000-0005-0000-0000-00005C1C0000}"/>
    <cellStyle name="Normal 2 3 2 2 5 4 2" xfId="8080" xr:uid="{00000000-0005-0000-0000-00005D1C0000}"/>
    <cellStyle name="Normal 2 3 2 2 5 4_SSL" xfId="13013" xr:uid="{00000000-0005-0000-0000-00005E1C0000}"/>
    <cellStyle name="Normal 2 3 2 2 5 5" xfId="2245" xr:uid="{00000000-0005-0000-0000-00005F1C0000}"/>
    <cellStyle name="Normal 2 3 2 2 5 5 2" xfId="8893" xr:uid="{00000000-0005-0000-0000-0000601C0000}"/>
    <cellStyle name="Normal 2 3 2 2 5 5_SSL" xfId="14263" xr:uid="{00000000-0005-0000-0000-0000611C0000}"/>
    <cellStyle name="Normal 2 3 2 2 5 6" xfId="3064" xr:uid="{00000000-0005-0000-0000-0000621C0000}"/>
    <cellStyle name="Normal 2 3 2 2 5 6 2" xfId="9709" xr:uid="{00000000-0005-0000-0000-0000631C0000}"/>
    <cellStyle name="Normal 2 3 2 2 5 6_SSL" xfId="15185" xr:uid="{00000000-0005-0000-0000-0000641C0000}"/>
    <cellStyle name="Normal 2 3 2 2 5 7" xfId="3885" xr:uid="{00000000-0005-0000-0000-0000651C0000}"/>
    <cellStyle name="Normal 2 3 2 2 5 7 2" xfId="10525" xr:uid="{00000000-0005-0000-0000-0000661C0000}"/>
    <cellStyle name="Normal 2 3 2 2 5 7_SSL" xfId="13557" xr:uid="{00000000-0005-0000-0000-0000671C0000}"/>
    <cellStyle name="Normal 2 3 2 2 5 8" xfId="4696" xr:uid="{00000000-0005-0000-0000-0000681C0000}"/>
    <cellStyle name="Normal 2 3 2 2 5 8 2" xfId="11335" xr:uid="{00000000-0005-0000-0000-0000691C0000}"/>
    <cellStyle name="Normal 2 3 2 2 5 8_SSL" xfId="14141" xr:uid="{00000000-0005-0000-0000-00006A1C0000}"/>
    <cellStyle name="Normal 2 3 2 2 5 9" xfId="5506" xr:uid="{00000000-0005-0000-0000-00006B1C0000}"/>
    <cellStyle name="Normal 2 3 2 2 5 9 2" xfId="12144" xr:uid="{00000000-0005-0000-0000-00006C1C0000}"/>
    <cellStyle name="Normal 2 3 2 2 5 9_SSL" xfId="13333" xr:uid="{00000000-0005-0000-0000-00006D1C0000}"/>
    <cellStyle name="Normal 2 3 2 2 5_SSL" xfId="17167" xr:uid="{00000000-0005-0000-0000-00006E1C0000}"/>
    <cellStyle name="Normal 2 3 2 2 6" xfId="245" xr:uid="{00000000-0005-0000-0000-00006F1C0000}"/>
    <cellStyle name="Normal 2 3 2 2 6 10" xfId="7122" xr:uid="{00000000-0005-0000-0000-0000701C0000}"/>
    <cellStyle name="Normal 2 3 2 2 6 11" xfId="6427" xr:uid="{00000000-0005-0000-0000-0000711C0000}"/>
    <cellStyle name="Normal 2 3 2 2 6 2" xfId="344" xr:uid="{00000000-0005-0000-0000-0000721C0000}"/>
    <cellStyle name="Normal 2 3 2 2 6 2 10" xfId="6428" xr:uid="{00000000-0005-0000-0000-0000731C0000}"/>
    <cellStyle name="Normal 2 3 2 2 6 2 2" xfId="732" xr:uid="{00000000-0005-0000-0000-0000741C0000}"/>
    <cellStyle name="Normal 2 3 2 2 6 2 2 2" xfId="1431" xr:uid="{00000000-0005-0000-0000-0000751C0000}"/>
    <cellStyle name="Normal 2 3 2 2 6 2 2 2 2" xfId="8086" xr:uid="{00000000-0005-0000-0000-0000761C0000}"/>
    <cellStyle name="Normal 2 3 2 2 6 2 2 2_SSL" xfId="15233" xr:uid="{00000000-0005-0000-0000-0000771C0000}"/>
    <cellStyle name="Normal 2 3 2 2 6 2 2 3" xfId="2251" xr:uid="{00000000-0005-0000-0000-0000781C0000}"/>
    <cellStyle name="Normal 2 3 2 2 6 2 2 3 2" xfId="8899" xr:uid="{00000000-0005-0000-0000-0000791C0000}"/>
    <cellStyle name="Normal 2 3 2 2 6 2 2 3_SSL" xfId="15846" xr:uid="{00000000-0005-0000-0000-00007A1C0000}"/>
    <cellStyle name="Normal 2 3 2 2 6 2 2 4" xfId="3070" xr:uid="{00000000-0005-0000-0000-00007B1C0000}"/>
    <cellStyle name="Normal 2 3 2 2 6 2 2 4 2" xfId="9715" xr:uid="{00000000-0005-0000-0000-00007C1C0000}"/>
    <cellStyle name="Normal 2 3 2 2 6 2 2 4_SSL" xfId="18004" xr:uid="{00000000-0005-0000-0000-00007D1C0000}"/>
    <cellStyle name="Normal 2 3 2 2 6 2 2 5" xfId="3891" xr:uid="{00000000-0005-0000-0000-00007E1C0000}"/>
    <cellStyle name="Normal 2 3 2 2 6 2 2 5 2" xfId="10531" xr:uid="{00000000-0005-0000-0000-00007F1C0000}"/>
    <cellStyle name="Normal 2 3 2 2 6 2 2 5_SSL" xfId="14675" xr:uid="{00000000-0005-0000-0000-0000801C0000}"/>
    <cellStyle name="Normal 2 3 2 2 6 2 2 6" xfId="4702" xr:uid="{00000000-0005-0000-0000-0000811C0000}"/>
    <cellStyle name="Normal 2 3 2 2 6 2 2 6 2" xfId="11341" xr:uid="{00000000-0005-0000-0000-0000821C0000}"/>
    <cellStyle name="Normal 2 3 2 2 6 2 2 6_SSL" xfId="15319" xr:uid="{00000000-0005-0000-0000-0000831C0000}"/>
    <cellStyle name="Normal 2 3 2 2 6 2 2 7" xfId="5512" xr:uid="{00000000-0005-0000-0000-0000841C0000}"/>
    <cellStyle name="Normal 2 3 2 2 6 2 2 7 2" xfId="12150" xr:uid="{00000000-0005-0000-0000-0000851C0000}"/>
    <cellStyle name="Normal 2 3 2 2 6 2 2 7_SSL" xfId="14568" xr:uid="{00000000-0005-0000-0000-0000861C0000}"/>
    <cellStyle name="Normal 2 3 2 2 6 2 2 8" xfId="7588" xr:uid="{00000000-0005-0000-0000-0000871C0000}"/>
    <cellStyle name="Normal 2 3 2 2 6 2 2 9" xfId="6429" xr:uid="{00000000-0005-0000-0000-0000881C0000}"/>
    <cellStyle name="Normal 2 3 2 2 6 2 2_SSL" xfId="16630" xr:uid="{00000000-0005-0000-0000-0000891C0000}"/>
    <cellStyle name="Normal 2 3 2 2 6 2 3" xfId="1430" xr:uid="{00000000-0005-0000-0000-00008A1C0000}"/>
    <cellStyle name="Normal 2 3 2 2 6 2 3 2" xfId="8085" xr:uid="{00000000-0005-0000-0000-00008B1C0000}"/>
    <cellStyle name="Normal 2 3 2 2 6 2 3_SSL" xfId="14845" xr:uid="{00000000-0005-0000-0000-00008C1C0000}"/>
    <cellStyle name="Normal 2 3 2 2 6 2 4" xfId="2250" xr:uid="{00000000-0005-0000-0000-00008D1C0000}"/>
    <cellStyle name="Normal 2 3 2 2 6 2 4 2" xfId="8898" xr:uid="{00000000-0005-0000-0000-00008E1C0000}"/>
    <cellStyle name="Normal 2 3 2 2 6 2 4_SSL" xfId="13752" xr:uid="{00000000-0005-0000-0000-00008F1C0000}"/>
    <cellStyle name="Normal 2 3 2 2 6 2 5" xfId="3069" xr:uid="{00000000-0005-0000-0000-0000901C0000}"/>
    <cellStyle name="Normal 2 3 2 2 6 2 5 2" xfId="9714" xr:uid="{00000000-0005-0000-0000-0000911C0000}"/>
    <cellStyle name="Normal 2 3 2 2 6 2 5_SSL" xfId="7751" xr:uid="{00000000-0005-0000-0000-0000921C0000}"/>
    <cellStyle name="Normal 2 3 2 2 6 2 6" xfId="3890" xr:uid="{00000000-0005-0000-0000-0000931C0000}"/>
    <cellStyle name="Normal 2 3 2 2 6 2 6 2" xfId="10530" xr:uid="{00000000-0005-0000-0000-0000941C0000}"/>
    <cellStyle name="Normal 2 3 2 2 6 2 6_SSL" xfId="15234" xr:uid="{00000000-0005-0000-0000-0000951C0000}"/>
    <cellStyle name="Normal 2 3 2 2 6 2 7" xfId="4701" xr:uid="{00000000-0005-0000-0000-0000961C0000}"/>
    <cellStyle name="Normal 2 3 2 2 6 2 7 2" xfId="11340" xr:uid="{00000000-0005-0000-0000-0000971C0000}"/>
    <cellStyle name="Normal 2 3 2 2 6 2 7_SSL" xfId="15118" xr:uid="{00000000-0005-0000-0000-0000981C0000}"/>
    <cellStyle name="Normal 2 3 2 2 6 2 8" xfId="5511" xr:uid="{00000000-0005-0000-0000-0000991C0000}"/>
    <cellStyle name="Normal 2 3 2 2 6 2 8 2" xfId="12149" xr:uid="{00000000-0005-0000-0000-00009A1C0000}"/>
    <cellStyle name="Normal 2 3 2 2 6 2 8_SSL" xfId="13005" xr:uid="{00000000-0005-0000-0000-00009B1C0000}"/>
    <cellStyle name="Normal 2 3 2 2 6 2 9" xfId="7204" xr:uid="{00000000-0005-0000-0000-00009C1C0000}"/>
    <cellStyle name="Normal 2 3 2 2 6 2_SSL" xfId="14123" xr:uid="{00000000-0005-0000-0000-00009D1C0000}"/>
    <cellStyle name="Normal 2 3 2 2 6 3" xfId="650" xr:uid="{00000000-0005-0000-0000-00009E1C0000}"/>
    <cellStyle name="Normal 2 3 2 2 6 3 2" xfId="1432" xr:uid="{00000000-0005-0000-0000-00009F1C0000}"/>
    <cellStyle name="Normal 2 3 2 2 6 3 2 2" xfId="8087" xr:uid="{00000000-0005-0000-0000-0000A01C0000}"/>
    <cellStyle name="Normal 2 3 2 2 6 3 2_SSL" xfId="13599" xr:uid="{00000000-0005-0000-0000-0000A11C0000}"/>
    <cellStyle name="Normal 2 3 2 2 6 3 3" xfId="2252" xr:uid="{00000000-0005-0000-0000-0000A21C0000}"/>
    <cellStyle name="Normal 2 3 2 2 6 3 3 2" xfId="8900" xr:uid="{00000000-0005-0000-0000-0000A31C0000}"/>
    <cellStyle name="Normal 2 3 2 2 6 3 3_SSL" xfId="13585" xr:uid="{00000000-0005-0000-0000-0000A41C0000}"/>
    <cellStyle name="Normal 2 3 2 2 6 3 4" xfId="3071" xr:uid="{00000000-0005-0000-0000-0000A51C0000}"/>
    <cellStyle name="Normal 2 3 2 2 6 3 4 2" xfId="9716" xr:uid="{00000000-0005-0000-0000-0000A61C0000}"/>
    <cellStyle name="Normal 2 3 2 2 6 3 4_SSL" xfId="17238" xr:uid="{00000000-0005-0000-0000-0000A71C0000}"/>
    <cellStyle name="Normal 2 3 2 2 6 3 5" xfId="3892" xr:uid="{00000000-0005-0000-0000-0000A81C0000}"/>
    <cellStyle name="Normal 2 3 2 2 6 3 5 2" xfId="10532" xr:uid="{00000000-0005-0000-0000-0000A91C0000}"/>
    <cellStyle name="Normal 2 3 2 2 6 3 5_SSL" xfId="14397" xr:uid="{00000000-0005-0000-0000-0000AA1C0000}"/>
    <cellStyle name="Normal 2 3 2 2 6 3 6" xfId="4703" xr:uid="{00000000-0005-0000-0000-0000AB1C0000}"/>
    <cellStyle name="Normal 2 3 2 2 6 3 6 2" xfId="11342" xr:uid="{00000000-0005-0000-0000-0000AC1C0000}"/>
    <cellStyle name="Normal 2 3 2 2 6 3 6_SSL" xfId="17428" xr:uid="{00000000-0005-0000-0000-0000AD1C0000}"/>
    <cellStyle name="Normal 2 3 2 2 6 3 7" xfId="5513" xr:uid="{00000000-0005-0000-0000-0000AE1C0000}"/>
    <cellStyle name="Normal 2 3 2 2 6 3 7 2" xfId="12151" xr:uid="{00000000-0005-0000-0000-0000AF1C0000}"/>
    <cellStyle name="Normal 2 3 2 2 6 3 7_SSL" xfId="15570" xr:uid="{00000000-0005-0000-0000-0000B01C0000}"/>
    <cellStyle name="Normal 2 3 2 2 6 3 8" xfId="7506" xr:uid="{00000000-0005-0000-0000-0000B11C0000}"/>
    <cellStyle name="Normal 2 3 2 2 6 3 9" xfId="6430" xr:uid="{00000000-0005-0000-0000-0000B21C0000}"/>
    <cellStyle name="Normal 2 3 2 2 6 3_SSL" xfId="17624" xr:uid="{00000000-0005-0000-0000-0000B31C0000}"/>
    <cellStyle name="Normal 2 3 2 2 6 4" xfId="1429" xr:uid="{00000000-0005-0000-0000-0000B41C0000}"/>
    <cellStyle name="Normal 2 3 2 2 6 4 2" xfId="8084" xr:uid="{00000000-0005-0000-0000-0000B51C0000}"/>
    <cellStyle name="Normal 2 3 2 2 6 4_SSL" xfId="15356" xr:uid="{00000000-0005-0000-0000-0000B61C0000}"/>
    <cellStyle name="Normal 2 3 2 2 6 5" xfId="2249" xr:uid="{00000000-0005-0000-0000-0000B71C0000}"/>
    <cellStyle name="Normal 2 3 2 2 6 5 2" xfId="8897" xr:uid="{00000000-0005-0000-0000-0000B81C0000}"/>
    <cellStyle name="Normal 2 3 2 2 6 5_SSL" xfId="15172" xr:uid="{00000000-0005-0000-0000-0000B91C0000}"/>
    <cellStyle name="Normal 2 3 2 2 6 6" xfId="3068" xr:uid="{00000000-0005-0000-0000-0000BA1C0000}"/>
    <cellStyle name="Normal 2 3 2 2 6 6 2" xfId="9713" xr:uid="{00000000-0005-0000-0000-0000BB1C0000}"/>
    <cellStyle name="Normal 2 3 2 2 6 6_SSL" xfId="16011" xr:uid="{00000000-0005-0000-0000-0000BC1C0000}"/>
    <cellStyle name="Normal 2 3 2 2 6 7" xfId="3889" xr:uid="{00000000-0005-0000-0000-0000BD1C0000}"/>
    <cellStyle name="Normal 2 3 2 2 6 7 2" xfId="10529" xr:uid="{00000000-0005-0000-0000-0000BE1C0000}"/>
    <cellStyle name="Normal 2 3 2 2 6 7_SSL" xfId="17719" xr:uid="{00000000-0005-0000-0000-0000BF1C0000}"/>
    <cellStyle name="Normal 2 3 2 2 6 8" xfId="4700" xr:uid="{00000000-0005-0000-0000-0000C01C0000}"/>
    <cellStyle name="Normal 2 3 2 2 6 8 2" xfId="11339" xr:uid="{00000000-0005-0000-0000-0000C11C0000}"/>
    <cellStyle name="Normal 2 3 2 2 6 8_SSL" xfId="15420" xr:uid="{00000000-0005-0000-0000-0000C21C0000}"/>
    <cellStyle name="Normal 2 3 2 2 6 9" xfId="5510" xr:uid="{00000000-0005-0000-0000-0000C31C0000}"/>
    <cellStyle name="Normal 2 3 2 2 6 9 2" xfId="12148" xr:uid="{00000000-0005-0000-0000-0000C41C0000}"/>
    <cellStyle name="Normal 2 3 2 2 6 9_SSL" xfId="14966" xr:uid="{00000000-0005-0000-0000-0000C51C0000}"/>
    <cellStyle name="Normal 2 3 2 2 6_SSL" xfId="12996" xr:uid="{00000000-0005-0000-0000-0000C61C0000}"/>
    <cellStyle name="Normal 2 3 2 2 7" xfId="337" xr:uid="{00000000-0005-0000-0000-0000C71C0000}"/>
    <cellStyle name="Normal 2 3 2 2 7 10" xfId="6431" xr:uid="{00000000-0005-0000-0000-0000C81C0000}"/>
    <cellStyle name="Normal 2 3 2 2 7 2" xfId="725" xr:uid="{00000000-0005-0000-0000-0000C91C0000}"/>
    <cellStyle name="Normal 2 3 2 2 7 2 2" xfId="1434" xr:uid="{00000000-0005-0000-0000-0000CA1C0000}"/>
    <cellStyle name="Normal 2 3 2 2 7 2 2 2" xfId="8089" xr:uid="{00000000-0005-0000-0000-0000CB1C0000}"/>
    <cellStyle name="Normal 2 3 2 2 7 2 2_SSL" xfId="14152" xr:uid="{00000000-0005-0000-0000-0000CC1C0000}"/>
    <cellStyle name="Normal 2 3 2 2 7 2 3" xfId="2254" xr:uid="{00000000-0005-0000-0000-0000CD1C0000}"/>
    <cellStyle name="Normal 2 3 2 2 7 2 3 2" xfId="8902" xr:uid="{00000000-0005-0000-0000-0000CE1C0000}"/>
    <cellStyle name="Normal 2 3 2 2 7 2 3_SSL" xfId="14766" xr:uid="{00000000-0005-0000-0000-0000CF1C0000}"/>
    <cellStyle name="Normal 2 3 2 2 7 2 4" xfId="3073" xr:uid="{00000000-0005-0000-0000-0000D01C0000}"/>
    <cellStyle name="Normal 2 3 2 2 7 2 4 2" xfId="9718" xr:uid="{00000000-0005-0000-0000-0000D11C0000}"/>
    <cellStyle name="Normal 2 3 2 2 7 2 4_SSL" xfId="15306" xr:uid="{00000000-0005-0000-0000-0000D21C0000}"/>
    <cellStyle name="Normal 2 3 2 2 7 2 5" xfId="3894" xr:uid="{00000000-0005-0000-0000-0000D31C0000}"/>
    <cellStyle name="Normal 2 3 2 2 7 2 5 2" xfId="10534" xr:uid="{00000000-0005-0000-0000-0000D41C0000}"/>
    <cellStyle name="Normal 2 3 2 2 7 2 5_SSL" xfId="12934" xr:uid="{00000000-0005-0000-0000-0000D51C0000}"/>
    <cellStyle name="Normal 2 3 2 2 7 2 6" xfId="4705" xr:uid="{00000000-0005-0000-0000-0000D61C0000}"/>
    <cellStyle name="Normal 2 3 2 2 7 2 6 2" xfId="11344" xr:uid="{00000000-0005-0000-0000-0000D71C0000}"/>
    <cellStyle name="Normal 2 3 2 2 7 2 6_SSL" xfId="17583" xr:uid="{00000000-0005-0000-0000-0000D81C0000}"/>
    <cellStyle name="Normal 2 3 2 2 7 2 7" xfId="5515" xr:uid="{00000000-0005-0000-0000-0000D91C0000}"/>
    <cellStyle name="Normal 2 3 2 2 7 2 7 2" xfId="12153" xr:uid="{00000000-0005-0000-0000-0000DA1C0000}"/>
    <cellStyle name="Normal 2 3 2 2 7 2 7_SSL" xfId="12669" xr:uid="{00000000-0005-0000-0000-0000DB1C0000}"/>
    <cellStyle name="Normal 2 3 2 2 7 2 8" xfId="7581" xr:uid="{00000000-0005-0000-0000-0000DC1C0000}"/>
    <cellStyle name="Normal 2 3 2 2 7 2 9" xfId="6432" xr:uid="{00000000-0005-0000-0000-0000DD1C0000}"/>
    <cellStyle name="Normal 2 3 2 2 7 2_SSL" xfId="17132" xr:uid="{00000000-0005-0000-0000-0000DE1C0000}"/>
    <cellStyle name="Normal 2 3 2 2 7 3" xfId="1433" xr:uid="{00000000-0005-0000-0000-0000DF1C0000}"/>
    <cellStyle name="Normal 2 3 2 2 7 3 2" xfId="8088" xr:uid="{00000000-0005-0000-0000-0000E01C0000}"/>
    <cellStyle name="Normal 2 3 2 2 7 3_SSL" xfId="16452" xr:uid="{00000000-0005-0000-0000-0000E11C0000}"/>
    <cellStyle name="Normal 2 3 2 2 7 4" xfId="2253" xr:uid="{00000000-0005-0000-0000-0000E21C0000}"/>
    <cellStyle name="Normal 2 3 2 2 7 4 2" xfId="8901" xr:uid="{00000000-0005-0000-0000-0000E31C0000}"/>
    <cellStyle name="Normal 2 3 2 2 7 4_SSL" xfId="16486" xr:uid="{00000000-0005-0000-0000-0000E41C0000}"/>
    <cellStyle name="Normal 2 3 2 2 7 5" xfId="3072" xr:uid="{00000000-0005-0000-0000-0000E51C0000}"/>
    <cellStyle name="Normal 2 3 2 2 7 5 2" xfId="9717" xr:uid="{00000000-0005-0000-0000-0000E61C0000}"/>
    <cellStyle name="Normal 2 3 2 2 7 5_SSL" xfId="15453" xr:uid="{00000000-0005-0000-0000-0000E71C0000}"/>
    <cellStyle name="Normal 2 3 2 2 7 6" xfId="3893" xr:uid="{00000000-0005-0000-0000-0000E81C0000}"/>
    <cellStyle name="Normal 2 3 2 2 7 6 2" xfId="10533" xr:uid="{00000000-0005-0000-0000-0000E91C0000}"/>
    <cellStyle name="Normal 2 3 2 2 7 6_SSL" xfId="15905" xr:uid="{00000000-0005-0000-0000-0000EA1C0000}"/>
    <cellStyle name="Normal 2 3 2 2 7 7" xfId="4704" xr:uid="{00000000-0005-0000-0000-0000EB1C0000}"/>
    <cellStyle name="Normal 2 3 2 2 7 7 2" xfId="11343" xr:uid="{00000000-0005-0000-0000-0000EC1C0000}"/>
    <cellStyle name="Normal 2 3 2 2 7 7_SSL" xfId="14976" xr:uid="{00000000-0005-0000-0000-0000ED1C0000}"/>
    <cellStyle name="Normal 2 3 2 2 7 8" xfId="5514" xr:uid="{00000000-0005-0000-0000-0000EE1C0000}"/>
    <cellStyle name="Normal 2 3 2 2 7 8 2" xfId="12152" xr:uid="{00000000-0005-0000-0000-0000EF1C0000}"/>
    <cellStyle name="Normal 2 3 2 2 7 8_SSL" xfId="17732" xr:uid="{00000000-0005-0000-0000-0000F01C0000}"/>
    <cellStyle name="Normal 2 3 2 2 7 9" xfId="7197" xr:uid="{00000000-0005-0000-0000-0000F11C0000}"/>
    <cellStyle name="Normal 2 3 2 2 7_SSL" xfId="13550" xr:uid="{00000000-0005-0000-0000-0000F21C0000}"/>
    <cellStyle name="Normal 2 3 2 2 8" xfId="483" xr:uid="{00000000-0005-0000-0000-0000F31C0000}"/>
    <cellStyle name="Normal 2 3 2 2 8 2" xfId="1435" xr:uid="{00000000-0005-0000-0000-0000F41C0000}"/>
    <cellStyle name="Normal 2 3 2 2 8 2 2" xfId="8090" xr:uid="{00000000-0005-0000-0000-0000F51C0000}"/>
    <cellStyle name="Normal 2 3 2 2 8 2_SSL" xfId="17066" xr:uid="{00000000-0005-0000-0000-0000F61C0000}"/>
    <cellStyle name="Normal 2 3 2 2 8 3" xfId="2255" xr:uid="{00000000-0005-0000-0000-0000F71C0000}"/>
    <cellStyle name="Normal 2 3 2 2 8 3 2" xfId="8903" xr:uid="{00000000-0005-0000-0000-0000F81C0000}"/>
    <cellStyle name="Normal 2 3 2 2 8 3_SSL" xfId="13378" xr:uid="{00000000-0005-0000-0000-0000F91C0000}"/>
    <cellStyle name="Normal 2 3 2 2 8 4" xfId="3074" xr:uid="{00000000-0005-0000-0000-0000FA1C0000}"/>
    <cellStyle name="Normal 2 3 2 2 8 4 2" xfId="9719" xr:uid="{00000000-0005-0000-0000-0000FB1C0000}"/>
    <cellStyle name="Normal 2 3 2 2 8 4_SSL" xfId="15225" xr:uid="{00000000-0005-0000-0000-0000FC1C0000}"/>
    <cellStyle name="Normal 2 3 2 2 8 5" xfId="3895" xr:uid="{00000000-0005-0000-0000-0000FD1C0000}"/>
    <cellStyle name="Normal 2 3 2 2 8 5 2" xfId="10535" xr:uid="{00000000-0005-0000-0000-0000FE1C0000}"/>
    <cellStyle name="Normal 2 3 2 2 8 5_SSL" xfId="12974" xr:uid="{00000000-0005-0000-0000-0000FF1C0000}"/>
    <cellStyle name="Normal 2 3 2 2 8 6" xfId="4706" xr:uid="{00000000-0005-0000-0000-0000001D0000}"/>
    <cellStyle name="Normal 2 3 2 2 8 6 2" xfId="11345" xr:uid="{00000000-0005-0000-0000-0000011D0000}"/>
    <cellStyle name="Normal 2 3 2 2 8 6_SSL" xfId="12961" xr:uid="{00000000-0005-0000-0000-0000021D0000}"/>
    <cellStyle name="Normal 2 3 2 2 8 7" xfId="5516" xr:uid="{00000000-0005-0000-0000-0000031D0000}"/>
    <cellStyle name="Normal 2 3 2 2 8 7 2" xfId="12154" xr:uid="{00000000-0005-0000-0000-0000041D0000}"/>
    <cellStyle name="Normal 2 3 2 2 8 7_SSL" xfId="15307" xr:uid="{00000000-0005-0000-0000-0000051D0000}"/>
    <cellStyle name="Normal 2 3 2 2 8 8" xfId="7339" xr:uid="{00000000-0005-0000-0000-0000061D0000}"/>
    <cellStyle name="Normal 2 3 2 2 8 9" xfId="6433" xr:uid="{00000000-0005-0000-0000-0000071D0000}"/>
    <cellStyle name="Normal 2 3 2 2 8_SSL" xfId="16650" xr:uid="{00000000-0005-0000-0000-0000081D0000}"/>
    <cellStyle name="Normal 2 3 2 2 9" xfId="1404" xr:uid="{00000000-0005-0000-0000-0000091D0000}"/>
    <cellStyle name="Normal 2 3 2 2 9 2" xfId="8059" xr:uid="{00000000-0005-0000-0000-00000A1D0000}"/>
    <cellStyle name="Normal 2 3 2 2 9_SSL" xfId="17781" xr:uid="{00000000-0005-0000-0000-00000B1D0000}"/>
    <cellStyle name="Normal 2 3 2 2_SSL" xfId="16455" xr:uid="{00000000-0005-0000-0000-00000C1D0000}"/>
    <cellStyle name="Normal 2 3 2 3" xfId="85" xr:uid="{00000000-0005-0000-0000-00000D1D0000}"/>
    <cellStyle name="Normal 2 3 2 3 10" xfId="5517" xr:uid="{00000000-0005-0000-0000-00000E1D0000}"/>
    <cellStyle name="Normal 2 3 2 3 10 2" xfId="12155" xr:uid="{00000000-0005-0000-0000-00000F1D0000}"/>
    <cellStyle name="Normal 2 3 2 3 10_SSL" xfId="16313" xr:uid="{00000000-0005-0000-0000-0000101D0000}"/>
    <cellStyle name="Normal 2 3 2 3 11" xfId="6966" xr:uid="{00000000-0005-0000-0000-0000111D0000}"/>
    <cellStyle name="Normal 2 3 2 3 12" xfId="6434" xr:uid="{00000000-0005-0000-0000-0000121D0000}"/>
    <cellStyle name="Normal 2 3 2 3 2" xfId="185" xr:uid="{00000000-0005-0000-0000-0000131D0000}"/>
    <cellStyle name="Normal 2 3 2 3 2 10" xfId="7062" xr:uid="{00000000-0005-0000-0000-0000141D0000}"/>
    <cellStyle name="Normal 2 3 2 3 2 11" xfId="6435" xr:uid="{00000000-0005-0000-0000-0000151D0000}"/>
    <cellStyle name="Normal 2 3 2 3 2 2" xfId="346" xr:uid="{00000000-0005-0000-0000-0000161D0000}"/>
    <cellStyle name="Normal 2 3 2 3 2 2 10" xfId="6436" xr:uid="{00000000-0005-0000-0000-0000171D0000}"/>
    <cellStyle name="Normal 2 3 2 3 2 2 2" xfId="734" xr:uid="{00000000-0005-0000-0000-0000181D0000}"/>
    <cellStyle name="Normal 2 3 2 3 2 2 2 2" xfId="1439" xr:uid="{00000000-0005-0000-0000-0000191D0000}"/>
    <cellStyle name="Normal 2 3 2 3 2 2 2 2 2" xfId="8094" xr:uid="{00000000-0005-0000-0000-00001A1D0000}"/>
    <cellStyle name="Normal 2 3 2 3 2 2 2 2_SSL" xfId="13660" xr:uid="{00000000-0005-0000-0000-00001B1D0000}"/>
    <cellStyle name="Normal 2 3 2 3 2 2 2 3" xfId="2259" xr:uid="{00000000-0005-0000-0000-00001C1D0000}"/>
    <cellStyle name="Normal 2 3 2 3 2 2 2 3 2" xfId="8907" xr:uid="{00000000-0005-0000-0000-00001D1D0000}"/>
    <cellStyle name="Normal 2 3 2 3 2 2 2 3_SSL" xfId="17241" xr:uid="{00000000-0005-0000-0000-00001E1D0000}"/>
    <cellStyle name="Normal 2 3 2 3 2 2 2 4" xfId="3078" xr:uid="{00000000-0005-0000-0000-00001F1D0000}"/>
    <cellStyle name="Normal 2 3 2 3 2 2 2 4 2" xfId="9723" xr:uid="{00000000-0005-0000-0000-0000201D0000}"/>
    <cellStyle name="Normal 2 3 2 3 2 2 2 4_SSL" xfId="14365" xr:uid="{00000000-0005-0000-0000-0000211D0000}"/>
    <cellStyle name="Normal 2 3 2 3 2 2 2 5" xfId="3899" xr:uid="{00000000-0005-0000-0000-0000221D0000}"/>
    <cellStyle name="Normal 2 3 2 3 2 2 2 5 2" xfId="10539" xr:uid="{00000000-0005-0000-0000-0000231D0000}"/>
    <cellStyle name="Normal 2 3 2 3 2 2 2 5_SSL" xfId="15865" xr:uid="{00000000-0005-0000-0000-0000241D0000}"/>
    <cellStyle name="Normal 2 3 2 3 2 2 2 6" xfId="4710" xr:uid="{00000000-0005-0000-0000-0000251D0000}"/>
    <cellStyle name="Normal 2 3 2 3 2 2 2 6 2" xfId="11349" xr:uid="{00000000-0005-0000-0000-0000261D0000}"/>
    <cellStyle name="Normal 2 3 2 3 2 2 2 6_SSL" xfId="6038" xr:uid="{00000000-0005-0000-0000-0000271D0000}"/>
    <cellStyle name="Normal 2 3 2 3 2 2 2 7" xfId="5520" xr:uid="{00000000-0005-0000-0000-0000281D0000}"/>
    <cellStyle name="Normal 2 3 2 3 2 2 2 7 2" xfId="12158" xr:uid="{00000000-0005-0000-0000-0000291D0000}"/>
    <cellStyle name="Normal 2 3 2 3 2 2 2 7_SSL" xfId="15552" xr:uid="{00000000-0005-0000-0000-00002A1D0000}"/>
    <cellStyle name="Normal 2 3 2 3 2 2 2 8" xfId="7590" xr:uid="{00000000-0005-0000-0000-00002B1D0000}"/>
    <cellStyle name="Normal 2 3 2 3 2 2 2 9" xfId="6437" xr:uid="{00000000-0005-0000-0000-00002C1D0000}"/>
    <cellStyle name="Normal 2 3 2 3 2 2 2_SSL" xfId="14784" xr:uid="{00000000-0005-0000-0000-00002D1D0000}"/>
    <cellStyle name="Normal 2 3 2 3 2 2 3" xfId="1438" xr:uid="{00000000-0005-0000-0000-00002E1D0000}"/>
    <cellStyle name="Normal 2 3 2 3 2 2 3 2" xfId="8093" xr:uid="{00000000-0005-0000-0000-00002F1D0000}"/>
    <cellStyle name="Normal 2 3 2 3 2 2 3_SSL" xfId="14119" xr:uid="{00000000-0005-0000-0000-0000301D0000}"/>
    <cellStyle name="Normal 2 3 2 3 2 2 4" xfId="2258" xr:uid="{00000000-0005-0000-0000-0000311D0000}"/>
    <cellStyle name="Normal 2 3 2 3 2 2 4 2" xfId="8906" xr:uid="{00000000-0005-0000-0000-0000321D0000}"/>
    <cellStyle name="Normal 2 3 2 3 2 2 4_SSL" xfId="15072" xr:uid="{00000000-0005-0000-0000-0000331D0000}"/>
    <cellStyle name="Normal 2 3 2 3 2 2 5" xfId="3077" xr:uid="{00000000-0005-0000-0000-0000341D0000}"/>
    <cellStyle name="Normal 2 3 2 3 2 2 5 2" xfId="9722" xr:uid="{00000000-0005-0000-0000-0000351D0000}"/>
    <cellStyle name="Normal 2 3 2 3 2 2 5_SSL" xfId="17990" xr:uid="{00000000-0005-0000-0000-0000361D0000}"/>
    <cellStyle name="Normal 2 3 2 3 2 2 6" xfId="3898" xr:uid="{00000000-0005-0000-0000-0000371D0000}"/>
    <cellStyle name="Normal 2 3 2 3 2 2 6 2" xfId="10538" xr:uid="{00000000-0005-0000-0000-0000381D0000}"/>
    <cellStyle name="Normal 2 3 2 3 2 2 6_SSL" xfId="13433" xr:uid="{00000000-0005-0000-0000-0000391D0000}"/>
    <cellStyle name="Normal 2 3 2 3 2 2 7" xfId="4709" xr:uid="{00000000-0005-0000-0000-00003A1D0000}"/>
    <cellStyle name="Normal 2 3 2 3 2 2 7 2" xfId="11348" xr:uid="{00000000-0005-0000-0000-00003B1D0000}"/>
    <cellStyle name="Normal 2 3 2 3 2 2 7_SSL" xfId="6056" xr:uid="{00000000-0005-0000-0000-00003C1D0000}"/>
    <cellStyle name="Normal 2 3 2 3 2 2 8" xfId="5519" xr:uid="{00000000-0005-0000-0000-00003D1D0000}"/>
    <cellStyle name="Normal 2 3 2 3 2 2 8 2" xfId="12157" xr:uid="{00000000-0005-0000-0000-00003E1D0000}"/>
    <cellStyle name="Normal 2 3 2 3 2 2 8_SSL" xfId="17761" xr:uid="{00000000-0005-0000-0000-00003F1D0000}"/>
    <cellStyle name="Normal 2 3 2 3 2 2 9" xfId="7206" xr:uid="{00000000-0005-0000-0000-0000401D0000}"/>
    <cellStyle name="Normal 2 3 2 3 2 2_SSL" xfId="14792" xr:uid="{00000000-0005-0000-0000-0000411D0000}"/>
    <cellStyle name="Normal 2 3 2 3 2 3" xfId="590" xr:uid="{00000000-0005-0000-0000-0000421D0000}"/>
    <cellStyle name="Normal 2 3 2 3 2 3 2" xfId="1440" xr:uid="{00000000-0005-0000-0000-0000431D0000}"/>
    <cellStyle name="Normal 2 3 2 3 2 3 2 2" xfId="8095" xr:uid="{00000000-0005-0000-0000-0000441D0000}"/>
    <cellStyle name="Normal 2 3 2 3 2 3 2_SSL" xfId="13126" xr:uid="{00000000-0005-0000-0000-0000451D0000}"/>
    <cellStyle name="Normal 2 3 2 3 2 3 3" xfId="2260" xr:uid="{00000000-0005-0000-0000-0000461D0000}"/>
    <cellStyle name="Normal 2 3 2 3 2 3 3 2" xfId="8908" xr:uid="{00000000-0005-0000-0000-0000471D0000}"/>
    <cellStyle name="Normal 2 3 2 3 2 3 3_SSL" xfId="17776" xr:uid="{00000000-0005-0000-0000-0000481D0000}"/>
    <cellStyle name="Normal 2 3 2 3 2 3 4" xfId="3079" xr:uid="{00000000-0005-0000-0000-0000491D0000}"/>
    <cellStyle name="Normal 2 3 2 3 2 3 4 2" xfId="9724" xr:uid="{00000000-0005-0000-0000-00004A1D0000}"/>
    <cellStyle name="Normal 2 3 2 3 2 3 4_SSL" xfId="16862" xr:uid="{00000000-0005-0000-0000-00004B1D0000}"/>
    <cellStyle name="Normal 2 3 2 3 2 3 5" xfId="3900" xr:uid="{00000000-0005-0000-0000-00004C1D0000}"/>
    <cellStyle name="Normal 2 3 2 3 2 3 5 2" xfId="10540" xr:uid="{00000000-0005-0000-0000-00004D1D0000}"/>
    <cellStyle name="Normal 2 3 2 3 2 3 5_SSL" xfId="16267" xr:uid="{00000000-0005-0000-0000-00004E1D0000}"/>
    <cellStyle name="Normal 2 3 2 3 2 3 6" xfId="4711" xr:uid="{00000000-0005-0000-0000-00004F1D0000}"/>
    <cellStyle name="Normal 2 3 2 3 2 3 6 2" xfId="11350" xr:uid="{00000000-0005-0000-0000-0000501D0000}"/>
    <cellStyle name="Normal 2 3 2 3 2 3 6_SSL" xfId="15157" xr:uid="{00000000-0005-0000-0000-0000511D0000}"/>
    <cellStyle name="Normal 2 3 2 3 2 3 7" xfId="5521" xr:uid="{00000000-0005-0000-0000-0000521D0000}"/>
    <cellStyle name="Normal 2 3 2 3 2 3 7 2" xfId="12159" xr:uid="{00000000-0005-0000-0000-0000531D0000}"/>
    <cellStyle name="Normal 2 3 2 3 2 3 7_SSL" xfId="14904" xr:uid="{00000000-0005-0000-0000-0000541D0000}"/>
    <cellStyle name="Normal 2 3 2 3 2 3 8" xfId="7446" xr:uid="{00000000-0005-0000-0000-0000551D0000}"/>
    <cellStyle name="Normal 2 3 2 3 2 3 9" xfId="6438" xr:uid="{00000000-0005-0000-0000-0000561D0000}"/>
    <cellStyle name="Normal 2 3 2 3 2 3_SSL" xfId="16302" xr:uid="{00000000-0005-0000-0000-0000571D0000}"/>
    <cellStyle name="Normal 2 3 2 3 2 4" xfId="1437" xr:uid="{00000000-0005-0000-0000-0000581D0000}"/>
    <cellStyle name="Normal 2 3 2 3 2 4 2" xfId="8092" xr:uid="{00000000-0005-0000-0000-0000591D0000}"/>
    <cellStyle name="Normal 2 3 2 3 2 4_SSL" xfId="16256" xr:uid="{00000000-0005-0000-0000-00005A1D0000}"/>
    <cellStyle name="Normal 2 3 2 3 2 5" xfId="2257" xr:uid="{00000000-0005-0000-0000-00005B1D0000}"/>
    <cellStyle name="Normal 2 3 2 3 2 5 2" xfId="8905" xr:uid="{00000000-0005-0000-0000-00005C1D0000}"/>
    <cellStyle name="Normal 2 3 2 3 2 5_SSL" xfId="14327" xr:uid="{00000000-0005-0000-0000-00005D1D0000}"/>
    <cellStyle name="Normal 2 3 2 3 2 6" xfId="3076" xr:uid="{00000000-0005-0000-0000-00005E1D0000}"/>
    <cellStyle name="Normal 2 3 2 3 2 6 2" xfId="9721" xr:uid="{00000000-0005-0000-0000-00005F1D0000}"/>
    <cellStyle name="Normal 2 3 2 3 2 6_SSL" xfId="14107" xr:uid="{00000000-0005-0000-0000-0000601D0000}"/>
    <cellStyle name="Normal 2 3 2 3 2 7" xfId="3897" xr:uid="{00000000-0005-0000-0000-0000611D0000}"/>
    <cellStyle name="Normal 2 3 2 3 2 7 2" xfId="10537" xr:uid="{00000000-0005-0000-0000-0000621D0000}"/>
    <cellStyle name="Normal 2 3 2 3 2 7_SSL" xfId="17653" xr:uid="{00000000-0005-0000-0000-0000631D0000}"/>
    <cellStyle name="Normal 2 3 2 3 2 8" xfId="4708" xr:uid="{00000000-0005-0000-0000-0000641D0000}"/>
    <cellStyle name="Normal 2 3 2 3 2 8 2" xfId="11347" xr:uid="{00000000-0005-0000-0000-0000651D0000}"/>
    <cellStyle name="Normal 2 3 2 3 2 8_SSL" xfId="17397" xr:uid="{00000000-0005-0000-0000-0000661D0000}"/>
    <cellStyle name="Normal 2 3 2 3 2 9" xfId="5518" xr:uid="{00000000-0005-0000-0000-0000671D0000}"/>
    <cellStyle name="Normal 2 3 2 3 2 9 2" xfId="12156" xr:uid="{00000000-0005-0000-0000-0000681D0000}"/>
    <cellStyle name="Normal 2 3 2 3 2 9_SSL" xfId="13360" xr:uid="{00000000-0005-0000-0000-0000691D0000}"/>
    <cellStyle name="Normal 2 3 2 3 2_SSL" xfId="6881" xr:uid="{00000000-0005-0000-0000-00006A1D0000}"/>
    <cellStyle name="Normal 2 3 2 3 3" xfId="345" xr:uid="{00000000-0005-0000-0000-00006B1D0000}"/>
    <cellStyle name="Normal 2 3 2 3 3 10" xfId="6439" xr:uid="{00000000-0005-0000-0000-00006C1D0000}"/>
    <cellStyle name="Normal 2 3 2 3 3 2" xfId="733" xr:uid="{00000000-0005-0000-0000-00006D1D0000}"/>
    <cellStyle name="Normal 2 3 2 3 3 2 2" xfId="1442" xr:uid="{00000000-0005-0000-0000-00006E1D0000}"/>
    <cellStyle name="Normal 2 3 2 3 3 2 2 2" xfId="8097" xr:uid="{00000000-0005-0000-0000-00006F1D0000}"/>
    <cellStyle name="Normal 2 3 2 3 3 2 2_SSL" xfId="13668" xr:uid="{00000000-0005-0000-0000-0000701D0000}"/>
    <cellStyle name="Normal 2 3 2 3 3 2 3" xfId="2262" xr:uid="{00000000-0005-0000-0000-0000711D0000}"/>
    <cellStyle name="Normal 2 3 2 3 3 2 3 2" xfId="8910" xr:uid="{00000000-0005-0000-0000-0000721D0000}"/>
    <cellStyle name="Normal 2 3 2 3 3 2 3_SSL" xfId="16628" xr:uid="{00000000-0005-0000-0000-0000731D0000}"/>
    <cellStyle name="Normal 2 3 2 3 3 2 4" xfId="3081" xr:uid="{00000000-0005-0000-0000-0000741D0000}"/>
    <cellStyle name="Normal 2 3 2 3 3 2 4 2" xfId="9726" xr:uid="{00000000-0005-0000-0000-0000751D0000}"/>
    <cellStyle name="Normal 2 3 2 3 3 2 4_SSL" xfId="14007" xr:uid="{00000000-0005-0000-0000-0000761D0000}"/>
    <cellStyle name="Normal 2 3 2 3 3 2 5" xfId="3902" xr:uid="{00000000-0005-0000-0000-0000771D0000}"/>
    <cellStyle name="Normal 2 3 2 3 3 2 5 2" xfId="10542" xr:uid="{00000000-0005-0000-0000-0000781D0000}"/>
    <cellStyle name="Normal 2 3 2 3 3 2 5_SSL" xfId="14163" xr:uid="{00000000-0005-0000-0000-0000791D0000}"/>
    <cellStyle name="Normal 2 3 2 3 3 2 6" xfId="4713" xr:uid="{00000000-0005-0000-0000-00007A1D0000}"/>
    <cellStyle name="Normal 2 3 2 3 3 2 6 2" xfId="11352" xr:uid="{00000000-0005-0000-0000-00007B1D0000}"/>
    <cellStyle name="Normal 2 3 2 3 3 2 6_SSL" xfId="17988" xr:uid="{00000000-0005-0000-0000-00007C1D0000}"/>
    <cellStyle name="Normal 2 3 2 3 3 2 7" xfId="5523" xr:uid="{00000000-0005-0000-0000-00007D1D0000}"/>
    <cellStyle name="Normal 2 3 2 3 3 2 7 2" xfId="12161" xr:uid="{00000000-0005-0000-0000-00007E1D0000}"/>
    <cellStyle name="Normal 2 3 2 3 3 2 7_SSL" xfId="14245" xr:uid="{00000000-0005-0000-0000-00007F1D0000}"/>
    <cellStyle name="Normal 2 3 2 3 3 2 8" xfId="7589" xr:uid="{00000000-0005-0000-0000-0000801D0000}"/>
    <cellStyle name="Normal 2 3 2 3 3 2 9" xfId="6440" xr:uid="{00000000-0005-0000-0000-0000811D0000}"/>
    <cellStyle name="Normal 2 3 2 3 3 2_SSL" xfId="13264" xr:uid="{00000000-0005-0000-0000-0000821D0000}"/>
    <cellStyle name="Normal 2 3 2 3 3 3" xfId="1441" xr:uid="{00000000-0005-0000-0000-0000831D0000}"/>
    <cellStyle name="Normal 2 3 2 3 3 3 2" xfId="8096" xr:uid="{00000000-0005-0000-0000-0000841D0000}"/>
    <cellStyle name="Normal 2 3 2 3 3 3_SSL" xfId="17667" xr:uid="{00000000-0005-0000-0000-0000851D0000}"/>
    <cellStyle name="Normal 2 3 2 3 3 4" xfId="2261" xr:uid="{00000000-0005-0000-0000-0000861D0000}"/>
    <cellStyle name="Normal 2 3 2 3 3 4 2" xfId="8909" xr:uid="{00000000-0005-0000-0000-0000871D0000}"/>
    <cellStyle name="Normal 2 3 2 3 3 4_SSL" xfId="16156" xr:uid="{00000000-0005-0000-0000-0000881D0000}"/>
    <cellStyle name="Normal 2 3 2 3 3 5" xfId="3080" xr:uid="{00000000-0005-0000-0000-0000891D0000}"/>
    <cellStyle name="Normal 2 3 2 3 3 5 2" xfId="9725" xr:uid="{00000000-0005-0000-0000-00008A1D0000}"/>
    <cellStyle name="Normal 2 3 2 3 3 5_SSL" xfId="17007" xr:uid="{00000000-0005-0000-0000-00008B1D0000}"/>
    <cellStyle name="Normal 2 3 2 3 3 6" xfId="3901" xr:uid="{00000000-0005-0000-0000-00008C1D0000}"/>
    <cellStyle name="Normal 2 3 2 3 3 6 2" xfId="10541" xr:uid="{00000000-0005-0000-0000-00008D1D0000}"/>
    <cellStyle name="Normal 2 3 2 3 3 6_SSL" xfId="14117" xr:uid="{00000000-0005-0000-0000-00008E1D0000}"/>
    <cellStyle name="Normal 2 3 2 3 3 7" xfId="4712" xr:uid="{00000000-0005-0000-0000-00008F1D0000}"/>
    <cellStyle name="Normal 2 3 2 3 3 7 2" xfId="11351" xr:uid="{00000000-0005-0000-0000-0000901D0000}"/>
    <cellStyle name="Normal 2 3 2 3 3 7_SSL" xfId="16917" xr:uid="{00000000-0005-0000-0000-0000911D0000}"/>
    <cellStyle name="Normal 2 3 2 3 3 8" xfId="5522" xr:uid="{00000000-0005-0000-0000-0000921D0000}"/>
    <cellStyle name="Normal 2 3 2 3 3 8 2" xfId="12160" xr:uid="{00000000-0005-0000-0000-0000931D0000}"/>
    <cellStyle name="Normal 2 3 2 3 3 8_SSL" xfId="15547" xr:uid="{00000000-0005-0000-0000-0000941D0000}"/>
    <cellStyle name="Normal 2 3 2 3 3 9" xfId="7205" xr:uid="{00000000-0005-0000-0000-0000951D0000}"/>
    <cellStyle name="Normal 2 3 2 3 3_SSL" xfId="14620" xr:uid="{00000000-0005-0000-0000-0000961D0000}"/>
    <cellStyle name="Normal 2 3 2 3 4" xfId="494" xr:uid="{00000000-0005-0000-0000-0000971D0000}"/>
    <cellStyle name="Normal 2 3 2 3 4 2" xfId="1443" xr:uid="{00000000-0005-0000-0000-0000981D0000}"/>
    <cellStyle name="Normal 2 3 2 3 4 2 2" xfId="8098" xr:uid="{00000000-0005-0000-0000-0000991D0000}"/>
    <cellStyle name="Normal 2 3 2 3 4 2_SSL" xfId="15256" xr:uid="{00000000-0005-0000-0000-00009A1D0000}"/>
    <cellStyle name="Normal 2 3 2 3 4 3" xfId="2263" xr:uid="{00000000-0005-0000-0000-00009B1D0000}"/>
    <cellStyle name="Normal 2 3 2 3 4 3 2" xfId="8911" xr:uid="{00000000-0005-0000-0000-00009C1D0000}"/>
    <cellStyle name="Normal 2 3 2 3 4 3_SSL" xfId="17280" xr:uid="{00000000-0005-0000-0000-00009D1D0000}"/>
    <cellStyle name="Normal 2 3 2 3 4 4" xfId="3082" xr:uid="{00000000-0005-0000-0000-00009E1D0000}"/>
    <cellStyle name="Normal 2 3 2 3 4 4 2" xfId="9727" xr:uid="{00000000-0005-0000-0000-00009F1D0000}"/>
    <cellStyle name="Normal 2 3 2 3 4 4_SSL" xfId="14754" xr:uid="{00000000-0005-0000-0000-0000A01D0000}"/>
    <cellStyle name="Normal 2 3 2 3 4 5" xfId="3903" xr:uid="{00000000-0005-0000-0000-0000A11D0000}"/>
    <cellStyle name="Normal 2 3 2 3 4 5 2" xfId="10543" xr:uid="{00000000-0005-0000-0000-0000A21D0000}"/>
    <cellStyle name="Normal 2 3 2 3 4 5_SSL" xfId="15705" xr:uid="{00000000-0005-0000-0000-0000A31D0000}"/>
    <cellStyle name="Normal 2 3 2 3 4 6" xfId="4714" xr:uid="{00000000-0005-0000-0000-0000A41D0000}"/>
    <cellStyle name="Normal 2 3 2 3 4 6 2" xfId="11353" xr:uid="{00000000-0005-0000-0000-0000A51D0000}"/>
    <cellStyle name="Normal 2 3 2 3 4 6_SSL" xfId="14362" xr:uid="{00000000-0005-0000-0000-0000A61D0000}"/>
    <cellStyle name="Normal 2 3 2 3 4 7" xfId="5524" xr:uid="{00000000-0005-0000-0000-0000A71D0000}"/>
    <cellStyle name="Normal 2 3 2 3 4 7 2" xfId="12162" xr:uid="{00000000-0005-0000-0000-0000A81D0000}"/>
    <cellStyle name="Normal 2 3 2 3 4 7_SSL" xfId="16519" xr:uid="{00000000-0005-0000-0000-0000A91D0000}"/>
    <cellStyle name="Normal 2 3 2 3 4 8" xfId="7350" xr:uid="{00000000-0005-0000-0000-0000AA1D0000}"/>
    <cellStyle name="Normal 2 3 2 3 4 9" xfId="6441" xr:uid="{00000000-0005-0000-0000-0000AB1D0000}"/>
    <cellStyle name="Normal 2 3 2 3 4_SSL" xfId="17328" xr:uid="{00000000-0005-0000-0000-0000AC1D0000}"/>
    <cellStyle name="Normal 2 3 2 3 5" xfId="1436" xr:uid="{00000000-0005-0000-0000-0000AD1D0000}"/>
    <cellStyle name="Normal 2 3 2 3 5 2" xfId="8091" xr:uid="{00000000-0005-0000-0000-0000AE1D0000}"/>
    <cellStyle name="Normal 2 3 2 3 5_SSL" xfId="13525" xr:uid="{00000000-0005-0000-0000-0000AF1D0000}"/>
    <cellStyle name="Normal 2 3 2 3 6" xfId="2256" xr:uid="{00000000-0005-0000-0000-0000B01D0000}"/>
    <cellStyle name="Normal 2 3 2 3 6 2" xfId="8904" xr:uid="{00000000-0005-0000-0000-0000B11D0000}"/>
    <cellStyle name="Normal 2 3 2 3 6_SSL" xfId="17839" xr:uid="{00000000-0005-0000-0000-0000B21D0000}"/>
    <cellStyle name="Normal 2 3 2 3 7" xfId="3075" xr:uid="{00000000-0005-0000-0000-0000B31D0000}"/>
    <cellStyle name="Normal 2 3 2 3 7 2" xfId="9720" xr:uid="{00000000-0005-0000-0000-0000B41D0000}"/>
    <cellStyle name="Normal 2 3 2 3 7_SSL" xfId="17535" xr:uid="{00000000-0005-0000-0000-0000B51D0000}"/>
    <cellStyle name="Normal 2 3 2 3 8" xfId="3896" xr:uid="{00000000-0005-0000-0000-0000B61D0000}"/>
    <cellStyle name="Normal 2 3 2 3 8 2" xfId="10536" xr:uid="{00000000-0005-0000-0000-0000B71D0000}"/>
    <cellStyle name="Normal 2 3 2 3 8_SSL" xfId="12666" xr:uid="{00000000-0005-0000-0000-0000B81D0000}"/>
    <cellStyle name="Normal 2 3 2 3 9" xfId="4707" xr:uid="{00000000-0005-0000-0000-0000B91D0000}"/>
    <cellStyle name="Normal 2 3 2 3 9 2" xfId="11346" xr:uid="{00000000-0005-0000-0000-0000BA1D0000}"/>
    <cellStyle name="Normal 2 3 2 3 9_SSL" xfId="17437" xr:uid="{00000000-0005-0000-0000-0000BB1D0000}"/>
    <cellStyle name="Normal 2 3 2 3_SSL" xfId="14994" xr:uid="{00000000-0005-0000-0000-0000BC1D0000}"/>
    <cellStyle name="Normal 2 3 2 4" xfId="112" xr:uid="{00000000-0005-0000-0000-0000BD1D0000}"/>
    <cellStyle name="Normal 2 3 2 4 10" xfId="5525" xr:uid="{00000000-0005-0000-0000-0000BE1D0000}"/>
    <cellStyle name="Normal 2 3 2 4 10 2" xfId="12163" xr:uid="{00000000-0005-0000-0000-0000BF1D0000}"/>
    <cellStyle name="Normal 2 3 2 4 10_SSL" xfId="13828" xr:uid="{00000000-0005-0000-0000-0000C01D0000}"/>
    <cellStyle name="Normal 2 3 2 4 11" xfId="6989" xr:uid="{00000000-0005-0000-0000-0000C11D0000}"/>
    <cellStyle name="Normal 2 3 2 4 12" xfId="6442" xr:uid="{00000000-0005-0000-0000-0000C21D0000}"/>
    <cellStyle name="Normal 2 3 2 4 2" xfId="208" xr:uid="{00000000-0005-0000-0000-0000C31D0000}"/>
    <cellStyle name="Normal 2 3 2 4 2 10" xfId="7085" xr:uid="{00000000-0005-0000-0000-0000C41D0000}"/>
    <cellStyle name="Normal 2 3 2 4 2 11" xfId="6443" xr:uid="{00000000-0005-0000-0000-0000C51D0000}"/>
    <cellStyle name="Normal 2 3 2 4 2 2" xfId="348" xr:uid="{00000000-0005-0000-0000-0000C61D0000}"/>
    <cellStyle name="Normal 2 3 2 4 2 2 10" xfId="6444" xr:uid="{00000000-0005-0000-0000-0000C71D0000}"/>
    <cellStyle name="Normal 2 3 2 4 2 2 2" xfId="736" xr:uid="{00000000-0005-0000-0000-0000C81D0000}"/>
    <cellStyle name="Normal 2 3 2 4 2 2 2 2" xfId="1447" xr:uid="{00000000-0005-0000-0000-0000C91D0000}"/>
    <cellStyle name="Normal 2 3 2 4 2 2 2 2 2" xfId="8102" xr:uid="{00000000-0005-0000-0000-0000CA1D0000}"/>
    <cellStyle name="Normal 2 3 2 4 2 2 2 2_SSL" xfId="13429" xr:uid="{00000000-0005-0000-0000-0000CB1D0000}"/>
    <cellStyle name="Normal 2 3 2 4 2 2 2 3" xfId="2267" xr:uid="{00000000-0005-0000-0000-0000CC1D0000}"/>
    <cellStyle name="Normal 2 3 2 4 2 2 2 3 2" xfId="8915" xr:uid="{00000000-0005-0000-0000-0000CD1D0000}"/>
    <cellStyle name="Normal 2 3 2 4 2 2 2 3_SSL" xfId="13392" xr:uid="{00000000-0005-0000-0000-0000CE1D0000}"/>
    <cellStyle name="Normal 2 3 2 4 2 2 2 4" xfId="3086" xr:uid="{00000000-0005-0000-0000-0000CF1D0000}"/>
    <cellStyle name="Normal 2 3 2 4 2 2 2 4 2" xfId="9731" xr:uid="{00000000-0005-0000-0000-0000D01D0000}"/>
    <cellStyle name="Normal 2 3 2 4 2 2 2 4_SSL" xfId="16747" xr:uid="{00000000-0005-0000-0000-0000D11D0000}"/>
    <cellStyle name="Normal 2 3 2 4 2 2 2 5" xfId="3907" xr:uid="{00000000-0005-0000-0000-0000D21D0000}"/>
    <cellStyle name="Normal 2 3 2 4 2 2 2 5 2" xfId="10547" xr:uid="{00000000-0005-0000-0000-0000D31D0000}"/>
    <cellStyle name="Normal 2 3 2 4 2 2 2 5_SSL" xfId="13664" xr:uid="{00000000-0005-0000-0000-0000D41D0000}"/>
    <cellStyle name="Normal 2 3 2 4 2 2 2 6" xfId="4718" xr:uid="{00000000-0005-0000-0000-0000D51D0000}"/>
    <cellStyle name="Normal 2 3 2 4 2 2 2 6 2" xfId="11357" xr:uid="{00000000-0005-0000-0000-0000D61D0000}"/>
    <cellStyle name="Normal 2 3 2 4 2 2 2 6_SSL" xfId="17833" xr:uid="{00000000-0005-0000-0000-0000D71D0000}"/>
    <cellStyle name="Normal 2 3 2 4 2 2 2 7" xfId="5528" xr:uid="{00000000-0005-0000-0000-0000D81D0000}"/>
    <cellStyle name="Normal 2 3 2 4 2 2 2 7 2" xfId="12166" xr:uid="{00000000-0005-0000-0000-0000D91D0000}"/>
    <cellStyle name="Normal 2 3 2 4 2 2 2 7_SSL" xfId="15927" xr:uid="{00000000-0005-0000-0000-0000DA1D0000}"/>
    <cellStyle name="Normal 2 3 2 4 2 2 2 8" xfId="7592" xr:uid="{00000000-0005-0000-0000-0000DB1D0000}"/>
    <cellStyle name="Normal 2 3 2 4 2 2 2 9" xfId="6445" xr:uid="{00000000-0005-0000-0000-0000DC1D0000}"/>
    <cellStyle name="Normal 2 3 2 4 2 2 2_SSL" xfId="15899" xr:uid="{00000000-0005-0000-0000-0000DD1D0000}"/>
    <cellStyle name="Normal 2 3 2 4 2 2 3" xfId="1446" xr:uid="{00000000-0005-0000-0000-0000DE1D0000}"/>
    <cellStyle name="Normal 2 3 2 4 2 2 3 2" xfId="8101" xr:uid="{00000000-0005-0000-0000-0000DF1D0000}"/>
    <cellStyle name="Normal 2 3 2 4 2 2 3_SSL" xfId="16464" xr:uid="{00000000-0005-0000-0000-0000E01D0000}"/>
    <cellStyle name="Normal 2 3 2 4 2 2 4" xfId="2266" xr:uid="{00000000-0005-0000-0000-0000E11D0000}"/>
    <cellStyle name="Normal 2 3 2 4 2 2 4 2" xfId="8914" xr:uid="{00000000-0005-0000-0000-0000E21D0000}"/>
    <cellStyle name="Normal 2 3 2 4 2 2 4_SSL" xfId="16767" xr:uid="{00000000-0005-0000-0000-0000E31D0000}"/>
    <cellStyle name="Normal 2 3 2 4 2 2 5" xfId="3085" xr:uid="{00000000-0005-0000-0000-0000E41D0000}"/>
    <cellStyle name="Normal 2 3 2 4 2 2 5 2" xfId="9730" xr:uid="{00000000-0005-0000-0000-0000E51D0000}"/>
    <cellStyle name="Normal 2 3 2 4 2 2 5_SSL" xfId="16925" xr:uid="{00000000-0005-0000-0000-0000E61D0000}"/>
    <cellStyle name="Normal 2 3 2 4 2 2 6" xfId="3906" xr:uid="{00000000-0005-0000-0000-0000E71D0000}"/>
    <cellStyle name="Normal 2 3 2 4 2 2 6 2" xfId="10546" xr:uid="{00000000-0005-0000-0000-0000E81D0000}"/>
    <cellStyle name="Normal 2 3 2 4 2 2 6_SSL" xfId="18014" xr:uid="{00000000-0005-0000-0000-0000E91D0000}"/>
    <cellStyle name="Normal 2 3 2 4 2 2 7" xfId="4717" xr:uid="{00000000-0005-0000-0000-0000EA1D0000}"/>
    <cellStyle name="Normal 2 3 2 4 2 2 7 2" xfId="11356" xr:uid="{00000000-0005-0000-0000-0000EB1D0000}"/>
    <cellStyle name="Normal 2 3 2 4 2 2 7_SSL" xfId="14379" xr:uid="{00000000-0005-0000-0000-0000EC1D0000}"/>
    <cellStyle name="Normal 2 3 2 4 2 2 8" xfId="5527" xr:uid="{00000000-0005-0000-0000-0000ED1D0000}"/>
    <cellStyle name="Normal 2 3 2 4 2 2 8 2" xfId="12165" xr:uid="{00000000-0005-0000-0000-0000EE1D0000}"/>
    <cellStyle name="Normal 2 3 2 4 2 2 8_SSL" xfId="17611" xr:uid="{00000000-0005-0000-0000-0000EF1D0000}"/>
    <cellStyle name="Normal 2 3 2 4 2 2 9" xfId="7208" xr:uid="{00000000-0005-0000-0000-0000F01D0000}"/>
    <cellStyle name="Normal 2 3 2 4 2 2_SSL" xfId="17581" xr:uid="{00000000-0005-0000-0000-0000F11D0000}"/>
    <cellStyle name="Normal 2 3 2 4 2 3" xfId="613" xr:uid="{00000000-0005-0000-0000-0000F21D0000}"/>
    <cellStyle name="Normal 2 3 2 4 2 3 2" xfId="1448" xr:uid="{00000000-0005-0000-0000-0000F31D0000}"/>
    <cellStyle name="Normal 2 3 2 4 2 3 2 2" xfId="8103" xr:uid="{00000000-0005-0000-0000-0000F41D0000}"/>
    <cellStyle name="Normal 2 3 2 4 2 3 2_SSL" xfId="12781" xr:uid="{00000000-0005-0000-0000-0000F51D0000}"/>
    <cellStyle name="Normal 2 3 2 4 2 3 3" xfId="2268" xr:uid="{00000000-0005-0000-0000-0000F61D0000}"/>
    <cellStyle name="Normal 2 3 2 4 2 3 3 2" xfId="8916" xr:uid="{00000000-0005-0000-0000-0000F71D0000}"/>
    <cellStyle name="Normal 2 3 2 4 2 3 3_SSL" xfId="14612" xr:uid="{00000000-0005-0000-0000-0000F81D0000}"/>
    <cellStyle name="Normal 2 3 2 4 2 3 4" xfId="3087" xr:uid="{00000000-0005-0000-0000-0000F91D0000}"/>
    <cellStyle name="Normal 2 3 2 4 2 3 4 2" xfId="9732" xr:uid="{00000000-0005-0000-0000-0000FA1D0000}"/>
    <cellStyle name="Normal 2 3 2 4 2 3 4_SSL" xfId="14666" xr:uid="{00000000-0005-0000-0000-0000FB1D0000}"/>
    <cellStyle name="Normal 2 3 2 4 2 3 5" xfId="3908" xr:uid="{00000000-0005-0000-0000-0000FC1D0000}"/>
    <cellStyle name="Normal 2 3 2 4 2 3 5 2" xfId="10548" xr:uid="{00000000-0005-0000-0000-0000FD1D0000}"/>
    <cellStyle name="Normal 2 3 2 4 2 3 5_SSL" xfId="15377" xr:uid="{00000000-0005-0000-0000-0000FE1D0000}"/>
    <cellStyle name="Normal 2 3 2 4 2 3 6" xfId="4719" xr:uid="{00000000-0005-0000-0000-0000FF1D0000}"/>
    <cellStyle name="Normal 2 3 2 4 2 3 6 2" xfId="11358" xr:uid="{00000000-0005-0000-0000-0000001E0000}"/>
    <cellStyle name="Normal 2 3 2 4 2 3 6_SSL" xfId="13137" xr:uid="{00000000-0005-0000-0000-0000011E0000}"/>
    <cellStyle name="Normal 2 3 2 4 2 3 7" xfId="5529" xr:uid="{00000000-0005-0000-0000-0000021E0000}"/>
    <cellStyle name="Normal 2 3 2 4 2 3 7 2" xfId="12167" xr:uid="{00000000-0005-0000-0000-0000031E0000}"/>
    <cellStyle name="Normal 2 3 2 4 2 3 7_SSL" xfId="6058" xr:uid="{00000000-0005-0000-0000-0000041E0000}"/>
    <cellStyle name="Normal 2 3 2 4 2 3 8" xfId="7469" xr:uid="{00000000-0005-0000-0000-0000051E0000}"/>
    <cellStyle name="Normal 2 3 2 4 2 3 9" xfId="6446" xr:uid="{00000000-0005-0000-0000-0000061E0000}"/>
    <cellStyle name="Normal 2 3 2 4 2 3_SSL" xfId="16433" xr:uid="{00000000-0005-0000-0000-0000071E0000}"/>
    <cellStyle name="Normal 2 3 2 4 2 4" xfId="1445" xr:uid="{00000000-0005-0000-0000-0000081E0000}"/>
    <cellStyle name="Normal 2 3 2 4 2 4 2" xfId="8100" xr:uid="{00000000-0005-0000-0000-0000091E0000}"/>
    <cellStyle name="Normal 2 3 2 4 2 4_SSL" xfId="13687" xr:uid="{00000000-0005-0000-0000-00000A1E0000}"/>
    <cellStyle name="Normal 2 3 2 4 2 5" xfId="2265" xr:uid="{00000000-0005-0000-0000-00000B1E0000}"/>
    <cellStyle name="Normal 2 3 2 4 2 5 2" xfId="8913" xr:uid="{00000000-0005-0000-0000-00000C1E0000}"/>
    <cellStyle name="Normal 2 3 2 4 2 5_SSL" xfId="16273" xr:uid="{00000000-0005-0000-0000-00000D1E0000}"/>
    <cellStyle name="Normal 2 3 2 4 2 6" xfId="3084" xr:uid="{00000000-0005-0000-0000-00000E1E0000}"/>
    <cellStyle name="Normal 2 3 2 4 2 6 2" xfId="9729" xr:uid="{00000000-0005-0000-0000-00000F1E0000}"/>
    <cellStyle name="Normal 2 3 2 4 2 6_SSL" xfId="6707" xr:uid="{00000000-0005-0000-0000-0000101E0000}"/>
    <cellStyle name="Normal 2 3 2 4 2 7" xfId="3905" xr:uid="{00000000-0005-0000-0000-0000111E0000}"/>
    <cellStyle name="Normal 2 3 2 4 2 7 2" xfId="10545" xr:uid="{00000000-0005-0000-0000-0000121E0000}"/>
    <cellStyle name="Normal 2 3 2 4 2 7_SSL" xfId="17617" xr:uid="{00000000-0005-0000-0000-0000131E0000}"/>
    <cellStyle name="Normal 2 3 2 4 2 8" xfId="4716" xr:uid="{00000000-0005-0000-0000-0000141E0000}"/>
    <cellStyle name="Normal 2 3 2 4 2 8 2" xfId="11355" xr:uid="{00000000-0005-0000-0000-0000151E0000}"/>
    <cellStyle name="Normal 2 3 2 4 2 8_SSL" xfId="15748" xr:uid="{00000000-0005-0000-0000-0000161E0000}"/>
    <cellStyle name="Normal 2 3 2 4 2 9" xfId="5526" xr:uid="{00000000-0005-0000-0000-0000171E0000}"/>
    <cellStyle name="Normal 2 3 2 4 2 9 2" xfId="12164" xr:uid="{00000000-0005-0000-0000-0000181E0000}"/>
    <cellStyle name="Normal 2 3 2 4 2 9_SSL" xfId="14867" xr:uid="{00000000-0005-0000-0000-0000191E0000}"/>
    <cellStyle name="Normal 2 3 2 4 2_SSL" xfId="12993" xr:uid="{00000000-0005-0000-0000-00001A1E0000}"/>
    <cellStyle name="Normal 2 3 2 4 3" xfId="347" xr:uid="{00000000-0005-0000-0000-00001B1E0000}"/>
    <cellStyle name="Normal 2 3 2 4 3 10" xfId="6447" xr:uid="{00000000-0005-0000-0000-00001C1E0000}"/>
    <cellStyle name="Normal 2 3 2 4 3 2" xfId="735" xr:uid="{00000000-0005-0000-0000-00001D1E0000}"/>
    <cellStyle name="Normal 2 3 2 4 3 2 2" xfId="1450" xr:uid="{00000000-0005-0000-0000-00001E1E0000}"/>
    <cellStyle name="Normal 2 3 2 4 3 2 2 2" xfId="8105" xr:uid="{00000000-0005-0000-0000-00001F1E0000}"/>
    <cellStyle name="Normal 2 3 2 4 3 2 2_SSL" xfId="13532" xr:uid="{00000000-0005-0000-0000-0000201E0000}"/>
    <cellStyle name="Normal 2 3 2 4 3 2 3" xfId="2270" xr:uid="{00000000-0005-0000-0000-0000211E0000}"/>
    <cellStyle name="Normal 2 3 2 4 3 2 3 2" xfId="8918" xr:uid="{00000000-0005-0000-0000-0000221E0000}"/>
    <cellStyle name="Normal 2 3 2 4 3 2 3_SSL" xfId="12642" xr:uid="{00000000-0005-0000-0000-0000231E0000}"/>
    <cellStyle name="Normal 2 3 2 4 3 2 4" xfId="3089" xr:uid="{00000000-0005-0000-0000-0000241E0000}"/>
    <cellStyle name="Normal 2 3 2 4 3 2 4 2" xfId="9734" xr:uid="{00000000-0005-0000-0000-0000251E0000}"/>
    <cellStyle name="Normal 2 3 2 4 3 2 4_SSL" xfId="15539" xr:uid="{00000000-0005-0000-0000-0000261E0000}"/>
    <cellStyle name="Normal 2 3 2 4 3 2 5" xfId="3910" xr:uid="{00000000-0005-0000-0000-0000271E0000}"/>
    <cellStyle name="Normal 2 3 2 4 3 2 5 2" xfId="10550" xr:uid="{00000000-0005-0000-0000-0000281E0000}"/>
    <cellStyle name="Normal 2 3 2 4 3 2 5_SSL" xfId="14020" xr:uid="{00000000-0005-0000-0000-0000291E0000}"/>
    <cellStyle name="Normal 2 3 2 4 3 2 6" xfId="4721" xr:uid="{00000000-0005-0000-0000-00002A1E0000}"/>
    <cellStyle name="Normal 2 3 2 4 3 2 6 2" xfId="11360" xr:uid="{00000000-0005-0000-0000-00002B1E0000}"/>
    <cellStyle name="Normal 2 3 2 4 3 2 6_SSL" xfId="17675" xr:uid="{00000000-0005-0000-0000-00002C1E0000}"/>
    <cellStyle name="Normal 2 3 2 4 3 2 7" xfId="5531" xr:uid="{00000000-0005-0000-0000-00002D1E0000}"/>
    <cellStyle name="Normal 2 3 2 4 3 2 7 2" xfId="12169" xr:uid="{00000000-0005-0000-0000-00002E1E0000}"/>
    <cellStyle name="Normal 2 3 2 4 3 2 7_SSL" xfId="17846" xr:uid="{00000000-0005-0000-0000-00002F1E0000}"/>
    <cellStyle name="Normal 2 3 2 4 3 2 8" xfId="7591" xr:uid="{00000000-0005-0000-0000-0000301E0000}"/>
    <cellStyle name="Normal 2 3 2 4 3 2 9" xfId="6448" xr:uid="{00000000-0005-0000-0000-0000311E0000}"/>
    <cellStyle name="Normal 2 3 2 4 3 2_SSL" xfId="16668" xr:uid="{00000000-0005-0000-0000-0000321E0000}"/>
    <cellStyle name="Normal 2 3 2 4 3 3" xfId="1449" xr:uid="{00000000-0005-0000-0000-0000331E0000}"/>
    <cellStyle name="Normal 2 3 2 4 3 3 2" xfId="8104" xr:uid="{00000000-0005-0000-0000-0000341E0000}"/>
    <cellStyle name="Normal 2 3 2 4 3 3_SSL" xfId="17843" xr:uid="{00000000-0005-0000-0000-0000351E0000}"/>
    <cellStyle name="Normal 2 3 2 4 3 4" xfId="2269" xr:uid="{00000000-0005-0000-0000-0000361E0000}"/>
    <cellStyle name="Normal 2 3 2 4 3 4 2" xfId="8917" xr:uid="{00000000-0005-0000-0000-0000371E0000}"/>
    <cellStyle name="Normal 2 3 2 4 3 4_SSL" xfId="15483" xr:uid="{00000000-0005-0000-0000-0000381E0000}"/>
    <cellStyle name="Normal 2 3 2 4 3 5" xfId="3088" xr:uid="{00000000-0005-0000-0000-0000391E0000}"/>
    <cellStyle name="Normal 2 3 2 4 3 5 2" xfId="9733" xr:uid="{00000000-0005-0000-0000-00003A1E0000}"/>
    <cellStyle name="Normal 2 3 2 4 3 5_SSL" xfId="13236" xr:uid="{00000000-0005-0000-0000-00003B1E0000}"/>
    <cellStyle name="Normal 2 3 2 4 3 6" xfId="3909" xr:uid="{00000000-0005-0000-0000-00003C1E0000}"/>
    <cellStyle name="Normal 2 3 2 4 3 6 2" xfId="10549" xr:uid="{00000000-0005-0000-0000-00003D1E0000}"/>
    <cellStyle name="Normal 2 3 2 4 3 6_SSL" xfId="14135" xr:uid="{00000000-0005-0000-0000-00003E1E0000}"/>
    <cellStyle name="Normal 2 3 2 4 3 7" xfId="4720" xr:uid="{00000000-0005-0000-0000-00003F1E0000}"/>
    <cellStyle name="Normal 2 3 2 4 3 7 2" xfId="11359" xr:uid="{00000000-0005-0000-0000-0000401E0000}"/>
    <cellStyle name="Normal 2 3 2 4 3 7_SSL" xfId="13807" xr:uid="{00000000-0005-0000-0000-0000411E0000}"/>
    <cellStyle name="Normal 2 3 2 4 3 8" xfId="5530" xr:uid="{00000000-0005-0000-0000-0000421E0000}"/>
    <cellStyle name="Normal 2 3 2 4 3 8 2" xfId="12168" xr:uid="{00000000-0005-0000-0000-0000431E0000}"/>
    <cellStyle name="Normal 2 3 2 4 3 8_SSL" xfId="13244" xr:uid="{00000000-0005-0000-0000-0000441E0000}"/>
    <cellStyle name="Normal 2 3 2 4 3 9" xfId="7207" xr:uid="{00000000-0005-0000-0000-0000451E0000}"/>
    <cellStyle name="Normal 2 3 2 4 3_SSL" xfId="17374" xr:uid="{00000000-0005-0000-0000-0000461E0000}"/>
    <cellStyle name="Normal 2 3 2 4 4" xfId="517" xr:uid="{00000000-0005-0000-0000-0000471E0000}"/>
    <cellStyle name="Normal 2 3 2 4 4 2" xfId="1451" xr:uid="{00000000-0005-0000-0000-0000481E0000}"/>
    <cellStyle name="Normal 2 3 2 4 4 2 2" xfId="8106" xr:uid="{00000000-0005-0000-0000-0000491E0000}"/>
    <cellStyle name="Normal 2 3 2 4 4 2_SSL" xfId="15789" xr:uid="{00000000-0005-0000-0000-00004A1E0000}"/>
    <cellStyle name="Normal 2 3 2 4 4 3" xfId="2271" xr:uid="{00000000-0005-0000-0000-00004B1E0000}"/>
    <cellStyle name="Normal 2 3 2 4 4 3 2" xfId="8919" xr:uid="{00000000-0005-0000-0000-00004C1E0000}"/>
    <cellStyle name="Normal 2 3 2 4 4 3_SSL" xfId="17158" xr:uid="{00000000-0005-0000-0000-00004D1E0000}"/>
    <cellStyle name="Normal 2 3 2 4 4 4" xfId="3090" xr:uid="{00000000-0005-0000-0000-00004E1E0000}"/>
    <cellStyle name="Normal 2 3 2 4 4 4 2" xfId="9735" xr:uid="{00000000-0005-0000-0000-00004F1E0000}"/>
    <cellStyle name="Normal 2 3 2 4 4 4_SSL" xfId="15797" xr:uid="{00000000-0005-0000-0000-0000501E0000}"/>
    <cellStyle name="Normal 2 3 2 4 4 5" xfId="3911" xr:uid="{00000000-0005-0000-0000-0000511E0000}"/>
    <cellStyle name="Normal 2 3 2 4 4 5 2" xfId="10551" xr:uid="{00000000-0005-0000-0000-0000521E0000}"/>
    <cellStyle name="Normal 2 3 2 4 4 5_SSL" xfId="17963" xr:uid="{00000000-0005-0000-0000-0000531E0000}"/>
    <cellStyle name="Normal 2 3 2 4 4 6" xfId="4722" xr:uid="{00000000-0005-0000-0000-0000541E0000}"/>
    <cellStyle name="Normal 2 3 2 4 4 6 2" xfId="11361" xr:uid="{00000000-0005-0000-0000-0000551E0000}"/>
    <cellStyle name="Normal 2 3 2 4 4 6_SSL" xfId="17765" xr:uid="{00000000-0005-0000-0000-0000561E0000}"/>
    <cellStyle name="Normal 2 3 2 4 4 7" xfId="5532" xr:uid="{00000000-0005-0000-0000-0000571E0000}"/>
    <cellStyle name="Normal 2 3 2 4 4 7 2" xfId="12170" xr:uid="{00000000-0005-0000-0000-0000581E0000}"/>
    <cellStyle name="Normal 2 3 2 4 4 7_SSL" xfId="14226" xr:uid="{00000000-0005-0000-0000-0000591E0000}"/>
    <cellStyle name="Normal 2 3 2 4 4 8" xfId="7373" xr:uid="{00000000-0005-0000-0000-00005A1E0000}"/>
    <cellStyle name="Normal 2 3 2 4 4 9" xfId="6449" xr:uid="{00000000-0005-0000-0000-00005B1E0000}"/>
    <cellStyle name="Normal 2 3 2 4 4_SSL" xfId="12797" xr:uid="{00000000-0005-0000-0000-00005C1E0000}"/>
    <cellStyle name="Normal 2 3 2 4 5" xfId="1444" xr:uid="{00000000-0005-0000-0000-00005D1E0000}"/>
    <cellStyle name="Normal 2 3 2 4 5 2" xfId="8099" xr:uid="{00000000-0005-0000-0000-00005E1E0000}"/>
    <cellStyle name="Normal 2 3 2 4 5_SSL" xfId="14874" xr:uid="{00000000-0005-0000-0000-00005F1E0000}"/>
    <cellStyle name="Normal 2 3 2 4 6" xfId="2264" xr:uid="{00000000-0005-0000-0000-0000601E0000}"/>
    <cellStyle name="Normal 2 3 2 4 6 2" xfId="8912" xr:uid="{00000000-0005-0000-0000-0000611E0000}"/>
    <cellStyle name="Normal 2 3 2 4 6_SSL" xfId="12900" xr:uid="{00000000-0005-0000-0000-0000621E0000}"/>
    <cellStyle name="Normal 2 3 2 4 7" xfId="3083" xr:uid="{00000000-0005-0000-0000-0000631E0000}"/>
    <cellStyle name="Normal 2 3 2 4 7 2" xfId="9728" xr:uid="{00000000-0005-0000-0000-0000641E0000}"/>
    <cellStyle name="Normal 2 3 2 4 7_SSL" xfId="13382" xr:uid="{00000000-0005-0000-0000-0000651E0000}"/>
    <cellStyle name="Normal 2 3 2 4 8" xfId="3904" xr:uid="{00000000-0005-0000-0000-0000661E0000}"/>
    <cellStyle name="Normal 2 3 2 4 8 2" xfId="10544" xr:uid="{00000000-0005-0000-0000-0000671E0000}"/>
    <cellStyle name="Normal 2 3 2 4 8_SSL" xfId="13281" xr:uid="{00000000-0005-0000-0000-0000681E0000}"/>
    <cellStyle name="Normal 2 3 2 4 9" xfId="4715" xr:uid="{00000000-0005-0000-0000-0000691E0000}"/>
    <cellStyle name="Normal 2 3 2 4 9 2" xfId="11354" xr:uid="{00000000-0005-0000-0000-00006A1E0000}"/>
    <cellStyle name="Normal 2 3 2 4 9_SSL" xfId="16700" xr:uid="{00000000-0005-0000-0000-00006B1E0000}"/>
    <cellStyle name="Normal 2 3 2 4_SSL" xfId="16967" xr:uid="{00000000-0005-0000-0000-00006C1E0000}"/>
    <cellStyle name="Normal 2 3 2 5" xfId="137" xr:uid="{00000000-0005-0000-0000-00006D1E0000}"/>
    <cellStyle name="Normal 2 3 2 5 10" xfId="7014" xr:uid="{00000000-0005-0000-0000-00006E1E0000}"/>
    <cellStyle name="Normal 2 3 2 5 11" xfId="6450" xr:uid="{00000000-0005-0000-0000-00006F1E0000}"/>
    <cellStyle name="Normal 2 3 2 5 2" xfId="349" xr:uid="{00000000-0005-0000-0000-0000701E0000}"/>
    <cellStyle name="Normal 2 3 2 5 2 10" xfId="6451" xr:uid="{00000000-0005-0000-0000-0000711E0000}"/>
    <cellStyle name="Normal 2 3 2 5 2 2" xfId="737" xr:uid="{00000000-0005-0000-0000-0000721E0000}"/>
    <cellStyle name="Normal 2 3 2 5 2 2 2" xfId="1454" xr:uid="{00000000-0005-0000-0000-0000731E0000}"/>
    <cellStyle name="Normal 2 3 2 5 2 2 2 2" xfId="8109" xr:uid="{00000000-0005-0000-0000-0000741E0000}"/>
    <cellStyle name="Normal 2 3 2 5 2 2 2_SSL" xfId="17832" xr:uid="{00000000-0005-0000-0000-0000751E0000}"/>
    <cellStyle name="Normal 2 3 2 5 2 2 3" xfId="2274" xr:uid="{00000000-0005-0000-0000-0000761E0000}"/>
    <cellStyle name="Normal 2 3 2 5 2 2 3 2" xfId="8922" xr:uid="{00000000-0005-0000-0000-0000771E0000}"/>
    <cellStyle name="Normal 2 3 2 5 2 2 3_SSL" xfId="14413" xr:uid="{00000000-0005-0000-0000-0000781E0000}"/>
    <cellStyle name="Normal 2 3 2 5 2 2 4" xfId="3093" xr:uid="{00000000-0005-0000-0000-0000791E0000}"/>
    <cellStyle name="Normal 2 3 2 5 2 2 4 2" xfId="9738" xr:uid="{00000000-0005-0000-0000-00007A1E0000}"/>
    <cellStyle name="Normal 2 3 2 5 2 2 4_SSL" xfId="17048" xr:uid="{00000000-0005-0000-0000-00007B1E0000}"/>
    <cellStyle name="Normal 2 3 2 5 2 2 5" xfId="3914" xr:uid="{00000000-0005-0000-0000-00007C1E0000}"/>
    <cellStyle name="Normal 2 3 2 5 2 2 5 2" xfId="10554" xr:uid="{00000000-0005-0000-0000-00007D1E0000}"/>
    <cellStyle name="Normal 2 3 2 5 2 2 5_SSL" xfId="13025" xr:uid="{00000000-0005-0000-0000-00007E1E0000}"/>
    <cellStyle name="Normal 2 3 2 5 2 2 6" xfId="4725" xr:uid="{00000000-0005-0000-0000-00007F1E0000}"/>
    <cellStyle name="Normal 2 3 2 5 2 2 6 2" xfId="11364" xr:uid="{00000000-0005-0000-0000-0000801E0000}"/>
    <cellStyle name="Normal 2 3 2 5 2 2 6_SSL" xfId="15849" xr:uid="{00000000-0005-0000-0000-0000811E0000}"/>
    <cellStyle name="Normal 2 3 2 5 2 2 7" xfId="5535" xr:uid="{00000000-0005-0000-0000-0000821E0000}"/>
    <cellStyle name="Normal 2 3 2 5 2 2 7 2" xfId="12173" xr:uid="{00000000-0005-0000-0000-0000831E0000}"/>
    <cellStyle name="Normal 2 3 2 5 2 2 7_SSL" xfId="13987" xr:uid="{00000000-0005-0000-0000-0000841E0000}"/>
    <cellStyle name="Normal 2 3 2 5 2 2 8" xfId="7593" xr:uid="{00000000-0005-0000-0000-0000851E0000}"/>
    <cellStyle name="Normal 2 3 2 5 2 2 9" xfId="6452" xr:uid="{00000000-0005-0000-0000-0000861E0000}"/>
    <cellStyle name="Normal 2 3 2 5 2 2_SSL" xfId="17247" xr:uid="{00000000-0005-0000-0000-0000871E0000}"/>
    <cellStyle name="Normal 2 3 2 5 2 3" xfId="1453" xr:uid="{00000000-0005-0000-0000-0000881E0000}"/>
    <cellStyle name="Normal 2 3 2 5 2 3 2" xfId="8108" xr:uid="{00000000-0005-0000-0000-0000891E0000}"/>
    <cellStyle name="Normal 2 3 2 5 2 3_SSL" xfId="13568" xr:uid="{00000000-0005-0000-0000-00008A1E0000}"/>
    <cellStyle name="Normal 2 3 2 5 2 4" xfId="2273" xr:uid="{00000000-0005-0000-0000-00008B1E0000}"/>
    <cellStyle name="Normal 2 3 2 5 2 4 2" xfId="8921" xr:uid="{00000000-0005-0000-0000-00008C1E0000}"/>
    <cellStyle name="Normal 2 3 2 5 2 4_SSL" xfId="15116" xr:uid="{00000000-0005-0000-0000-00008D1E0000}"/>
    <cellStyle name="Normal 2 3 2 5 2 5" xfId="3092" xr:uid="{00000000-0005-0000-0000-00008E1E0000}"/>
    <cellStyle name="Normal 2 3 2 5 2 5 2" xfId="9737" xr:uid="{00000000-0005-0000-0000-00008F1E0000}"/>
    <cellStyle name="Normal 2 3 2 5 2 5_SSL" xfId="12690" xr:uid="{00000000-0005-0000-0000-0000901E0000}"/>
    <cellStyle name="Normal 2 3 2 5 2 6" xfId="3913" xr:uid="{00000000-0005-0000-0000-0000911E0000}"/>
    <cellStyle name="Normal 2 3 2 5 2 6 2" xfId="10553" xr:uid="{00000000-0005-0000-0000-0000921E0000}"/>
    <cellStyle name="Normal 2 3 2 5 2 6_SSL" xfId="15176" xr:uid="{00000000-0005-0000-0000-0000931E0000}"/>
    <cellStyle name="Normal 2 3 2 5 2 7" xfId="4724" xr:uid="{00000000-0005-0000-0000-0000941E0000}"/>
    <cellStyle name="Normal 2 3 2 5 2 7 2" xfId="11363" xr:uid="{00000000-0005-0000-0000-0000951E0000}"/>
    <cellStyle name="Normal 2 3 2 5 2 7_SSL" xfId="12704" xr:uid="{00000000-0005-0000-0000-0000961E0000}"/>
    <cellStyle name="Normal 2 3 2 5 2 8" xfId="5534" xr:uid="{00000000-0005-0000-0000-0000971E0000}"/>
    <cellStyle name="Normal 2 3 2 5 2 8 2" xfId="12172" xr:uid="{00000000-0005-0000-0000-0000981E0000}"/>
    <cellStyle name="Normal 2 3 2 5 2 8_SSL" xfId="14548" xr:uid="{00000000-0005-0000-0000-0000991E0000}"/>
    <cellStyle name="Normal 2 3 2 5 2 9" xfId="7209" xr:uid="{00000000-0005-0000-0000-00009A1E0000}"/>
    <cellStyle name="Normal 2 3 2 5 2_SSL" xfId="17916" xr:uid="{00000000-0005-0000-0000-00009B1E0000}"/>
    <cellStyle name="Normal 2 3 2 5 3" xfId="542" xr:uid="{00000000-0005-0000-0000-00009C1E0000}"/>
    <cellStyle name="Normal 2 3 2 5 3 2" xfId="1455" xr:uid="{00000000-0005-0000-0000-00009D1E0000}"/>
    <cellStyle name="Normal 2 3 2 5 3 2 2" xfId="8110" xr:uid="{00000000-0005-0000-0000-00009E1E0000}"/>
    <cellStyle name="Normal 2 3 2 5 3 2_SSL" xfId="15218" xr:uid="{00000000-0005-0000-0000-00009F1E0000}"/>
    <cellStyle name="Normal 2 3 2 5 3 3" xfId="2275" xr:uid="{00000000-0005-0000-0000-0000A01E0000}"/>
    <cellStyle name="Normal 2 3 2 5 3 3 2" xfId="8923" xr:uid="{00000000-0005-0000-0000-0000A11E0000}"/>
    <cellStyle name="Normal 2 3 2 5 3 3_SSL" xfId="14404" xr:uid="{00000000-0005-0000-0000-0000A21E0000}"/>
    <cellStyle name="Normal 2 3 2 5 3 4" xfId="3094" xr:uid="{00000000-0005-0000-0000-0000A31E0000}"/>
    <cellStyle name="Normal 2 3 2 5 3 4 2" xfId="9739" xr:uid="{00000000-0005-0000-0000-0000A41E0000}"/>
    <cellStyle name="Normal 2 3 2 5 3 4_SSL" xfId="13017" xr:uid="{00000000-0005-0000-0000-0000A51E0000}"/>
    <cellStyle name="Normal 2 3 2 5 3 5" xfId="3915" xr:uid="{00000000-0005-0000-0000-0000A61E0000}"/>
    <cellStyle name="Normal 2 3 2 5 3 5 2" xfId="10555" xr:uid="{00000000-0005-0000-0000-0000A71E0000}"/>
    <cellStyle name="Normal 2 3 2 5 3 5_SSL" xfId="17043" xr:uid="{00000000-0005-0000-0000-0000A81E0000}"/>
    <cellStyle name="Normal 2 3 2 5 3 6" xfId="4726" xr:uid="{00000000-0005-0000-0000-0000A91E0000}"/>
    <cellStyle name="Normal 2 3 2 5 3 6 2" xfId="11365" xr:uid="{00000000-0005-0000-0000-0000AA1E0000}"/>
    <cellStyle name="Normal 2 3 2 5 3 6_SSL" xfId="17520" xr:uid="{00000000-0005-0000-0000-0000AB1E0000}"/>
    <cellStyle name="Normal 2 3 2 5 3 7" xfId="5536" xr:uid="{00000000-0005-0000-0000-0000AC1E0000}"/>
    <cellStyle name="Normal 2 3 2 5 3 7 2" xfId="12174" xr:uid="{00000000-0005-0000-0000-0000AD1E0000}"/>
    <cellStyle name="Normal 2 3 2 5 3 7_SSL" xfId="14006" xr:uid="{00000000-0005-0000-0000-0000AE1E0000}"/>
    <cellStyle name="Normal 2 3 2 5 3 8" xfId="7398" xr:uid="{00000000-0005-0000-0000-0000AF1E0000}"/>
    <cellStyle name="Normal 2 3 2 5 3 9" xfId="6453" xr:uid="{00000000-0005-0000-0000-0000B01E0000}"/>
    <cellStyle name="Normal 2 3 2 5 3_SSL" xfId="14932" xr:uid="{00000000-0005-0000-0000-0000B11E0000}"/>
    <cellStyle name="Normal 2 3 2 5 4" xfId="1452" xr:uid="{00000000-0005-0000-0000-0000B21E0000}"/>
    <cellStyle name="Normal 2 3 2 5 4 2" xfId="8107" xr:uid="{00000000-0005-0000-0000-0000B31E0000}"/>
    <cellStyle name="Normal 2 3 2 5 4_SSL" xfId="17897" xr:uid="{00000000-0005-0000-0000-0000B41E0000}"/>
    <cellStyle name="Normal 2 3 2 5 5" xfId="2272" xr:uid="{00000000-0005-0000-0000-0000B51E0000}"/>
    <cellStyle name="Normal 2 3 2 5 5 2" xfId="8920" xr:uid="{00000000-0005-0000-0000-0000B61E0000}"/>
    <cellStyle name="Normal 2 3 2 5 5_SSL" xfId="14762" xr:uid="{00000000-0005-0000-0000-0000B71E0000}"/>
    <cellStyle name="Normal 2 3 2 5 6" xfId="3091" xr:uid="{00000000-0005-0000-0000-0000B81E0000}"/>
    <cellStyle name="Normal 2 3 2 5 6 2" xfId="9736" xr:uid="{00000000-0005-0000-0000-0000B91E0000}"/>
    <cellStyle name="Normal 2 3 2 5 6_SSL" xfId="17811" xr:uid="{00000000-0005-0000-0000-0000BA1E0000}"/>
    <cellStyle name="Normal 2 3 2 5 7" xfId="3912" xr:uid="{00000000-0005-0000-0000-0000BB1E0000}"/>
    <cellStyle name="Normal 2 3 2 5 7 2" xfId="10552" xr:uid="{00000000-0005-0000-0000-0000BC1E0000}"/>
    <cellStyle name="Normal 2 3 2 5 7_SSL" xfId="16200" xr:uid="{00000000-0005-0000-0000-0000BD1E0000}"/>
    <cellStyle name="Normal 2 3 2 5 8" xfId="4723" xr:uid="{00000000-0005-0000-0000-0000BE1E0000}"/>
    <cellStyle name="Normal 2 3 2 5 8 2" xfId="11362" xr:uid="{00000000-0005-0000-0000-0000BF1E0000}"/>
    <cellStyle name="Normal 2 3 2 5 8_SSL" xfId="16009" xr:uid="{00000000-0005-0000-0000-0000C01E0000}"/>
    <cellStyle name="Normal 2 3 2 5 9" xfId="5533" xr:uid="{00000000-0005-0000-0000-0000C11E0000}"/>
    <cellStyle name="Normal 2 3 2 5 9 2" xfId="12171" xr:uid="{00000000-0005-0000-0000-0000C21E0000}"/>
    <cellStyle name="Normal 2 3 2 5 9_SSL" xfId="17115" xr:uid="{00000000-0005-0000-0000-0000C31E0000}"/>
    <cellStyle name="Normal 2 3 2 5_SSL" xfId="13439" xr:uid="{00000000-0005-0000-0000-0000C41E0000}"/>
    <cellStyle name="Normal 2 3 2 6" xfId="162" xr:uid="{00000000-0005-0000-0000-0000C51E0000}"/>
    <cellStyle name="Normal 2 3 2 6 10" xfId="7039" xr:uid="{00000000-0005-0000-0000-0000C61E0000}"/>
    <cellStyle name="Normal 2 3 2 6 11" xfId="6454" xr:uid="{00000000-0005-0000-0000-0000C71E0000}"/>
    <cellStyle name="Normal 2 3 2 6 2" xfId="350" xr:uid="{00000000-0005-0000-0000-0000C81E0000}"/>
    <cellStyle name="Normal 2 3 2 6 2 10" xfId="6455" xr:uid="{00000000-0005-0000-0000-0000C91E0000}"/>
    <cellStyle name="Normal 2 3 2 6 2 2" xfId="738" xr:uid="{00000000-0005-0000-0000-0000CA1E0000}"/>
    <cellStyle name="Normal 2 3 2 6 2 2 2" xfId="1458" xr:uid="{00000000-0005-0000-0000-0000CB1E0000}"/>
    <cellStyle name="Normal 2 3 2 6 2 2 2 2" xfId="8113" xr:uid="{00000000-0005-0000-0000-0000CC1E0000}"/>
    <cellStyle name="Normal 2 3 2 6 2 2 2_SSL" xfId="17252" xr:uid="{00000000-0005-0000-0000-0000CD1E0000}"/>
    <cellStyle name="Normal 2 3 2 6 2 2 3" xfId="2278" xr:uid="{00000000-0005-0000-0000-0000CE1E0000}"/>
    <cellStyle name="Normal 2 3 2 6 2 2 3 2" xfId="8926" xr:uid="{00000000-0005-0000-0000-0000CF1E0000}"/>
    <cellStyle name="Normal 2 3 2 6 2 2 3_SSL" xfId="16701" xr:uid="{00000000-0005-0000-0000-0000D01E0000}"/>
    <cellStyle name="Normal 2 3 2 6 2 2 4" xfId="3097" xr:uid="{00000000-0005-0000-0000-0000D11E0000}"/>
    <cellStyle name="Normal 2 3 2 6 2 2 4 2" xfId="9742" xr:uid="{00000000-0005-0000-0000-0000D21E0000}"/>
    <cellStyle name="Normal 2 3 2 6 2 2 4_SSL" xfId="12864" xr:uid="{00000000-0005-0000-0000-0000D31E0000}"/>
    <cellStyle name="Normal 2 3 2 6 2 2 5" xfId="3918" xr:uid="{00000000-0005-0000-0000-0000D41E0000}"/>
    <cellStyle name="Normal 2 3 2 6 2 2 5 2" xfId="10558" xr:uid="{00000000-0005-0000-0000-0000D51E0000}"/>
    <cellStyle name="Normal 2 3 2 6 2 2 5_SSL" xfId="13850" xr:uid="{00000000-0005-0000-0000-0000D61E0000}"/>
    <cellStyle name="Normal 2 3 2 6 2 2 6" xfId="4729" xr:uid="{00000000-0005-0000-0000-0000D71E0000}"/>
    <cellStyle name="Normal 2 3 2 6 2 2 6 2" xfId="11368" xr:uid="{00000000-0005-0000-0000-0000D81E0000}"/>
    <cellStyle name="Normal 2 3 2 6 2 2 6_SSL" xfId="13366" xr:uid="{00000000-0005-0000-0000-0000D91E0000}"/>
    <cellStyle name="Normal 2 3 2 6 2 2 7" xfId="5539" xr:uid="{00000000-0005-0000-0000-0000DA1E0000}"/>
    <cellStyle name="Normal 2 3 2 6 2 2 7 2" xfId="12177" xr:uid="{00000000-0005-0000-0000-0000DB1E0000}"/>
    <cellStyle name="Normal 2 3 2 6 2 2 7_SSL" xfId="17717" xr:uid="{00000000-0005-0000-0000-0000DC1E0000}"/>
    <cellStyle name="Normal 2 3 2 6 2 2 8" xfId="7594" xr:uid="{00000000-0005-0000-0000-0000DD1E0000}"/>
    <cellStyle name="Normal 2 3 2 6 2 2 9" xfId="6456" xr:uid="{00000000-0005-0000-0000-0000DE1E0000}"/>
    <cellStyle name="Normal 2 3 2 6 2 2_SSL" xfId="16785" xr:uid="{00000000-0005-0000-0000-0000DF1E0000}"/>
    <cellStyle name="Normal 2 3 2 6 2 3" xfId="1457" xr:uid="{00000000-0005-0000-0000-0000E01E0000}"/>
    <cellStyle name="Normal 2 3 2 6 2 3 2" xfId="8112" xr:uid="{00000000-0005-0000-0000-0000E11E0000}"/>
    <cellStyle name="Normal 2 3 2 6 2 3_SSL" xfId="14862" xr:uid="{00000000-0005-0000-0000-0000E21E0000}"/>
    <cellStyle name="Normal 2 3 2 6 2 4" xfId="2277" xr:uid="{00000000-0005-0000-0000-0000E31E0000}"/>
    <cellStyle name="Normal 2 3 2 6 2 4 2" xfId="8925" xr:uid="{00000000-0005-0000-0000-0000E41E0000}"/>
    <cellStyle name="Normal 2 3 2 6 2 4_SSL" xfId="14542" xr:uid="{00000000-0005-0000-0000-0000E51E0000}"/>
    <cellStyle name="Normal 2 3 2 6 2 5" xfId="3096" xr:uid="{00000000-0005-0000-0000-0000E61E0000}"/>
    <cellStyle name="Normal 2 3 2 6 2 5 2" xfId="9741" xr:uid="{00000000-0005-0000-0000-0000E71E0000}"/>
    <cellStyle name="Normal 2 3 2 6 2 5_SSL" xfId="14609" xr:uid="{00000000-0005-0000-0000-0000E81E0000}"/>
    <cellStyle name="Normal 2 3 2 6 2 6" xfId="3917" xr:uid="{00000000-0005-0000-0000-0000E91E0000}"/>
    <cellStyle name="Normal 2 3 2 6 2 6 2" xfId="10557" xr:uid="{00000000-0005-0000-0000-0000EA1E0000}"/>
    <cellStyle name="Normal 2 3 2 6 2 6_SSL" xfId="12714" xr:uid="{00000000-0005-0000-0000-0000EB1E0000}"/>
    <cellStyle name="Normal 2 3 2 6 2 7" xfId="4728" xr:uid="{00000000-0005-0000-0000-0000EC1E0000}"/>
    <cellStyle name="Normal 2 3 2 6 2 7 2" xfId="11367" xr:uid="{00000000-0005-0000-0000-0000ED1E0000}"/>
    <cellStyle name="Normal 2 3 2 6 2 7_SSL" xfId="14240" xr:uid="{00000000-0005-0000-0000-0000EE1E0000}"/>
    <cellStyle name="Normal 2 3 2 6 2 8" xfId="5538" xr:uid="{00000000-0005-0000-0000-0000EF1E0000}"/>
    <cellStyle name="Normal 2 3 2 6 2 8 2" xfId="12176" xr:uid="{00000000-0005-0000-0000-0000F01E0000}"/>
    <cellStyle name="Normal 2 3 2 6 2 8_SSL" xfId="13176" xr:uid="{00000000-0005-0000-0000-0000F11E0000}"/>
    <cellStyle name="Normal 2 3 2 6 2 9" xfId="7210" xr:uid="{00000000-0005-0000-0000-0000F21E0000}"/>
    <cellStyle name="Normal 2 3 2 6 2_SSL" xfId="17741" xr:uid="{00000000-0005-0000-0000-0000F31E0000}"/>
    <cellStyle name="Normal 2 3 2 6 3" xfId="567" xr:uid="{00000000-0005-0000-0000-0000F41E0000}"/>
    <cellStyle name="Normal 2 3 2 6 3 2" xfId="1459" xr:uid="{00000000-0005-0000-0000-0000F51E0000}"/>
    <cellStyle name="Normal 2 3 2 6 3 2 2" xfId="8114" xr:uid="{00000000-0005-0000-0000-0000F61E0000}"/>
    <cellStyle name="Normal 2 3 2 6 3 2_SSL" xfId="17122" xr:uid="{00000000-0005-0000-0000-0000F71E0000}"/>
    <cellStyle name="Normal 2 3 2 6 3 3" xfId="2279" xr:uid="{00000000-0005-0000-0000-0000F81E0000}"/>
    <cellStyle name="Normal 2 3 2 6 3 3 2" xfId="8927" xr:uid="{00000000-0005-0000-0000-0000F91E0000}"/>
    <cellStyle name="Normal 2 3 2 6 3 3_SSL" xfId="13869" xr:uid="{00000000-0005-0000-0000-0000FA1E0000}"/>
    <cellStyle name="Normal 2 3 2 6 3 4" xfId="3098" xr:uid="{00000000-0005-0000-0000-0000FB1E0000}"/>
    <cellStyle name="Normal 2 3 2 6 3 4 2" xfId="9743" xr:uid="{00000000-0005-0000-0000-0000FC1E0000}"/>
    <cellStyle name="Normal 2 3 2 6 3 4_SSL" xfId="13618" xr:uid="{00000000-0005-0000-0000-0000FD1E0000}"/>
    <cellStyle name="Normal 2 3 2 6 3 5" xfId="3919" xr:uid="{00000000-0005-0000-0000-0000FE1E0000}"/>
    <cellStyle name="Normal 2 3 2 6 3 5 2" xfId="10559" xr:uid="{00000000-0005-0000-0000-0000FF1E0000}"/>
    <cellStyle name="Normal 2 3 2 6 3 5_SSL" xfId="16868" xr:uid="{00000000-0005-0000-0000-0000001F0000}"/>
    <cellStyle name="Normal 2 3 2 6 3 6" xfId="4730" xr:uid="{00000000-0005-0000-0000-0000011F0000}"/>
    <cellStyle name="Normal 2 3 2 6 3 6 2" xfId="11369" xr:uid="{00000000-0005-0000-0000-0000021F0000}"/>
    <cellStyle name="Normal 2 3 2 6 3 6_SSL" xfId="14375" xr:uid="{00000000-0005-0000-0000-0000031F0000}"/>
    <cellStyle name="Normal 2 3 2 6 3 7" xfId="5540" xr:uid="{00000000-0005-0000-0000-0000041F0000}"/>
    <cellStyle name="Normal 2 3 2 6 3 7 2" xfId="12178" xr:uid="{00000000-0005-0000-0000-0000051F0000}"/>
    <cellStyle name="Normal 2 3 2 6 3 7_SSL" xfId="17164" xr:uid="{00000000-0005-0000-0000-0000061F0000}"/>
    <cellStyle name="Normal 2 3 2 6 3 8" xfId="7423" xr:uid="{00000000-0005-0000-0000-0000071F0000}"/>
    <cellStyle name="Normal 2 3 2 6 3 9" xfId="6457" xr:uid="{00000000-0005-0000-0000-0000081F0000}"/>
    <cellStyle name="Normal 2 3 2 6 3_SSL" xfId="17404" xr:uid="{00000000-0005-0000-0000-0000091F0000}"/>
    <cellStyle name="Normal 2 3 2 6 4" xfId="1456" xr:uid="{00000000-0005-0000-0000-00000A1F0000}"/>
    <cellStyle name="Normal 2 3 2 6 4 2" xfId="8111" xr:uid="{00000000-0005-0000-0000-00000B1F0000}"/>
    <cellStyle name="Normal 2 3 2 6 4_SSL" xfId="15794" xr:uid="{00000000-0005-0000-0000-00000C1F0000}"/>
    <cellStyle name="Normal 2 3 2 6 5" xfId="2276" xr:uid="{00000000-0005-0000-0000-00000D1F0000}"/>
    <cellStyle name="Normal 2 3 2 6 5 2" xfId="8924" xr:uid="{00000000-0005-0000-0000-00000E1F0000}"/>
    <cellStyle name="Normal 2 3 2 6 5_SSL" xfId="17795" xr:uid="{00000000-0005-0000-0000-00000F1F0000}"/>
    <cellStyle name="Normal 2 3 2 6 6" xfId="3095" xr:uid="{00000000-0005-0000-0000-0000101F0000}"/>
    <cellStyle name="Normal 2 3 2 6 6 2" xfId="9740" xr:uid="{00000000-0005-0000-0000-0000111F0000}"/>
    <cellStyle name="Normal 2 3 2 6 6_SSL" xfId="17877" xr:uid="{00000000-0005-0000-0000-0000121F0000}"/>
    <cellStyle name="Normal 2 3 2 6 7" xfId="3916" xr:uid="{00000000-0005-0000-0000-0000131F0000}"/>
    <cellStyle name="Normal 2 3 2 6 7 2" xfId="10556" xr:uid="{00000000-0005-0000-0000-0000141F0000}"/>
    <cellStyle name="Normal 2 3 2 6 7_SSL" xfId="16957" xr:uid="{00000000-0005-0000-0000-0000151F0000}"/>
    <cellStyle name="Normal 2 3 2 6 8" xfId="4727" xr:uid="{00000000-0005-0000-0000-0000161F0000}"/>
    <cellStyle name="Normal 2 3 2 6 8 2" xfId="11366" xr:uid="{00000000-0005-0000-0000-0000171F0000}"/>
    <cellStyle name="Normal 2 3 2 6 8_SSL" xfId="15195" xr:uid="{00000000-0005-0000-0000-0000181F0000}"/>
    <cellStyle name="Normal 2 3 2 6 9" xfId="5537" xr:uid="{00000000-0005-0000-0000-0000191F0000}"/>
    <cellStyle name="Normal 2 3 2 6 9 2" xfId="12175" xr:uid="{00000000-0005-0000-0000-00001A1F0000}"/>
    <cellStyle name="Normal 2 3 2 6 9_SSL" xfId="15770" xr:uid="{00000000-0005-0000-0000-00001B1F0000}"/>
    <cellStyle name="Normal 2 3 2 6_SSL" xfId="15405" xr:uid="{00000000-0005-0000-0000-00001C1F0000}"/>
    <cellStyle name="Normal 2 3 2 7" xfId="233" xr:uid="{00000000-0005-0000-0000-00001D1F0000}"/>
    <cellStyle name="Normal 2 3 2 7 10" xfId="7110" xr:uid="{00000000-0005-0000-0000-00001E1F0000}"/>
    <cellStyle name="Normal 2 3 2 7 11" xfId="6458" xr:uid="{00000000-0005-0000-0000-00001F1F0000}"/>
    <cellStyle name="Normal 2 3 2 7 2" xfId="351" xr:uid="{00000000-0005-0000-0000-0000201F0000}"/>
    <cellStyle name="Normal 2 3 2 7 2 10" xfId="6459" xr:uid="{00000000-0005-0000-0000-0000211F0000}"/>
    <cellStyle name="Normal 2 3 2 7 2 2" xfId="739" xr:uid="{00000000-0005-0000-0000-0000221F0000}"/>
    <cellStyle name="Normal 2 3 2 7 2 2 2" xfId="1462" xr:uid="{00000000-0005-0000-0000-0000231F0000}"/>
    <cellStyle name="Normal 2 3 2 7 2 2 2 2" xfId="8117" xr:uid="{00000000-0005-0000-0000-0000241F0000}"/>
    <cellStyle name="Normal 2 3 2 7 2 2 2_SSL" xfId="17863" xr:uid="{00000000-0005-0000-0000-0000251F0000}"/>
    <cellStyle name="Normal 2 3 2 7 2 2 3" xfId="2282" xr:uid="{00000000-0005-0000-0000-0000261F0000}"/>
    <cellStyle name="Normal 2 3 2 7 2 2 3 2" xfId="8930" xr:uid="{00000000-0005-0000-0000-0000271F0000}"/>
    <cellStyle name="Normal 2 3 2 7 2 2 3_SSL" xfId="17969" xr:uid="{00000000-0005-0000-0000-0000281F0000}"/>
    <cellStyle name="Normal 2 3 2 7 2 2 4" xfId="3101" xr:uid="{00000000-0005-0000-0000-0000291F0000}"/>
    <cellStyle name="Normal 2 3 2 7 2 2 4 2" xfId="9746" xr:uid="{00000000-0005-0000-0000-00002A1F0000}"/>
    <cellStyle name="Normal 2 3 2 7 2 2 4_SSL" xfId="13058" xr:uid="{00000000-0005-0000-0000-00002B1F0000}"/>
    <cellStyle name="Normal 2 3 2 7 2 2 5" xfId="3922" xr:uid="{00000000-0005-0000-0000-00002C1F0000}"/>
    <cellStyle name="Normal 2 3 2 7 2 2 5 2" xfId="10562" xr:uid="{00000000-0005-0000-0000-00002D1F0000}"/>
    <cellStyle name="Normal 2 3 2 7 2 2 5_SSL" xfId="12944" xr:uid="{00000000-0005-0000-0000-00002E1F0000}"/>
    <cellStyle name="Normal 2 3 2 7 2 2 6" xfId="4733" xr:uid="{00000000-0005-0000-0000-00002F1F0000}"/>
    <cellStyle name="Normal 2 3 2 7 2 2 6 2" xfId="11372" xr:uid="{00000000-0005-0000-0000-0000301F0000}"/>
    <cellStyle name="Normal 2 3 2 7 2 2 6_SSL" xfId="13245" xr:uid="{00000000-0005-0000-0000-0000311F0000}"/>
    <cellStyle name="Normal 2 3 2 7 2 2 7" xfId="5543" xr:uid="{00000000-0005-0000-0000-0000321F0000}"/>
    <cellStyle name="Normal 2 3 2 7 2 2 7 2" xfId="12181" xr:uid="{00000000-0005-0000-0000-0000331F0000}"/>
    <cellStyle name="Normal 2 3 2 7 2 2 7_SSL" xfId="13211" xr:uid="{00000000-0005-0000-0000-0000341F0000}"/>
    <cellStyle name="Normal 2 3 2 7 2 2 8" xfId="7595" xr:uid="{00000000-0005-0000-0000-0000351F0000}"/>
    <cellStyle name="Normal 2 3 2 7 2 2 9" xfId="6460" xr:uid="{00000000-0005-0000-0000-0000361F0000}"/>
    <cellStyle name="Normal 2 3 2 7 2 2_SSL" xfId="13536" xr:uid="{00000000-0005-0000-0000-0000371F0000}"/>
    <cellStyle name="Normal 2 3 2 7 2 3" xfId="1461" xr:uid="{00000000-0005-0000-0000-0000381F0000}"/>
    <cellStyle name="Normal 2 3 2 7 2 3 2" xfId="8116" xr:uid="{00000000-0005-0000-0000-0000391F0000}"/>
    <cellStyle name="Normal 2 3 2 7 2 3_SSL" xfId="14982" xr:uid="{00000000-0005-0000-0000-00003A1F0000}"/>
    <cellStyle name="Normal 2 3 2 7 2 4" xfId="2281" xr:uid="{00000000-0005-0000-0000-00003B1F0000}"/>
    <cellStyle name="Normal 2 3 2 7 2 4 2" xfId="8929" xr:uid="{00000000-0005-0000-0000-00003C1F0000}"/>
    <cellStyle name="Normal 2 3 2 7 2 4_SSL" xfId="15151" xr:uid="{00000000-0005-0000-0000-00003D1F0000}"/>
    <cellStyle name="Normal 2 3 2 7 2 5" xfId="3100" xr:uid="{00000000-0005-0000-0000-00003E1F0000}"/>
    <cellStyle name="Normal 2 3 2 7 2 5 2" xfId="9745" xr:uid="{00000000-0005-0000-0000-00003F1F0000}"/>
    <cellStyle name="Normal 2 3 2 7 2 5_SSL" xfId="17491" xr:uid="{00000000-0005-0000-0000-0000401F0000}"/>
    <cellStyle name="Normal 2 3 2 7 2 6" xfId="3921" xr:uid="{00000000-0005-0000-0000-0000411F0000}"/>
    <cellStyle name="Normal 2 3 2 7 2 6 2" xfId="10561" xr:uid="{00000000-0005-0000-0000-0000421F0000}"/>
    <cellStyle name="Normal 2 3 2 7 2 6_SSL" xfId="13248" xr:uid="{00000000-0005-0000-0000-0000431F0000}"/>
    <cellStyle name="Normal 2 3 2 7 2 7" xfId="4732" xr:uid="{00000000-0005-0000-0000-0000441F0000}"/>
    <cellStyle name="Normal 2 3 2 7 2 7 2" xfId="11371" xr:uid="{00000000-0005-0000-0000-0000451F0000}"/>
    <cellStyle name="Normal 2 3 2 7 2 7_SSL" xfId="15297" xr:uid="{00000000-0005-0000-0000-0000461F0000}"/>
    <cellStyle name="Normal 2 3 2 7 2 8" xfId="5542" xr:uid="{00000000-0005-0000-0000-0000471F0000}"/>
    <cellStyle name="Normal 2 3 2 7 2 8 2" xfId="12180" xr:uid="{00000000-0005-0000-0000-0000481F0000}"/>
    <cellStyle name="Normal 2 3 2 7 2 8_SSL" xfId="13052" xr:uid="{00000000-0005-0000-0000-0000491F0000}"/>
    <cellStyle name="Normal 2 3 2 7 2 9" xfId="7211" xr:uid="{00000000-0005-0000-0000-00004A1F0000}"/>
    <cellStyle name="Normal 2 3 2 7 2_SSL" xfId="17373" xr:uid="{00000000-0005-0000-0000-00004B1F0000}"/>
    <cellStyle name="Normal 2 3 2 7 3" xfId="638" xr:uid="{00000000-0005-0000-0000-00004C1F0000}"/>
    <cellStyle name="Normal 2 3 2 7 3 2" xfId="1463" xr:uid="{00000000-0005-0000-0000-00004D1F0000}"/>
    <cellStyle name="Normal 2 3 2 7 3 2 2" xfId="8118" xr:uid="{00000000-0005-0000-0000-00004E1F0000}"/>
    <cellStyle name="Normal 2 3 2 7 3 2_SSL" xfId="16662" xr:uid="{00000000-0005-0000-0000-00004F1F0000}"/>
    <cellStyle name="Normal 2 3 2 7 3 3" xfId="2283" xr:uid="{00000000-0005-0000-0000-0000501F0000}"/>
    <cellStyle name="Normal 2 3 2 7 3 3 2" xfId="8931" xr:uid="{00000000-0005-0000-0000-0000511F0000}"/>
    <cellStyle name="Normal 2 3 2 7 3 3_SSL" xfId="6033" xr:uid="{00000000-0005-0000-0000-0000521F0000}"/>
    <cellStyle name="Normal 2 3 2 7 3 4" xfId="3102" xr:uid="{00000000-0005-0000-0000-0000531F0000}"/>
    <cellStyle name="Normal 2 3 2 7 3 4 2" xfId="9747" xr:uid="{00000000-0005-0000-0000-0000541F0000}"/>
    <cellStyle name="Normal 2 3 2 7 3 4_SSL" xfId="13884" xr:uid="{00000000-0005-0000-0000-0000551F0000}"/>
    <cellStyle name="Normal 2 3 2 7 3 5" xfId="3923" xr:uid="{00000000-0005-0000-0000-0000561F0000}"/>
    <cellStyle name="Normal 2 3 2 7 3 5 2" xfId="10563" xr:uid="{00000000-0005-0000-0000-0000571F0000}"/>
    <cellStyle name="Normal 2 3 2 7 3 5_SSL" xfId="16744" xr:uid="{00000000-0005-0000-0000-0000581F0000}"/>
    <cellStyle name="Normal 2 3 2 7 3 6" xfId="4734" xr:uid="{00000000-0005-0000-0000-0000591F0000}"/>
    <cellStyle name="Normal 2 3 2 7 3 6 2" xfId="11373" xr:uid="{00000000-0005-0000-0000-00005A1F0000}"/>
    <cellStyle name="Normal 2 3 2 7 3 6_SSL" xfId="15022" xr:uid="{00000000-0005-0000-0000-00005B1F0000}"/>
    <cellStyle name="Normal 2 3 2 7 3 7" xfId="5544" xr:uid="{00000000-0005-0000-0000-00005C1F0000}"/>
    <cellStyle name="Normal 2 3 2 7 3 7 2" xfId="12182" xr:uid="{00000000-0005-0000-0000-00005D1F0000}"/>
    <cellStyle name="Normal 2 3 2 7 3 7_SSL" xfId="15143" xr:uid="{00000000-0005-0000-0000-00005E1F0000}"/>
    <cellStyle name="Normal 2 3 2 7 3 8" xfId="7494" xr:uid="{00000000-0005-0000-0000-00005F1F0000}"/>
    <cellStyle name="Normal 2 3 2 7 3 9" xfId="6461" xr:uid="{00000000-0005-0000-0000-0000601F0000}"/>
    <cellStyle name="Normal 2 3 2 7 3_SSL" xfId="13367" xr:uid="{00000000-0005-0000-0000-0000611F0000}"/>
    <cellStyle name="Normal 2 3 2 7 4" xfId="1460" xr:uid="{00000000-0005-0000-0000-0000621F0000}"/>
    <cellStyle name="Normal 2 3 2 7 4 2" xfId="8115" xr:uid="{00000000-0005-0000-0000-0000631F0000}"/>
    <cellStyle name="Normal 2 3 2 7 4_SSL" xfId="6098" xr:uid="{00000000-0005-0000-0000-0000641F0000}"/>
    <cellStyle name="Normal 2 3 2 7 5" xfId="2280" xr:uid="{00000000-0005-0000-0000-0000651F0000}"/>
    <cellStyle name="Normal 2 3 2 7 5 2" xfId="8928" xr:uid="{00000000-0005-0000-0000-0000661F0000}"/>
    <cellStyle name="Normal 2 3 2 7 5_SSL" xfId="14689" xr:uid="{00000000-0005-0000-0000-0000671F0000}"/>
    <cellStyle name="Normal 2 3 2 7 6" xfId="3099" xr:uid="{00000000-0005-0000-0000-0000681F0000}"/>
    <cellStyle name="Normal 2 3 2 7 6 2" xfId="9744" xr:uid="{00000000-0005-0000-0000-0000691F0000}"/>
    <cellStyle name="Normal 2 3 2 7 6_SSL" xfId="13077" xr:uid="{00000000-0005-0000-0000-00006A1F0000}"/>
    <cellStyle name="Normal 2 3 2 7 7" xfId="3920" xr:uid="{00000000-0005-0000-0000-00006B1F0000}"/>
    <cellStyle name="Normal 2 3 2 7 7 2" xfId="10560" xr:uid="{00000000-0005-0000-0000-00006C1F0000}"/>
    <cellStyle name="Normal 2 3 2 7 7_SSL" xfId="17261" xr:uid="{00000000-0005-0000-0000-00006D1F0000}"/>
    <cellStyle name="Normal 2 3 2 7 8" xfId="4731" xr:uid="{00000000-0005-0000-0000-00006E1F0000}"/>
    <cellStyle name="Normal 2 3 2 7 8 2" xfId="11370" xr:uid="{00000000-0005-0000-0000-00006F1F0000}"/>
    <cellStyle name="Normal 2 3 2 7 8_SSL" xfId="14309" xr:uid="{00000000-0005-0000-0000-0000701F0000}"/>
    <cellStyle name="Normal 2 3 2 7 9" xfId="5541" xr:uid="{00000000-0005-0000-0000-0000711F0000}"/>
    <cellStyle name="Normal 2 3 2 7 9 2" xfId="12179" xr:uid="{00000000-0005-0000-0000-0000721F0000}"/>
    <cellStyle name="Normal 2 3 2 7 9_SSL" xfId="13324" xr:uid="{00000000-0005-0000-0000-0000731F0000}"/>
    <cellStyle name="Normal 2 3 2 7_SSL" xfId="15000" xr:uid="{00000000-0005-0000-0000-0000741F0000}"/>
    <cellStyle name="Normal 2 3 2 8" xfId="336" xr:uid="{00000000-0005-0000-0000-0000751F0000}"/>
    <cellStyle name="Normal 2 3 2 8 10" xfId="6462" xr:uid="{00000000-0005-0000-0000-0000761F0000}"/>
    <cellStyle name="Normal 2 3 2 8 2" xfId="724" xr:uid="{00000000-0005-0000-0000-0000771F0000}"/>
    <cellStyle name="Normal 2 3 2 8 2 2" xfId="1465" xr:uid="{00000000-0005-0000-0000-0000781F0000}"/>
    <cellStyle name="Normal 2 3 2 8 2 2 2" xfId="8120" xr:uid="{00000000-0005-0000-0000-0000791F0000}"/>
    <cellStyle name="Normal 2 3 2 8 2 2_SSL" xfId="17452" xr:uid="{00000000-0005-0000-0000-00007A1F0000}"/>
    <cellStyle name="Normal 2 3 2 8 2 3" xfId="2285" xr:uid="{00000000-0005-0000-0000-00007B1F0000}"/>
    <cellStyle name="Normal 2 3 2 8 2 3 2" xfId="8933" xr:uid="{00000000-0005-0000-0000-00007C1F0000}"/>
    <cellStyle name="Normal 2 3 2 8 2 3_SSL" xfId="14118" xr:uid="{00000000-0005-0000-0000-00007D1F0000}"/>
    <cellStyle name="Normal 2 3 2 8 2 4" xfId="3104" xr:uid="{00000000-0005-0000-0000-00007E1F0000}"/>
    <cellStyle name="Normal 2 3 2 8 2 4 2" xfId="9749" xr:uid="{00000000-0005-0000-0000-00007F1F0000}"/>
    <cellStyle name="Normal 2 3 2 8 2 4_SSL" xfId="16738" xr:uid="{00000000-0005-0000-0000-0000801F0000}"/>
    <cellStyle name="Normal 2 3 2 8 2 5" xfId="3925" xr:uid="{00000000-0005-0000-0000-0000811F0000}"/>
    <cellStyle name="Normal 2 3 2 8 2 5 2" xfId="10565" xr:uid="{00000000-0005-0000-0000-0000821F0000}"/>
    <cellStyle name="Normal 2 3 2 8 2 5_SSL" xfId="15463" xr:uid="{00000000-0005-0000-0000-0000831F0000}"/>
    <cellStyle name="Normal 2 3 2 8 2 6" xfId="4736" xr:uid="{00000000-0005-0000-0000-0000841F0000}"/>
    <cellStyle name="Normal 2 3 2 8 2 6 2" xfId="11375" xr:uid="{00000000-0005-0000-0000-0000851F0000}"/>
    <cellStyle name="Normal 2 3 2 8 2 6_SSL" xfId="14951" xr:uid="{00000000-0005-0000-0000-0000861F0000}"/>
    <cellStyle name="Normal 2 3 2 8 2 7" xfId="5546" xr:uid="{00000000-0005-0000-0000-0000871F0000}"/>
    <cellStyle name="Normal 2 3 2 8 2 7 2" xfId="12184" xr:uid="{00000000-0005-0000-0000-0000881F0000}"/>
    <cellStyle name="Normal 2 3 2 8 2 7_SSL" xfId="14986" xr:uid="{00000000-0005-0000-0000-0000891F0000}"/>
    <cellStyle name="Normal 2 3 2 8 2 8" xfId="7580" xr:uid="{00000000-0005-0000-0000-00008A1F0000}"/>
    <cellStyle name="Normal 2 3 2 8 2 9" xfId="6463" xr:uid="{00000000-0005-0000-0000-00008B1F0000}"/>
    <cellStyle name="Normal 2 3 2 8 2_SSL" xfId="15326" xr:uid="{00000000-0005-0000-0000-00008C1F0000}"/>
    <cellStyle name="Normal 2 3 2 8 3" xfId="1464" xr:uid="{00000000-0005-0000-0000-00008D1F0000}"/>
    <cellStyle name="Normal 2 3 2 8 3 2" xfId="8119" xr:uid="{00000000-0005-0000-0000-00008E1F0000}"/>
    <cellStyle name="Normal 2 3 2 8 3_SSL" xfId="13342" xr:uid="{00000000-0005-0000-0000-00008F1F0000}"/>
    <cellStyle name="Normal 2 3 2 8 4" xfId="2284" xr:uid="{00000000-0005-0000-0000-0000901F0000}"/>
    <cellStyle name="Normal 2 3 2 8 4 2" xfId="8932" xr:uid="{00000000-0005-0000-0000-0000911F0000}"/>
    <cellStyle name="Normal 2 3 2 8 4_SSL" xfId="13481" xr:uid="{00000000-0005-0000-0000-0000921F0000}"/>
    <cellStyle name="Normal 2 3 2 8 5" xfId="3103" xr:uid="{00000000-0005-0000-0000-0000931F0000}"/>
    <cellStyle name="Normal 2 3 2 8 5 2" xfId="9748" xr:uid="{00000000-0005-0000-0000-0000941F0000}"/>
    <cellStyle name="Normal 2 3 2 8 5_SSL" xfId="17505" xr:uid="{00000000-0005-0000-0000-0000951F0000}"/>
    <cellStyle name="Normal 2 3 2 8 6" xfId="3924" xr:uid="{00000000-0005-0000-0000-0000961F0000}"/>
    <cellStyle name="Normal 2 3 2 8 6 2" xfId="10564" xr:uid="{00000000-0005-0000-0000-0000971F0000}"/>
    <cellStyle name="Normal 2 3 2 8 6_SSL" xfId="12916" xr:uid="{00000000-0005-0000-0000-0000981F0000}"/>
    <cellStyle name="Normal 2 3 2 8 7" xfId="4735" xr:uid="{00000000-0005-0000-0000-0000991F0000}"/>
    <cellStyle name="Normal 2 3 2 8 7 2" xfId="11374" xr:uid="{00000000-0005-0000-0000-00009A1F0000}"/>
    <cellStyle name="Normal 2 3 2 8 7_SSL" xfId="16130" xr:uid="{00000000-0005-0000-0000-00009B1F0000}"/>
    <cellStyle name="Normal 2 3 2 8 8" xfId="5545" xr:uid="{00000000-0005-0000-0000-00009C1F0000}"/>
    <cellStyle name="Normal 2 3 2 8 8 2" xfId="12183" xr:uid="{00000000-0005-0000-0000-00009D1F0000}"/>
    <cellStyle name="Normal 2 3 2 8 8_SSL" xfId="13681" xr:uid="{00000000-0005-0000-0000-00009E1F0000}"/>
    <cellStyle name="Normal 2 3 2 8 9" xfId="7196" xr:uid="{00000000-0005-0000-0000-00009F1F0000}"/>
    <cellStyle name="Normal 2 3 2 8_SSL" xfId="13705" xr:uid="{00000000-0005-0000-0000-0000A01F0000}"/>
    <cellStyle name="Normal 2 3 2 9" xfId="471" xr:uid="{00000000-0005-0000-0000-0000A11F0000}"/>
    <cellStyle name="Normal 2 3 2 9 2" xfId="1466" xr:uid="{00000000-0005-0000-0000-0000A21F0000}"/>
    <cellStyle name="Normal 2 3 2 9 2 2" xfId="8121" xr:uid="{00000000-0005-0000-0000-0000A31F0000}"/>
    <cellStyle name="Normal 2 3 2 9 2_SSL" xfId="9376" xr:uid="{00000000-0005-0000-0000-0000A41F0000}"/>
    <cellStyle name="Normal 2 3 2 9 3" xfId="2286" xr:uid="{00000000-0005-0000-0000-0000A51F0000}"/>
    <cellStyle name="Normal 2 3 2 9 3 2" xfId="8934" xr:uid="{00000000-0005-0000-0000-0000A61F0000}"/>
    <cellStyle name="Normal 2 3 2 9 3_SSL" xfId="16202" xr:uid="{00000000-0005-0000-0000-0000A71F0000}"/>
    <cellStyle name="Normal 2 3 2 9 4" xfId="3105" xr:uid="{00000000-0005-0000-0000-0000A81F0000}"/>
    <cellStyle name="Normal 2 3 2 9 4 2" xfId="9750" xr:uid="{00000000-0005-0000-0000-0000A91F0000}"/>
    <cellStyle name="Normal 2 3 2 9 4_SSL" xfId="14451" xr:uid="{00000000-0005-0000-0000-0000AA1F0000}"/>
    <cellStyle name="Normal 2 3 2 9 5" xfId="3926" xr:uid="{00000000-0005-0000-0000-0000AB1F0000}"/>
    <cellStyle name="Normal 2 3 2 9 5 2" xfId="10566" xr:uid="{00000000-0005-0000-0000-0000AC1F0000}"/>
    <cellStyle name="Normal 2 3 2 9 5_SSL" xfId="17218" xr:uid="{00000000-0005-0000-0000-0000AD1F0000}"/>
    <cellStyle name="Normal 2 3 2 9 6" xfId="4737" xr:uid="{00000000-0005-0000-0000-0000AE1F0000}"/>
    <cellStyle name="Normal 2 3 2 9 6 2" xfId="11376" xr:uid="{00000000-0005-0000-0000-0000AF1F0000}"/>
    <cellStyle name="Normal 2 3 2 9 6_SSL" xfId="16235" xr:uid="{00000000-0005-0000-0000-0000B01F0000}"/>
    <cellStyle name="Normal 2 3 2 9 7" xfId="5547" xr:uid="{00000000-0005-0000-0000-0000B11F0000}"/>
    <cellStyle name="Normal 2 3 2 9 7 2" xfId="12185" xr:uid="{00000000-0005-0000-0000-0000B21F0000}"/>
    <cellStyle name="Normal 2 3 2 9 7_SSL" xfId="13548" xr:uid="{00000000-0005-0000-0000-0000B31F0000}"/>
    <cellStyle name="Normal 2 3 2 9 8" xfId="7327" xr:uid="{00000000-0005-0000-0000-0000B41F0000}"/>
    <cellStyle name="Normal 2 3 2 9 9" xfId="6464" xr:uid="{00000000-0005-0000-0000-0000B51F0000}"/>
    <cellStyle name="Normal 2 3 2 9_SSL" xfId="14602" xr:uid="{00000000-0005-0000-0000-0000B61F0000}"/>
    <cellStyle name="Normal 2 3 2_SSL" xfId="14139" xr:uid="{00000000-0005-0000-0000-0000B71F0000}"/>
    <cellStyle name="Normal 2 3 3" xfId="65" xr:uid="{00000000-0005-0000-0000-0000B81F0000}"/>
    <cellStyle name="Normal 2 3 3 10" xfId="2287" xr:uid="{00000000-0005-0000-0000-0000B91F0000}"/>
    <cellStyle name="Normal 2 3 3 10 2" xfId="8935" xr:uid="{00000000-0005-0000-0000-0000BA1F0000}"/>
    <cellStyle name="Normal 2 3 3 10_SSL" xfId="5998" xr:uid="{00000000-0005-0000-0000-0000BB1F0000}"/>
    <cellStyle name="Normal 2 3 3 11" xfId="3106" xr:uid="{00000000-0005-0000-0000-0000BC1F0000}"/>
    <cellStyle name="Normal 2 3 3 11 2" xfId="9751" xr:uid="{00000000-0005-0000-0000-0000BD1F0000}"/>
    <cellStyle name="Normal 2 3 3 11_SSL" xfId="14348" xr:uid="{00000000-0005-0000-0000-0000BE1F0000}"/>
    <cellStyle name="Normal 2 3 3 12" xfId="3927" xr:uid="{00000000-0005-0000-0000-0000BF1F0000}"/>
    <cellStyle name="Normal 2 3 3 12 2" xfId="10567" xr:uid="{00000000-0005-0000-0000-0000C01F0000}"/>
    <cellStyle name="Normal 2 3 3 12_SSL" xfId="14165" xr:uid="{00000000-0005-0000-0000-0000C11F0000}"/>
    <cellStyle name="Normal 2 3 3 13" xfId="4738" xr:uid="{00000000-0005-0000-0000-0000C21F0000}"/>
    <cellStyle name="Normal 2 3 3 13 2" xfId="11377" xr:uid="{00000000-0005-0000-0000-0000C31F0000}"/>
    <cellStyle name="Normal 2 3 3 13_SSL" xfId="14924" xr:uid="{00000000-0005-0000-0000-0000C41F0000}"/>
    <cellStyle name="Normal 2 3 3 14" xfId="5548" xr:uid="{00000000-0005-0000-0000-0000C51F0000}"/>
    <cellStyle name="Normal 2 3 3 14 2" xfId="12186" xr:uid="{00000000-0005-0000-0000-0000C61F0000}"/>
    <cellStyle name="Normal 2 3 3 14_SSL" xfId="15212" xr:uid="{00000000-0005-0000-0000-0000C71F0000}"/>
    <cellStyle name="Normal 2 3 3 15" xfId="6950" xr:uid="{00000000-0005-0000-0000-0000C81F0000}"/>
    <cellStyle name="Normal 2 3 3 16" xfId="6465" xr:uid="{00000000-0005-0000-0000-0000C91F0000}"/>
    <cellStyle name="Normal 2 3 3 2" xfId="94" xr:uid="{00000000-0005-0000-0000-0000CA1F0000}"/>
    <cellStyle name="Normal 2 3 3 2 10" xfId="5549" xr:uid="{00000000-0005-0000-0000-0000CB1F0000}"/>
    <cellStyle name="Normal 2 3 3 2 10 2" xfId="12187" xr:uid="{00000000-0005-0000-0000-0000CC1F0000}"/>
    <cellStyle name="Normal 2 3 3 2 10_SSL" xfId="14564" xr:uid="{00000000-0005-0000-0000-0000CD1F0000}"/>
    <cellStyle name="Normal 2 3 3 2 11" xfId="6973" xr:uid="{00000000-0005-0000-0000-0000CE1F0000}"/>
    <cellStyle name="Normal 2 3 3 2 12" xfId="6466" xr:uid="{00000000-0005-0000-0000-0000CF1F0000}"/>
    <cellStyle name="Normal 2 3 3 2 2" xfId="192" xr:uid="{00000000-0005-0000-0000-0000D01F0000}"/>
    <cellStyle name="Normal 2 3 3 2 2 10" xfId="7069" xr:uid="{00000000-0005-0000-0000-0000D11F0000}"/>
    <cellStyle name="Normal 2 3 3 2 2 11" xfId="6467" xr:uid="{00000000-0005-0000-0000-0000D21F0000}"/>
    <cellStyle name="Normal 2 3 3 2 2 2" xfId="354" xr:uid="{00000000-0005-0000-0000-0000D31F0000}"/>
    <cellStyle name="Normal 2 3 3 2 2 2 10" xfId="6468" xr:uid="{00000000-0005-0000-0000-0000D41F0000}"/>
    <cellStyle name="Normal 2 3 3 2 2 2 2" xfId="742" xr:uid="{00000000-0005-0000-0000-0000D51F0000}"/>
    <cellStyle name="Normal 2 3 3 2 2 2 2 2" xfId="1471" xr:uid="{00000000-0005-0000-0000-0000D61F0000}"/>
    <cellStyle name="Normal 2 3 3 2 2 2 2 2 2" xfId="8126" xr:uid="{00000000-0005-0000-0000-0000D71F0000}"/>
    <cellStyle name="Normal 2 3 3 2 2 2 2 2_SSL" xfId="16190" xr:uid="{00000000-0005-0000-0000-0000D81F0000}"/>
    <cellStyle name="Normal 2 3 3 2 2 2 2 3" xfId="2291" xr:uid="{00000000-0005-0000-0000-0000D91F0000}"/>
    <cellStyle name="Normal 2 3 3 2 2 2 2 3 2" xfId="8939" xr:uid="{00000000-0005-0000-0000-0000DA1F0000}"/>
    <cellStyle name="Normal 2 3 3 2 2 2 2 3_SSL" xfId="15621" xr:uid="{00000000-0005-0000-0000-0000DB1F0000}"/>
    <cellStyle name="Normal 2 3 3 2 2 2 2 4" xfId="3110" xr:uid="{00000000-0005-0000-0000-0000DC1F0000}"/>
    <cellStyle name="Normal 2 3 3 2 2 2 2 4 2" xfId="9755" xr:uid="{00000000-0005-0000-0000-0000DD1F0000}"/>
    <cellStyle name="Normal 2 3 3 2 2 2 2 4_SSL" xfId="12950" xr:uid="{00000000-0005-0000-0000-0000DE1F0000}"/>
    <cellStyle name="Normal 2 3 3 2 2 2 2 5" xfId="3931" xr:uid="{00000000-0005-0000-0000-0000DF1F0000}"/>
    <cellStyle name="Normal 2 3 3 2 2 2 2 5 2" xfId="10571" xr:uid="{00000000-0005-0000-0000-0000E01F0000}"/>
    <cellStyle name="Normal 2 3 3 2 2 2 2 5_SSL" xfId="14236" xr:uid="{00000000-0005-0000-0000-0000E11F0000}"/>
    <cellStyle name="Normal 2 3 3 2 2 2 2 6" xfId="4742" xr:uid="{00000000-0005-0000-0000-0000E21F0000}"/>
    <cellStyle name="Normal 2 3 3 2 2 2 2 6 2" xfId="11381" xr:uid="{00000000-0005-0000-0000-0000E31F0000}"/>
    <cellStyle name="Normal 2 3 3 2 2 2 2 6_SSL" xfId="13152" xr:uid="{00000000-0005-0000-0000-0000E41F0000}"/>
    <cellStyle name="Normal 2 3 3 2 2 2 2 7" xfId="5552" xr:uid="{00000000-0005-0000-0000-0000E51F0000}"/>
    <cellStyle name="Normal 2 3 3 2 2 2 2 7 2" xfId="12190" xr:uid="{00000000-0005-0000-0000-0000E61F0000}"/>
    <cellStyle name="Normal 2 3 3 2 2 2 2 7_SSL" xfId="15842" xr:uid="{00000000-0005-0000-0000-0000E71F0000}"/>
    <cellStyle name="Normal 2 3 3 2 2 2 2 8" xfId="7598" xr:uid="{00000000-0005-0000-0000-0000E81F0000}"/>
    <cellStyle name="Normal 2 3 3 2 2 2 2 9" xfId="6469" xr:uid="{00000000-0005-0000-0000-0000E91F0000}"/>
    <cellStyle name="Normal 2 3 3 2 2 2 2_SSL" xfId="15381" xr:uid="{00000000-0005-0000-0000-0000EA1F0000}"/>
    <cellStyle name="Normal 2 3 3 2 2 2 3" xfId="1470" xr:uid="{00000000-0005-0000-0000-0000EB1F0000}"/>
    <cellStyle name="Normal 2 3 3 2 2 2 3 2" xfId="8125" xr:uid="{00000000-0005-0000-0000-0000EC1F0000}"/>
    <cellStyle name="Normal 2 3 3 2 2 2 3_SSL" xfId="13383" xr:uid="{00000000-0005-0000-0000-0000ED1F0000}"/>
    <cellStyle name="Normal 2 3 3 2 2 2 4" xfId="2290" xr:uid="{00000000-0005-0000-0000-0000EE1F0000}"/>
    <cellStyle name="Normal 2 3 3 2 2 2 4 2" xfId="8938" xr:uid="{00000000-0005-0000-0000-0000EF1F0000}"/>
    <cellStyle name="Normal 2 3 3 2 2 2 4_SSL" xfId="14889" xr:uid="{00000000-0005-0000-0000-0000F01F0000}"/>
    <cellStyle name="Normal 2 3 3 2 2 2 5" xfId="3109" xr:uid="{00000000-0005-0000-0000-0000F11F0000}"/>
    <cellStyle name="Normal 2 3 3 2 2 2 5 2" xfId="9754" xr:uid="{00000000-0005-0000-0000-0000F21F0000}"/>
    <cellStyle name="Normal 2 3 3 2 2 2 5_SSL" xfId="16545" xr:uid="{00000000-0005-0000-0000-0000F31F0000}"/>
    <cellStyle name="Normal 2 3 3 2 2 2 6" xfId="3930" xr:uid="{00000000-0005-0000-0000-0000F41F0000}"/>
    <cellStyle name="Normal 2 3 3 2 2 2 6 2" xfId="10570" xr:uid="{00000000-0005-0000-0000-0000F51F0000}"/>
    <cellStyle name="Normal 2 3 3 2 2 2 6_SSL" xfId="16285" xr:uid="{00000000-0005-0000-0000-0000F61F0000}"/>
    <cellStyle name="Normal 2 3 3 2 2 2 7" xfId="4741" xr:uid="{00000000-0005-0000-0000-0000F71F0000}"/>
    <cellStyle name="Normal 2 3 3 2 2 2 7 2" xfId="11380" xr:uid="{00000000-0005-0000-0000-0000F81F0000}"/>
    <cellStyle name="Normal 2 3 3 2 2 2 7_SSL" xfId="6918" xr:uid="{00000000-0005-0000-0000-0000F91F0000}"/>
    <cellStyle name="Normal 2 3 3 2 2 2 8" xfId="5551" xr:uid="{00000000-0005-0000-0000-0000FA1F0000}"/>
    <cellStyle name="Normal 2 3 3 2 2 2 8 2" xfId="12189" xr:uid="{00000000-0005-0000-0000-0000FB1F0000}"/>
    <cellStyle name="Normal 2 3 3 2 2 2 8_SSL" xfId="17112" xr:uid="{00000000-0005-0000-0000-0000FC1F0000}"/>
    <cellStyle name="Normal 2 3 3 2 2 2 9" xfId="7214" xr:uid="{00000000-0005-0000-0000-0000FD1F0000}"/>
    <cellStyle name="Normal 2 3 3 2 2 2_SSL" xfId="15755" xr:uid="{00000000-0005-0000-0000-0000FE1F0000}"/>
    <cellStyle name="Normal 2 3 3 2 2 3" xfId="597" xr:uid="{00000000-0005-0000-0000-0000FF1F0000}"/>
    <cellStyle name="Normal 2 3 3 2 2 3 2" xfId="1472" xr:uid="{00000000-0005-0000-0000-000000200000}"/>
    <cellStyle name="Normal 2 3 3 2 2 3 2 2" xfId="8127" xr:uid="{00000000-0005-0000-0000-000001200000}"/>
    <cellStyle name="Normal 2 3 3 2 2 3 2_SSL" xfId="13441" xr:uid="{00000000-0005-0000-0000-000002200000}"/>
    <cellStyle name="Normal 2 3 3 2 2 3 3" xfId="2292" xr:uid="{00000000-0005-0000-0000-000003200000}"/>
    <cellStyle name="Normal 2 3 3 2 2 3 3 2" xfId="8940" xr:uid="{00000000-0005-0000-0000-000004200000}"/>
    <cellStyle name="Normal 2 3 3 2 2 3 3_SSL" xfId="15952" xr:uid="{00000000-0005-0000-0000-000005200000}"/>
    <cellStyle name="Normal 2 3 3 2 2 3 4" xfId="3111" xr:uid="{00000000-0005-0000-0000-000006200000}"/>
    <cellStyle name="Normal 2 3 3 2 2 3 4 2" xfId="9756" xr:uid="{00000000-0005-0000-0000-000007200000}"/>
    <cellStyle name="Normal 2 3 3 2 2 3 4_SSL" xfId="17553" xr:uid="{00000000-0005-0000-0000-000008200000}"/>
    <cellStyle name="Normal 2 3 3 2 2 3 5" xfId="3932" xr:uid="{00000000-0005-0000-0000-000009200000}"/>
    <cellStyle name="Normal 2 3 3 2 2 3 5 2" xfId="10572" xr:uid="{00000000-0005-0000-0000-00000A200000}"/>
    <cellStyle name="Normal 2 3 3 2 2 3 5_SSL" xfId="17911" xr:uid="{00000000-0005-0000-0000-00000B200000}"/>
    <cellStyle name="Normal 2 3 3 2 2 3 6" xfId="4743" xr:uid="{00000000-0005-0000-0000-00000C200000}"/>
    <cellStyle name="Normal 2 3 3 2 2 3 6 2" xfId="11382" xr:uid="{00000000-0005-0000-0000-00000D200000}"/>
    <cellStyle name="Normal 2 3 3 2 2 3 6_SSL" xfId="13866" xr:uid="{00000000-0005-0000-0000-00000E200000}"/>
    <cellStyle name="Normal 2 3 3 2 2 3 7" xfId="5553" xr:uid="{00000000-0005-0000-0000-00000F200000}"/>
    <cellStyle name="Normal 2 3 3 2 2 3 7 2" xfId="12191" xr:uid="{00000000-0005-0000-0000-000010200000}"/>
    <cellStyle name="Normal 2 3 3 2 2 3 7_SSL" xfId="16139" xr:uid="{00000000-0005-0000-0000-000011200000}"/>
    <cellStyle name="Normal 2 3 3 2 2 3 8" xfId="7453" xr:uid="{00000000-0005-0000-0000-000012200000}"/>
    <cellStyle name="Normal 2 3 3 2 2 3 9" xfId="6470" xr:uid="{00000000-0005-0000-0000-000013200000}"/>
    <cellStyle name="Normal 2 3 3 2 2 3_SSL" xfId="17273" xr:uid="{00000000-0005-0000-0000-000014200000}"/>
    <cellStyle name="Normal 2 3 3 2 2 4" xfId="1469" xr:uid="{00000000-0005-0000-0000-000015200000}"/>
    <cellStyle name="Normal 2 3 3 2 2 4 2" xfId="8124" xr:uid="{00000000-0005-0000-0000-000016200000}"/>
    <cellStyle name="Normal 2 3 3 2 2 4_SSL" xfId="14068" xr:uid="{00000000-0005-0000-0000-000017200000}"/>
    <cellStyle name="Normal 2 3 3 2 2 5" xfId="2289" xr:uid="{00000000-0005-0000-0000-000018200000}"/>
    <cellStyle name="Normal 2 3 3 2 2 5 2" xfId="8937" xr:uid="{00000000-0005-0000-0000-000019200000}"/>
    <cellStyle name="Normal 2 3 3 2 2 5_SSL" xfId="16581" xr:uid="{00000000-0005-0000-0000-00001A200000}"/>
    <cellStyle name="Normal 2 3 3 2 2 6" xfId="3108" xr:uid="{00000000-0005-0000-0000-00001B200000}"/>
    <cellStyle name="Normal 2 3 3 2 2 6 2" xfId="9753" xr:uid="{00000000-0005-0000-0000-00001C200000}"/>
    <cellStyle name="Normal 2 3 3 2 2 6_SSL" xfId="17390" xr:uid="{00000000-0005-0000-0000-00001D200000}"/>
    <cellStyle name="Normal 2 3 3 2 2 7" xfId="3929" xr:uid="{00000000-0005-0000-0000-00001E200000}"/>
    <cellStyle name="Normal 2 3 3 2 2 7 2" xfId="10569" xr:uid="{00000000-0005-0000-0000-00001F200000}"/>
    <cellStyle name="Normal 2 3 3 2 2 7_SSL" xfId="15161" xr:uid="{00000000-0005-0000-0000-000020200000}"/>
    <cellStyle name="Normal 2 3 3 2 2 8" xfId="4740" xr:uid="{00000000-0005-0000-0000-000021200000}"/>
    <cellStyle name="Normal 2 3 3 2 2 8 2" xfId="11379" xr:uid="{00000000-0005-0000-0000-000022200000}"/>
    <cellStyle name="Normal 2 3 3 2 2 8_SSL" xfId="12685" xr:uid="{00000000-0005-0000-0000-000023200000}"/>
    <cellStyle name="Normal 2 3 3 2 2 9" xfId="5550" xr:uid="{00000000-0005-0000-0000-000024200000}"/>
    <cellStyle name="Normal 2 3 3 2 2 9 2" xfId="12188" xr:uid="{00000000-0005-0000-0000-000025200000}"/>
    <cellStyle name="Normal 2 3 3 2 2 9_SSL" xfId="15969" xr:uid="{00000000-0005-0000-0000-000026200000}"/>
    <cellStyle name="Normal 2 3 3 2 2_SSL" xfId="14997" xr:uid="{00000000-0005-0000-0000-000027200000}"/>
    <cellStyle name="Normal 2 3 3 2 3" xfId="353" xr:uid="{00000000-0005-0000-0000-000028200000}"/>
    <cellStyle name="Normal 2 3 3 2 3 10" xfId="6471" xr:uid="{00000000-0005-0000-0000-000029200000}"/>
    <cellStyle name="Normal 2 3 3 2 3 2" xfId="741" xr:uid="{00000000-0005-0000-0000-00002A200000}"/>
    <cellStyle name="Normal 2 3 3 2 3 2 2" xfId="1474" xr:uid="{00000000-0005-0000-0000-00002B200000}"/>
    <cellStyle name="Normal 2 3 3 2 3 2 2 2" xfId="8129" xr:uid="{00000000-0005-0000-0000-00002C200000}"/>
    <cellStyle name="Normal 2 3 3 2 3 2 2_SSL" xfId="15922" xr:uid="{00000000-0005-0000-0000-00002D200000}"/>
    <cellStyle name="Normal 2 3 3 2 3 2 3" xfId="2294" xr:uid="{00000000-0005-0000-0000-00002E200000}"/>
    <cellStyle name="Normal 2 3 3 2 3 2 3 2" xfId="8942" xr:uid="{00000000-0005-0000-0000-00002F200000}"/>
    <cellStyle name="Normal 2 3 3 2 3 2 3_SSL" xfId="14155" xr:uid="{00000000-0005-0000-0000-000030200000}"/>
    <cellStyle name="Normal 2 3 3 2 3 2 4" xfId="3113" xr:uid="{00000000-0005-0000-0000-000031200000}"/>
    <cellStyle name="Normal 2 3 3 2 3 2 4 2" xfId="9758" xr:uid="{00000000-0005-0000-0000-000032200000}"/>
    <cellStyle name="Normal 2 3 3 2 3 2 4_SSL" xfId="15553" xr:uid="{00000000-0005-0000-0000-000033200000}"/>
    <cellStyle name="Normal 2 3 3 2 3 2 5" xfId="3934" xr:uid="{00000000-0005-0000-0000-000034200000}"/>
    <cellStyle name="Normal 2 3 3 2 3 2 5 2" xfId="10574" xr:uid="{00000000-0005-0000-0000-000035200000}"/>
    <cellStyle name="Normal 2 3 3 2 3 2 5_SSL" xfId="16414" xr:uid="{00000000-0005-0000-0000-000036200000}"/>
    <cellStyle name="Normal 2 3 3 2 3 2 6" xfId="4745" xr:uid="{00000000-0005-0000-0000-000037200000}"/>
    <cellStyle name="Normal 2 3 3 2 3 2 6 2" xfId="11384" xr:uid="{00000000-0005-0000-0000-000038200000}"/>
    <cellStyle name="Normal 2 3 3 2 3 2 6_SSL" xfId="17782" xr:uid="{00000000-0005-0000-0000-000039200000}"/>
    <cellStyle name="Normal 2 3 3 2 3 2 7" xfId="5555" xr:uid="{00000000-0005-0000-0000-00003A200000}"/>
    <cellStyle name="Normal 2 3 3 2 3 2 7 2" xfId="12193" xr:uid="{00000000-0005-0000-0000-00003B200000}"/>
    <cellStyle name="Normal 2 3 3 2 3 2 7_SSL" xfId="16651" xr:uid="{00000000-0005-0000-0000-00003C200000}"/>
    <cellStyle name="Normal 2 3 3 2 3 2 8" xfId="7597" xr:uid="{00000000-0005-0000-0000-00003D200000}"/>
    <cellStyle name="Normal 2 3 3 2 3 2 9" xfId="6472" xr:uid="{00000000-0005-0000-0000-00003E200000}"/>
    <cellStyle name="Normal 2 3 3 2 3 2_SSL" xfId="14307" xr:uid="{00000000-0005-0000-0000-00003F200000}"/>
    <cellStyle name="Normal 2 3 3 2 3 3" xfId="1473" xr:uid="{00000000-0005-0000-0000-000040200000}"/>
    <cellStyle name="Normal 2 3 3 2 3 3 2" xfId="8128" xr:uid="{00000000-0005-0000-0000-000041200000}"/>
    <cellStyle name="Normal 2 3 3 2 3 3_SSL" xfId="17190" xr:uid="{00000000-0005-0000-0000-000042200000}"/>
    <cellStyle name="Normal 2 3 3 2 3 4" xfId="2293" xr:uid="{00000000-0005-0000-0000-000043200000}"/>
    <cellStyle name="Normal 2 3 3 2 3 4 2" xfId="8941" xr:uid="{00000000-0005-0000-0000-000044200000}"/>
    <cellStyle name="Normal 2 3 3 2 3 4_SSL" xfId="14145" xr:uid="{00000000-0005-0000-0000-000045200000}"/>
    <cellStyle name="Normal 2 3 3 2 3 5" xfId="3112" xr:uid="{00000000-0005-0000-0000-000046200000}"/>
    <cellStyle name="Normal 2 3 3 2 3 5 2" xfId="9757" xr:uid="{00000000-0005-0000-0000-000047200000}"/>
    <cellStyle name="Normal 2 3 3 2 3 5_SSL" xfId="15069" xr:uid="{00000000-0005-0000-0000-000048200000}"/>
    <cellStyle name="Normal 2 3 3 2 3 6" xfId="3933" xr:uid="{00000000-0005-0000-0000-000049200000}"/>
    <cellStyle name="Normal 2 3 3 2 3 6 2" xfId="10573" xr:uid="{00000000-0005-0000-0000-00004A200000}"/>
    <cellStyle name="Normal 2 3 3 2 3 6_SSL" xfId="16647" xr:uid="{00000000-0005-0000-0000-00004B200000}"/>
    <cellStyle name="Normal 2 3 3 2 3 7" xfId="4744" xr:uid="{00000000-0005-0000-0000-00004C200000}"/>
    <cellStyle name="Normal 2 3 3 2 3 7 2" xfId="11383" xr:uid="{00000000-0005-0000-0000-00004D200000}"/>
    <cellStyle name="Normal 2 3 3 2 3 7_SSL" xfId="17393" xr:uid="{00000000-0005-0000-0000-00004E200000}"/>
    <cellStyle name="Normal 2 3 3 2 3 8" xfId="5554" xr:uid="{00000000-0005-0000-0000-00004F200000}"/>
    <cellStyle name="Normal 2 3 3 2 3 8 2" xfId="12192" xr:uid="{00000000-0005-0000-0000-000050200000}"/>
    <cellStyle name="Normal 2 3 3 2 3 8_SSL" xfId="17902" xr:uid="{00000000-0005-0000-0000-000051200000}"/>
    <cellStyle name="Normal 2 3 3 2 3 9" xfId="7213" xr:uid="{00000000-0005-0000-0000-000052200000}"/>
    <cellStyle name="Normal 2 3 3 2 3_SSL" xfId="17684" xr:uid="{00000000-0005-0000-0000-000053200000}"/>
    <cellStyle name="Normal 2 3 3 2 4" xfId="501" xr:uid="{00000000-0005-0000-0000-000054200000}"/>
    <cellStyle name="Normal 2 3 3 2 4 2" xfId="1475" xr:uid="{00000000-0005-0000-0000-000055200000}"/>
    <cellStyle name="Normal 2 3 3 2 4 2 2" xfId="8130" xr:uid="{00000000-0005-0000-0000-000056200000}"/>
    <cellStyle name="Normal 2 3 3 2 4 2_SSL" xfId="9410" xr:uid="{00000000-0005-0000-0000-000057200000}"/>
    <cellStyle name="Normal 2 3 3 2 4 3" xfId="2295" xr:uid="{00000000-0005-0000-0000-000058200000}"/>
    <cellStyle name="Normal 2 3 3 2 4 3 2" xfId="8943" xr:uid="{00000000-0005-0000-0000-000059200000}"/>
    <cellStyle name="Normal 2 3 3 2 4 3_SSL" xfId="13940" xr:uid="{00000000-0005-0000-0000-00005A200000}"/>
    <cellStyle name="Normal 2 3 3 2 4 4" xfId="3114" xr:uid="{00000000-0005-0000-0000-00005B200000}"/>
    <cellStyle name="Normal 2 3 3 2 4 4 2" xfId="9759" xr:uid="{00000000-0005-0000-0000-00005C200000}"/>
    <cellStyle name="Normal 2 3 3 2 4 4_SSL" xfId="15389" xr:uid="{00000000-0005-0000-0000-00005D200000}"/>
    <cellStyle name="Normal 2 3 3 2 4 5" xfId="3935" xr:uid="{00000000-0005-0000-0000-00005E200000}"/>
    <cellStyle name="Normal 2 3 3 2 4 5 2" xfId="10575" xr:uid="{00000000-0005-0000-0000-00005F200000}"/>
    <cellStyle name="Normal 2 3 3 2 4 5_SSL" xfId="12726" xr:uid="{00000000-0005-0000-0000-000060200000}"/>
    <cellStyle name="Normal 2 3 3 2 4 6" xfId="4746" xr:uid="{00000000-0005-0000-0000-000061200000}"/>
    <cellStyle name="Normal 2 3 3 2 4 6 2" xfId="11385" xr:uid="{00000000-0005-0000-0000-000062200000}"/>
    <cellStyle name="Normal 2 3 3 2 4 6_SSL" xfId="16778" xr:uid="{00000000-0005-0000-0000-000063200000}"/>
    <cellStyle name="Normal 2 3 3 2 4 7" xfId="5556" xr:uid="{00000000-0005-0000-0000-000064200000}"/>
    <cellStyle name="Normal 2 3 3 2 4 7 2" xfId="12194" xr:uid="{00000000-0005-0000-0000-000065200000}"/>
    <cellStyle name="Normal 2 3 3 2 4 7_SSL" xfId="14392" xr:uid="{00000000-0005-0000-0000-000066200000}"/>
    <cellStyle name="Normal 2 3 3 2 4 8" xfId="7357" xr:uid="{00000000-0005-0000-0000-000067200000}"/>
    <cellStyle name="Normal 2 3 3 2 4 9" xfId="6473" xr:uid="{00000000-0005-0000-0000-000068200000}"/>
    <cellStyle name="Normal 2 3 3 2 4_SSL" xfId="16042" xr:uid="{00000000-0005-0000-0000-000069200000}"/>
    <cellStyle name="Normal 2 3 3 2 5" xfId="1468" xr:uid="{00000000-0005-0000-0000-00006A200000}"/>
    <cellStyle name="Normal 2 3 3 2 5 2" xfId="8123" xr:uid="{00000000-0005-0000-0000-00006B200000}"/>
    <cellStyle name="Normal 2 3 3 2 5_SSL" xfId="13817" xr:uid="{00000000-0005-0000-0000-00006C200000}"/>
    <cellStyle name="Normal 2 3 3 2 6" xfId="2288" xr:uid="{00000000-0005-0000-0000-00006D200000}"/>
    <cellStyle name="Normal 2 3 3 2 6 2" xfId="8936" xr:uid="{00000000-0005-0000-0000-00006E200000}"/>
    <cellStyle name="Normal 2 3 3 2 6_SSL" xfId="14765" xr:uid="{00000000-0005-0000-0000-00006F200000}"/>
    <cellStyle name="Normal 2 3 3 2 7" xfId="3107" xr:uid="{00000000-0005-0000-0000-000070200000}"/>
    <cellStyle name="Normal 2 3 3 2 7 2" xfId="9752" xr:uid="{00000000-0005-0000-0000-000071200000}"/>
    <cellStyle name="Normal 2 3 3 2 7_SSL" xfId="15779" xr:uid="{00000000-0005-0000-0000-000072200000}"/>
    <cellStyle name="Normal 2 3 3 2 8" xfId="3928" xr:uid="{00000000-0005-0000-0000-000073200000}"/>
    <cellStyle name="Normal 2 3 3 2 8 2" xfId="10568" xr:uid="{00000000-0005-0000-0000-000074200000}"/>
    <cellStyle name="Normal 2 3 3 2 8_SSL" xfId="13642" xr:uid="{00000000-0005-0000-0000-000075200000}"/>
    <cellStyle name="Normal 2 3 3 2 9" xfId="4739" xr:uid="{00000000-0005-0000-0000-000076200000}"/>
    <cellStyle name="Normal 2 3 3 2 9 2" xfId="11378" xr:uid="{00000000-0005-0000-0000-000077200000}"/>
    <cellStyle name="Normal 2 3 3 2 9_SSL" xfId="14264" xr:uid="{00000000-0005-0000-0000-000078200000}"/>
    <cellStyle name="Normal 2 3 3 2_SSL" xfId="17887" xr:uid="{00000000-0005-0000-0000-000079200000}"/>
    <cellStyle name="Normal 2 3 3 3" xfId="119" xr:uid="{00000000-0005-0000-0000-00007A200000}"/>
    <cellStyle name="Normal 2 3 3 3 10" xfId="5557" xr:uid="{00000000-0005-0000-0000-00007B200000}"/>
    <cellStyle name="Normal 2 3 3 3 10 2" xfId="12195" xr:uid="{00000000-0005-0000-0000-00007C200000}"/>
    <cellStyle name="Normal 2 3 3 3 10_SSL" xfId="17674" xr:uid="{00000000-0005-0000-0000-00007D200000}"/>
    <cellStyle name="Normal 2 3 3 3 11" xfId="6996" xr:uid="{00000000-0005-0000-0000-00007E200000}"/>
    <cellStyle name="Normal 2 3 3 3 12" xfId="6474" xr:uid="{00000000-0005-0000-0000-00007F200000}"/>
    <cellStyle name="Normal 2 3 3 3 2" xfId="215" xr:uid="{00000000-0005-0000-0000-000080200000}"/>
    <cellStyle name="Normal 2 3 3 3 2 10" xfId="7092" xr:uid="{00000000-0005-0000-0000-000081200000}"/>
    <cellStyle name="Normal 2 3 3 3 2 11" xfId="6475" xr:uid="{00000000-0005-0000-0000-000082200000}"/>
    <cellStyle name="Normal 2 3 3 3 2 2" xfId="356" xr:uid="{00000000-0005-0000-0000-000083200000}"/>
    <cellStyle name="Normal 2 3 3 3 2 2 10" xfId="6476" xr:uid="{00000000-0005-0000-0000-000084200000}"/>
    <cellStyle name="Normal 2 3 3 3 2 2 2" xfId="744" xr:uid="{00000000-0005-0000-0000-000085200000}"/>
    <cellStyle name="Normal 2 3 3 3 2 2 2 2" xfId="1479" xr:uid="{00000000-0005-0000-0000-000086200000}"/>
    <cellStyle name="Normal 2 3 3 3 2 2 2 2 2" xfId="8134" xr:uid="{00000000-0005-0000-0000-000087200000}"/>
    <cellStyle name="Normal 2 3 3 3 2 2 2 2_SSL" xfId="13823" xr:uid="{00000000-0005-0000-0000-000088200000}"/>
    <cellStyle name="Normal 2 3 3 3 2 2 2 3" xfId="2299" xr:uid="{00000000-0005-0000-0000-000089200000}"/>
    <cellStyle name="Normal 2 3 3 3 2 2 2 3 2" xfId="8947" xr:uid="{00000000-0005-0000-0000-00008A200000}"/>
    <cellStyle name="Normal 2 3 3 3 2 2 2 3_SSL" xfId="14639" xr:uid="{00000000-0005-0000-0000-00008B200000}"/>
    <cellStyle name="Normal 2 3 3 3 2 2 2 4" xfId="3118" xr:uid="{00000000-0005-0000-0000-00008C200000}"/>
    <cellStyle name="Normal 2 3 3 3 2 2 2 4 2" xfId="9763" xr:uid="{00000000-0005-0000-0000-00008D200000}"/>
    <cellStyle name="Normal 2 3 3 3 2 2 2 4_SSL" xfId="12825" xr:uid="{00000000-0005-0000-0000-00008E200000}"/>
    <cellStyle name="Normal 2 3 3 3 2 2 2 5" xfId="3939" xr:uid="{00000000-0005-0000-0000-00008F200000}"/>
    <cellStyle name="Normal 2 3 3 3 2 2 2 5 2" xfId="10579" xr:uid="{00000000-0005-0000-0000-000090200000}"/>
    <cellStyle name="Normal 2 3 3 3 2 2 2 5_SSL" xfId="13892" xr:uid="{00000000-0005-0000-0000-000091200000}"/>
    <cellStyle name="Normal 2 3 3 3 2 2 2 6" xfId="4750" xr:uid="{00000000-0005-0000-0000-000092200000}"/>
    <cellStyle name="Normal 2 3 3 3 2 2 2 6 2" xfId="11389" xr:uid="{00000000-0005-0000-0000-000093200000}"/>
    <cellStyle name="Normal 2 3 3 3 2 2 2 6_SSL" xfId="13644" xr:uid="{00000000-0005-0000-0000-000094200000}"/>
    <cellStyle name="Normal 2 3 3 3 2 2 2 7" xfId="5560" xr:uid="{00000000-0005-0000-0000-000095200000}"/>
    <cellStyle name="Normal 2 3 3 3 2 2 2 7 2" xfId="12198" xr:uid="{00000000-0005-0000-0000-000096200000}"/>
    <cellStyle name="Normal 2 3 3 3 2 2 2 7_SSL" xfId="16979" xr:uid="{00000000-0005-0000-0000-000097200000}"/>
    <cellStyle name="Normal 2 3 3 3 2 2 2 8" xfId="7600" xr:uid="{00000000-0005-0000-0000-000098200000}"/>
    <cellStyle name="Normal 2 3 3 3 2 2 2 9" xfId="6477" xr:uid="{00000000-0005-0000-0000-000099200000}"/>
    <cellStyle name="Normal 2 3 3 3 2 2 2_SSL" xfId="14460" xr:uid="{00000000-0005-0000-0000-00009A200000}"/>
    <cellStyle name="Normal 2 3 3 3 2 2 3" xfId="1478" xr:uid="{00000000-0005-0000-0000-00009B200000}"/>
    <cellStyle name="Normal 2 3 3 3 2 2 3 2" xfId="8133" xr:uid="{00000000-0005-0000-0000-00009C200000}"/>
    <cellStyle name="Normal 2 3 3 3 2 2 3_SSL" xfId="15479" xr:uid="{00000000-0005-0000-0000-00009D200000}"/>
    <cellStyle name="Normal 2 3 3 3 2 2 4" xfId="2298" xr:uid="{00000000-0005-0000-0000-00009E200000}"/>
    <cellStyle name="Normal 2 3 3 3 2 2 4 2" xfId="8946" xr:uid="{00000000-0005-0000-0000-00009F200000}"/>
    <cellStyle name="Normal 2 3 3 3 2 2 4_SSL" xfId="14079" xr:uid="{00000000-0005-0000-0000-0000A0200000}"/>
    <cellStyle name="Normal 2 3 3 3 2 2 5" xfId="3117" xr:uid="{00000000-0005-0000-0000-0000A1200000}"/>
    <cellStyle name="Normal 2 3 3 3 2 2 5 2" xfId="9762" xr:uid="{00000000-0005-0000-0000-0000A2200000}"/>
    <cellStyle name="Normal 2 3 3 3 2 2 5_SSL" xfId="15886" xr:uid="{00000000-0005-0000-0000-0000A3200000}"/>
    <cellStyle name="Normal 2 3 3 3 2 2 6" xfId="3938" xr:uid="{00000000-0005-0000-0000-0000A4200000}"/>
    <cellStyle name="Normal 2 3 3 3 2 2 6 2" xfId="10578" xr:uid="{00000000-0005-0000-0000-0000A5200000}"/>
    <cellStyle name="Normal 2 3 3 3 2 2 6_SSL" xfId="13723" xr:uid="{00000000-0005-0000-0000-0000A6200000}"/>
    <cellStyle name="Normal 2 3 3 3 2 2 7" xfId="4749" xr:uid="{00000000-0005-0000-0000-0000A7200000}"/>
    <cellStyle name="Normal 2 3 3 3 2 2 7 2" xfId="11388" xr:uid="{00000000-0005-0000-0000-0000A8200000}"/>
    <cellStyle name="Normal 2 3 3 3 2 2 7_SSL" xfId="14472" xr:uid="{00000000-0005-0000-0000-0000A9200000}"/>
    <cellStyle name="Normal 2 3 3 3 2 2 8" xfId="5559" xr:uid="{00000000-0005-0000-0000-0000AA200000}"/>
    <cellStyle name="Normal 2 3 3 3 2 2 8 2" xfId="12197" xr:uid="{00000000-0005-0000-0000-0000AB200000}"/>
    <cellStyle name="Normal 2 3 3 3 2 2 8_SSL" xfId="12790" xr:uid="{00000000-0005-0000-0000-0000AC200000}"/>
    <cellStyle name="Normal 2 3 3 3 2 2 9" xfId="7216" xr:uid="{00000000-0005-0000-0000-0000AD200000}"/>
    <cellStyle name="Normal 2 3 3 3 2 2_SSL" xfId="17745" xr:uid="{00000000-0005-0000-0000-0000AE200000}"/>
    <cellStyle name="Normal 2 3 3 3 2 3" xfId="620" xr:uid="{00000000-0005-0000-0000-0000AF200000}"/>
    <cellStyle name="Normal 2 3 3 3 2 3 2" xfId="1480" xr:uid="{00000000-0005-0000-0000-0000B0200000}"/>
    <cellStyle name="Normal 2 3 3 3 2 3 2 2" xfId="8135" xr:uid="{00000000-0005-0000-0000-0000B1200000}"/>
    <cellStyle name="Normal 2 3 3 3 2 3 2_SSL" xfId="15902" xr:uid="{00000000-0005-0000-0000-0000B2200000}"/>
    <cellStyle name="Normal 2 3 3 3 2 3 3" xfId="2300" xr:uid="{00000000-0005-0000-0000-0000B3200000}"/>
    <cellStyle name="Normal 2 3 3 3 2 3 3 2" xfId="8948" xr:uid="{00000000-0005-0000-0000-0000B4200000}"/>
    <cellStyle name="Normal 2 3 3 3 2 3 3_SSL" xfId="14339" xr:uid="{00000000-0005-0000-0000-0000B5200000}"/>
    <cellStyle name="Normal 2 3 3 3 2 3 4" xfId="3119" xr:uid="{00000000-0005-0000-0000-0000B6200000}"/>
    <cellStyle name="Normal 2 3 3 3 2 3 4 2" xfId="9764" xr:uid="{00000000-0005-0000-0000-0000B7200000}"/>
    <cellStyle name="Normal 2 3 3 3 2 3 4_SSL" xfId="16525" xr:uid="{00000000-0005-0000-0000-0000B8200000}"/>
    <cellStyle name="Normal 2 3 3 3 2 3 5" xfId="3940" xr:uid="{00000000-0005-0000-0000-0000B9200000}"/>
    <cellStyle name="Normal 2 3 3 3 2 3 5 2" xfId="10580" xr:uid="{00000000-0005-0000-0000-0000BA200000}"/>
    <cellStyle name="Normal 2 3 3 3 2 3 5_SSL" xfId="15269" xr:uid="{00000000-0005-0000-0000-0000BB200000}"/>
    <cellStyle name="Normal 2 3 3 3 2 3 6" xfId="4751" xr:uid="{00000000-0005-0000-0000-0000BC200000}"/>
    <cellStyle name="Normal 2 3 3 3 2 3 6 2" xfId="11390" xr:uid="{00000000-0005-0000-0000-0000BD200000}"/>
    <cellStyle name="Normal 2 3 3 3 2 3 6_SSL" xfId="15262" xr:uid="{00000000-0005-0000-0000-0000BE200000}"/>
    <cellStyle name="Normal 2 3 3 3 2 3 7" xfId="5561" xr:uid="{00000000-0005-0000-0000-0000BF200000}"/>
    <cellStyle name="Normal 2 3 3 3 2 3 7 2" xfId="12199" xr:uid="{00000000-0005-0000-0000-0000C0200000}"/>
    <cellStyle name="Normal 2 3 3 3 2 3 7_SSL" xfId="15999" xr:uid="{00000000-0005-0000-0000-0000C1200000}"/>
    <cellStyle name="Normal 2 3 3 3 2 3 8" xfId="7476" xr:uid="{00000000-0005-0000-0000-0000C2200000}"/>
    <cellStyle name="Normal 2 3 3 3 2 3 9" xfId="6478" xr:uid="{00000000-0005-0000-0000-0000C3200000}"/>
    <cellStyle name="Normal 2 3 3 3 2 3_SSL" xfId="15836" xr:uid="{00000000-0005-0000-0000-0000C4200000}"/>
    <cellStyle name="Normal 2 3 3 3 2 4" xfId="1477" xr:uid="{00000000-0005-0000-0000-0000C5200000}"/>
    <cellStyle name="Normal 2 3 3 3 2 4 2" xfId="8132" xr:uid="{00000000-0005-0000-0000-0000C6200000}"/>
    <cellStyle name="Normal 2 3 3 3 2 4_SSL" xfId="17371" xr:uid="{00000000-0005-0000-0000-0000C7200000}"/>
    <cellStyle name="Normal 2 3 3 3 2 5" xfId="2297" xr:uid="{00000000-0005-0000-0000-0000C8200000}"/>
    <cellStyle name="Normal 2 3 3 3 2 5 2" xfId="8945" xr:uid="{00000000-0005-0000-0000-0000C9200000}"/>
    <cellStyle name="Normal 2 3 3 3 2 5_SSL" xfId="13299" xr:uid="{00000000-0005-0000-0000-0000CA200000}"/>
    <cellStyle name="Normal 2 3 3 3 2 6" xfId="3116" xr:uid="{00000000-0005-0000-0000-0000CB200000}"/>
    <cellStyle name="Normal 2 3 3 3 2 6 2" xfId="9761" xr:uid="{00000000-0005-0000-0000-0000CC200000}"/>
    <cellStyle name="Normal 2 3 3 3 2 6_SSL" xfId="14738" xr:uid="{00000000-0005-0000-0000-0000CD200000}"/>
    <cellStyle name="Normal 2 3 3 3 2 7" xfId="3937" xr:uid="{00000000-0005-0000-0000-0000CE200000}"/>
    <cellStyle name="Normal 2 3 3 3 2 7 2" xfId="10577" xr:uid="{00000000-0005-0000-0000-0000CF200000}"/>
    <cellStyle name="Normal 2 3 3 3 2 7_SSL" xfId="15130" xr:uid="{00000000-0005-0000-0000-0000D0200000}"/>
    <cellStyle name="Normal 2 3 3 3 2 8" xfId="4748" xr:uid="{00000000-0005-0000-0000-0000D1200000}"/>
    <cellStyle name="Normal 2 3 3 3 2 8 2" xfId="11387" xr:uid="{00000000-0005-0000-0000-0000D2200000}"/>
    <cellStyle name="Normal 2 3 3 3 2 8_SSL" xfId="13858" xr:uid="{00000000-0005-0000-0000-0000D3200000}"/>
    <cellStyle name="Normal 2 3 3 3 2 9" xfId="5558" xr:uid="{00000000-0005-0000-0000-0000D4200000}"/>
    <cellStyle name="Normal 2 3 3 3 2 9 2" xfId="12196" xr:uid="{00000000-0005-0000-0000-0000D5200000}"/>
    <cellStyle name="Normal 2 3 3 3 2 9_SSL" xfId="16655" xr:uid="{00000000-0005-0000-0000-0000D6200000}"/>
    <cellStyle name="Normal 2 3 3 3 2_SSL" xfId="14985" xr:uid="{00000000-0005-0000-0000-0000D7200000}"/>
    <cellStyle name="Normal 2 3 3 3 3" xfId="355" xr:uid="{00000000-0005-0000-0000-0000D8200000}"/>
    <cellStyle name="Normal 2 3 3 3 3 10" xfId="6479" xr:uid="{00000000-0005-0000-0000-0000D9200000}"/>
    <cellStyle name="Normal 2 3 3 3 3 2" xfId="743" xr:uid="{00000000-0005-0000-0000-0000DA200000}"/>
    <cellStyle name="Normal 2 3 3 3 3 2 2" xfId="1482" xr:uid="{00000000-0005-0000-0000-0000DB200000}"/>
    <cellStyle name="Normal 2 3 3 3 3 2 2 2" xfId="8137" xr:uid="{00000000-0005-0000-0000-0000DC200000}"/>
    <cellStyle name="Normal 2 3 3 3 3 2 2_SSL" xfId="15334" xr:uid="{00000000-0005-0000-0000-0000DD200000}"/>
    <cellStyle name="Normal 2 3 3 3 3 2 3" xfId="2302" xr:uid="{00000000-0005-0000-0000-0000DE200000}"/>
    <cellStyle name="Normal 2 3 3 3 3 2 3 2" xfId="8950" xr:uid="{00000000-0005-0000-0000-0000DF200000}"/>
    <cellStyle name="Normal 2 3 3 3 3 2 3_SSL" xfId="17989" xr:uid="{00000000-0005-0000-0000-0000E0200000}"/>
    <cellStyle name="Normal 2 3 3 3 3 2 4" xfId="3121" xr:uid="{00000000-0005-0000-0000-0000E1200000}"/>
    <cellStyle name="Normal 2 3 3 3 3 2 4 2" xfId="9766" xr:uid="{00000000-0005-0000-0000-0000E2200000}"/>
    <cellStyle name="Normal 2 3 3 3 3 2 4_SSL" xfId="17197" xr:uid="{00000000-0005-0000-0000-0000E3200000}"/>
    <cellStyle name="Normal 2 3 3 3 3 2 5" xfId="3942" xr:uid="{00000000-0005-0000-0000-0000E4200000}"/>
    <cellStyle name="Normal 2 3 3 3 3 2 5 2" xfId="10582" xr:uid="{00000000-0005-0000-0000-0000E5200000}"/>
    <cellStyle name="Normal 2 3 3 3 3 2 5_SSL" xfId="15228" xr:uid="{00000000-0005-0000-0000-0000E6200000}"/>
    <cellStyle name="Normal 2 3 3 3 3 2 6" xfId="4753" xr:uid="{00000000-0005-0000-0000-0000E7200000}"/>
    <cellStyle name="Normal 2 3 3 3 3 2 6 2" xfId="11392" xr:uid="{00000000-0005-0000-0000-0000E8200000}"/>
    <cellStyle name="Normal 2 3 3 3 3 2 6_SSL" xfId="16600" xr:uid="{00000000-0005-0000-0000-0000E9200000}"/>
    <cellStyle name="Normal 2 3 3 3 3 2 7" xfId="5563" xr:uid="{00000000-0005-0000-0000-0000EA200000}"/>
    <cellStyle name="Normal 2 3 3 3 3 2 7 2" xfId="12201" xr:uid="{00000000-0005-0000-0000-0000EB200000}"/>
    <cellStyle name="Normal 2 3 3 3 3 2 7_SSL" xfId="13404" xr:uid="{00000000-0005-0000-0000-0000EC200000}"/>
    <cellStyle name="Normal 2 3 3 3 3 2 8" xfId="7599" xr:uid="{00000000-0005-0000-0000-0000ED200000}"/>
    <cellStyle name="Normal 2 3 3 3 3 2 9" xfId="6480" xr:uid="{00000000-0005-0000-0000-0000EE200000}"/>
    <cellStyle name="Normal 2 3 3 3 3 2_SSL" xfId="16653" xr:uid="{00000000-0005-0000-0000-0000EF200000}"/>
    <cellStyle name="Normal 2 3 3 3 3 3" xfId="1481" xr:uid="{00000000-0005-0000-0000-0000F0200000}"/>
    <cellStyle name="Normal 2 3 3 3 3 3 2" xfId="8136" xr:uid="{00000000-0005-0000-0000-0000F1200000}"/>
    <cellStyle name="Normal 2 3 3 3 3 3_SSL" xfId="16388" xr:uid="{00000000-0005-0000-0000-0000F2200000}"/>
    <cellStyle name="Normal 2 3 3 3 3 4" xfId="2301" xr:uid="{00000000-0005-0000-0000-0000F3200000}"/>
    <cellStyle name="Normal 2 3 3 3 3 4 2" xfId="8949" xr:uid="{00000000-0005-0000-0000-0000F4200000}"/>
    <cellStyle name="Normal 2 3 3 3 3 4_SSL" xfId="17189" xr:uid="{00000000-0005-0000-0000-0000F5200000}"/>
    <cellStyle name="Normal 2 3 3 3 3 5" xfId="3120" xr:uid="{00000000-0005-0000-0000-0000F6200000}"/>
    <cellStyle name="Normal 2 3 3 3 3 5 2" xfId="9765" xr:uid="{00000000-0005-0000-0000-0000F7200000}"/>
    <cellStyle name="Normal 2 3 3 3 3 5_SSL" xfId="13127" xr:uid="{00000000-0005-0000-0000-0000F8200000}"/>
    <cellStyle name="Normal 2 3 3 3 3 6" xfId="3941" xr:uid="{00000000-0005-0000-0000-0000F9200000}"/>
    <cellStyle name="Normal 2 3 3 3 3 6 2" xfId="10581" xr:uid="{00000000-0005-0000-0000-0000FA200000}"/>
    <cellStyle name="Normal 2 3 3 3 3 6_SSL" xfId="13960" xr:uid="{00000000-0005-0000-0000-0000FB200000}"/>
    <cellStyle name="Normal 2 3 3 3 3 7" xfId="4752" xr:uid="{00000000-0005-0000-0000-0000FC200000}"/>
    <cellStyle name="Normal 2 3 3 3 3 7 2" xfId="11391" xr:uid="{00000000-0005-0000-0000-0000FD200000}"/>
    <cellStyle name="Normal 2 3 3 3 3 7_SSL" xfId="15892" xr:uid="{00000000-0005-0000-0000-0000FE200000}"/>
    <cellStyle name="Normal 2 3 3 3 3 8" xfId="5562" xr:uid="{00000000-0005-0000-0000-0000FF200000}"/>
    <cellStyle name="Normal 2 3 3 3 3 8 2" xfId="12200" xr:uid="{00000000-0005-0000-0000-000000210000}"/>
    <cellStyle name="Normal 2 3 3 3 3 8_SSL" xfId="16595" xr:uid="{00000000-0005-0000-0000-000001210000}"/>
    <cellStyle name="Normal 2 3 3 3 3 9" xfId="7215" xr:uid="{00000000-0005-0000-0000-000002210000}"/>
    <cellStyle name="Normal 2 3 3 3 3_SSL" xfId="14225" xr:uid="{00000000-0005-0000-0000-000003210000}"/>
    <cellStyle name="Normal 2 3 3 3 4" xfId="524" xr:uid="{00000000-0005-0000-0000-000004210000}"/>
    <cellStyle name="Normal 2 3 3 3 4 2" xfId="1483" xr:uid="{00000000-0005-0000-0000-000005210000}"/>
    <cellStyle name="Normal 2 3 3 3 4 2 2" xfId="8138" xr:uid="{00000000-0005-0000-0000-000006210000}"/>
    <cellStyle name="Normal 2 3 3 3 4 2_SSL" xfId="16798" xr:uid="{00000000-0005-0000-0000-000007210000}"/>
    <cellStyle name="Normal 2 3 3 3 4 3" xfId="2303" xr:uid="{00000000-0005-0000-0000-000008210000}"/>
    <cellStyle name="Normal 2 3 3 3 4 3 2" xfId="8951" xr:uid="{00000000-0005-0000-0000-000009210000}"/>
    <cellStyle name="Normal 2 3 3 3 4 3_SSL" xfId="13040" xr:uid="{00000000-0005-0000-0000-00000A210000}"/>
    <cellStyle name="Normal 2 3 3 3 4 4" xfId="3122" xr:uid="{00000000-0005-0000-0000-00000B210000}"/>
    <cellStyle name="Normal 2 3 3 3 4 4 2" xfId="9767" xr:uid="{00000000-0005-0000-0000-00000C210000}"/>
    <cellStyle name="Normal 2 3 3 3 4 4_SSL" xfId="16593" xr:uid="{00000000-0005-0000-0000-00000D210000}"/>
    <cellStyle name="Normal 2 3 3 3 4 5" xfId="3943" xr:uid="{00000000-0005-0000-0000-00000E210000}"/>
    <cellStyle name="Normal 2 3 3 3 4 5 2" xfId="10583" xr:uid="{00000000-0005-0000-0000-00000F210000}"/>
    <cellStyle name="Normal 2 3 3 3 4 5_SSL" xfId="6044" xr:uid="{00000000-0005-0000-0000-000010210000}"/>
    <cellStyle name="Normal 2 3 3 3 4 6" xfId="4754" xr:uid="{00000000-0005-0000-0000-000011210000}"/>
    <cellStyle name="Normal 2 3 3 3 4 6 2" xfId="11393" xr:uid="{00000000-0005-0000-0000-000012210000}"/>
    <cellStyle name="Normal 2 3 3 3 4 6_SSL" xfId="15974" xr:uid="{00000000-0005-0000-0000-000013210000}"/>
    <cellStyle name="Normal 2 3 3 3 4 7" xfId="5564" xr:uid="{00000000-0005-0000-0000-000014210000}"/>
    <cellStyle name="Normal 2 3 3 3 4 7 2" xfId="12202" xr:uid="{00000000-0005-0000-0000-000015210000}"/>
    <cellStyle name="Normal 2 3 3 3 4 7_SSL" xfId="16510" xr:uid="{00000000-0005-0000-0000-000016210000}"/>
    <cellStyle name="Normal 2 3 3 3 4 8" xfId="7380" xr:uid="{00000000-0005-0000-0000-000017210000}"/>
    <cellStyle name="Normal 2 3 3 3 4 9" xfId="6481" xr:uid="{00000000-0005-0000-0000-000018210000}"/>
    <cellStyle name="Normal 2 3 3 3 4_SSL" xfId="13206" xr:uid="{00000000-0005-0000-0000-000019210000}"/>
    <cellStyle name="Normal 2 3 3 3 5" xfId="1476" xr:uid="{00000000-0005-0000-0000-00001A210000}"/>
    <cellStyle name="Normal 2 3 3 3 5 2" xfId="8131" xr:uid="{00000000-0005-0000-0000-00001B210000}"/>
    <cellStyle name="Normal 2 3 3 3 5_SSL" xfId="13855" xr:uid="{00000000-0005-0000-0000-00001C210000}"/>
    <cellStyle name="Normal 2 3 3 3 6" xfId="2296" xr:uid="{00000000-0005-0000-0000-00001D210000}"/>
    <cellStyle name="Normal 2 3 3 3 6 2" xfId="8944" xr:uid="{00000000-0005-0000-0000-00001E210000}"/>
    <cellStyle name="Normal 2 3 3 3 6_SSL" xfId="12867" xr:uid="{00000000-0005-0000-0000-00001F210000}"/>
    <cellStyle name="Normal 2 3 3 3 7" xfId="3115" xr:uid="{00000000-0005-0000-0000-000020210000}"/>
    <cellStyle name="Normal 2 3 3 3 7 2" xfId="9760" xr:uid="{00000000-0005-0000-0000-000021210000}"/>
    <cellStyle name="Normal 2 3 3 3 7_SSL" xfId="15044" xr:uid="{00000000-0005-0000-0000-000022210000}"/>
    <cellStyle name="Normal 2 3 3 3 8" xfId="3936" xr:uid="{00000000-0005-0000-0000-000023210000}"/>
    <cellStyle name="Normal 2 3 3 3 8 2" xfId="10576" xr:uid="{00000000-0005-0000-0000-000024210000}"/>
    <cellStyle name="Normal 2 3 3 3 8_SSL" xfId="17815" xr:uid="{00000000-0005-0000-0000-000025210000}"/>
    <cellStyle name="Normal 2 3 3 3 9" xfId="4747" xr:uid="{00000000-0005-0000-0000-000026210000}"/>
    <cellStyle name="Normal 2 3 3 3 9 2" xfId="11386" xr:uid="{00000000-0005-0000-0000-000027210000}"/>
    <cellStyle name="Normal 2 3 3 3 9_SSL" xfId="16503" xr:uid="{00000000-0005-0000-0000-000028210000}"/>
    <cellStyle name="Normal 2 3 3 3_SSL" xfId="17172" xr:uid="{00000000-0005-0000-0000-000029210000}"/>
    <cellStyle name="Normal 2 3 3 4" xfId="144" xr:uid="{00000000-0005-0000-0000-00002A210000}"/>
    <cellStyle name="Normal 2 3 3 4 10" xfId="7021" xr:uid="{00000000-0005-0000-0000-00002B210000}"/>
    <cellStyle name="Normal 2 3 3 4 11" xfId="6482" xr:uid="{00000000-0005-0000-0000-00002C210000}"/>
    <cellStyle name="Normal 2 3 3 4 2" xfId="357" xr:uid="{00000000-0005-0000-0000-00002D210000}"/>
    <cellStyle name="Normal 2 3 3 4 2 10" xfId="6483" xr:uid="{00000000-0005-0000-0000-00002E210000}"/>
    <cellStyle name="Normal 2 3 3 4 2 2" xfId="745" xr:uid="{00000000-0005-0000-0000-00002F210000}"/>
    <cellStyle name="Normal 2 3 3 4 2 2 2" xfId="1486" xr:uid="{00000000-0005-0000-0000-000030210000}"/>
    <cellStyle name="Normal 2 3 3 4 2 2 2 2" xfId="8141" xr:uid="{00000000-0005-0000-0000-000031210000}"/>
    <cellStyle name="Normal 2 3 3 4 2 2 2_SSL" xfId="16611" xr:uid="{00000000-0005-0000-0000-000032210000}"/>
    <cellStyle name="Normal 2 3 3 4 2 2 3" xfId="2306" xr:uid="{00000000-0005-0000-0000-000033210000}"/>
    <cellStyle name="Normal 2 3 3 4 2 2 3 2" xfId="8954" xr:uid="{00000000-0005-0000-0000-000034210000}"/>
    <cellStyle name="Normal 2 3 3 4 2 2 3_SSL" xfId="15146" xr:uid="{00000000-0005-0000-0000-000035210000}"/>
    <cellStyle name="Normal 2 3 3 4 2 2 4" xfId="3125" xr:uid="{00000000-0005-0000-0000-000036210000}"/>
    <cellStyle name="Normal 2 3 3 4 2 2 4 2" xfId="9770" xr:uid="{00000000-0005-0000-0000-000037210000}"/>
    <cellStyle name="Normal 2 3 3 4 2 2 4_SSL" xfId="17353" xr:uid="{00000000-0005-0000-0000-000038210000}"/>
    <cellStyle name="Normal 2 3 3 4 2 2 5" xfId="3946" xr:uid="{00000000-0005-0000-0000-000039210000}"/>
    <cellStyle name="Normal 2 3 3 4 2 2 5 2" xfId="10586" xr:uid="{00000000-0005-0000-0000-00003A210000}"/>
    <cellStyle name="Normal 2 3 3 4 2 2 5_SSL" xfId="15619" xr:uid="{00000000-0005-0000-0000-00003B210000}"/>
    <cellStyle name="Normal 2 3 3 4 2 2 6" xfId="4757" xr:uid="{00000000-0005-0000-0000-00003C210000}"/>
    <cellStyle name="Normal 2 3 3 4 2 2 6 2" xfId="11396" xr:uid="{00000000-0005-0000-0000-00003D210000}"/>
    <cellStyle name="Normal 2 3 3 4 2 2 6_SSL" xfId="14097" xr:uid="{00000000-0005-0000-0000-00003E210000}"/>
    <cellStyle name="Normal 2 3 3 4 2 2 7" xfId="5567" xr:uid="{00000000-0005-0000-0000-00003F210000}"/>
    <cellStyle name="Normal 2 3 3 4 2 2 7 2" xfId="12205" xr:uid="{00000000-0005-0000-0000-000040210000}"/>
    <cellStyle name="Normal 2 3 3 4 2 2 7_SSL" xfId="17789" xr:uid="{00000000-0005-0000-0000-000041210000}"/>
    <cellStyle name="Normal 2 3 3 4 2 2 8" xfId="7601" xr:uid="{00000000-0005-0000-0000-000042210000}"/>
    <cellStyle name="Normal 2 3 3 4 2 2 9" xfId="6484" xr:uid="{00000000-0005-0000-0000-000043210000}"/>
    <cellStyle name="Normal 2 3 3 4 2 2_SSL" xfId="13102" xr:uid="{00000000-0005-0000-0000-000044210000}"/>
    <cellStyle name="Normal 2 3 3 4 2 3" xfId="1485" xr:uid="{00000000-0005-0000-0000-000045210000}"/>
    <cellStyle name="Normal 2 3 3 4 2 3 2" xfId="8140" xr:uid="{00000000-0005-0000-0000-000046210000}"/>
    <cellStyle name="Normal 2 3 3 4 2 3_SSL" xfId="12958" xr:uid="{00000000-0005-0000-0000-000047210000}"/>
    <cellStyle name="Normal 2 3 3 4 2 4" xfId="2305" xr:uid="{00000000-0005-0000-0000-000048210000}"/>
    <cellStyle name="Normal 2 3 3 4 2 4 2" xfId="8953" xr:uid="{00000000-0005-0000-0000-000049210000}"/>
    <cellStyle name="Normal 2 3 3 4 2 4_SSL" xfId="17242" xr:uid="{00000000-0005-0000-0000-00004A210000}"/>
    <cellStyle name="Normal 2 3 3 4 2 5" xfId="3124" xr:uid="{00000000-0005-0000-0000-00004B210000}"/>
    <cellStyle name="Normal 2 3 3 4 2 5 2" xfId="9769" xr:uid="{00000000-0005-0000-0000-00004C210000}"/>
    <cellStyle name="Normal 2 3 3 4 2 5_SSL" xfId="14786" xr:uid="{00000000-0005-0000-0000-00004D210000}"/>
    <cellStyle name="Normal 2 3 3 4 2 6" xfId="3945" xr:uid="{00000000-0005-0000-0000-00004E210000}"/>
    <cellStyle name="Normal 2 3 3 4 2 6 2" xfId="10585" xr:uid="{00000000-0005-0000-0000-00004F210000}"/>
    <cellStyle name="Normal 2 3 3 4 2 6_SSL" xfId="16060" xr:uid="{00000000-0005-0000-0000-000050210000}"/>
    <cellStyle name="Normal 2 3 3 4 2 7" xfId="4756" xr:uid="{00000000-0005-0000-0000-000051210000}"/>
    <cellStyle name="Normal 2 3 3 4 2 7 2" xfId="11395" xr:uid="{00000000-0005-0000-0000-000052210000}"/>
    <cellStyle name="Normal 2 3 3 4 2 7_SSL" xfId="13749" xr:uid="{00000000-0005-0000-0000-000053210000}"/>
    <cellStyle name="Normal 2 3 3 4 2 8" xfId="5566" xr:uid="{00000000-0005-0000-0000-000054210000}"/>
    <cellStyle name="Normal 2 3 3 4 2 8 2" xfId="12204" xr:uid="{00000000-0005-0000-0000-000055210000}"/>
    <cellStyle name="Normal 2 3 3 4 2 8_SSL" xfId="16541" xr:uid="{00000000-0005-0000-0000-000056210000}"/>
    <cellStyle name="Normal 2 3 3 4 2 9" xfId="7217" xr:uid="{00000000-0005-0000-0000-000057210000}"/>
    <cellStyle name="Normal 2 3 3 4 2_SSL" xfId="13229" xr:uid="{00000000-0005-0000-0000-000058210000}"/>
    <cellStyle name="Normal 2 3 3 4 3" xfId="549" xr:uid="{00000000-0005-0000-0000-000059210000}"/>
    <cellStyle name="Normal 2 3 3 4 3 2" xfId="1487" xr:uid="{00000000-0005-0000-0000-00005A210000}"/>
    <cellStyle name="Normal 2 3 3 4 3 2 2" xfId="8142" xr:uid="{00000000-0005-0000-0000-00005B210000}"/>
    <cellStyle name="Normal 2 3 3 4 3 2_SSL" xfId="17725" xr:uid="{00000000-0005-0000-0000-00005C210000}"/>
    <cellStyle name="Normal 2 3 3 4 3 3" xfId="2307" xr:uid="{00000000-0005-0000-0000-00005D210000}"/>
    <cellStyle name="Normal 2 3 3 4 3 3 2" xfId="8955" xr:uid="{00000000-0005-0000-0000-00005E210000}"/>
    <cellStyle name="Normal 2 3 3 4 3 3_SSL" xfId="16826" xr:uid="{00000000-0005-0000-0000-00005F210000}"/>
    <cellStyle name="Normal 2 3 3 4 3 4" xfId="3126" xr:uid="{00000000-0005-0000-0000-000060210000}"/>
    <cellStyle name="Normal 2 3 3 4 3 4 2" xfId="9771" xr:uid="{00000000-0005-0000-0000-000061210000}"/>
    <cellStyle name="Normal 2 3 3 4 3 4_SSL" xfId="17744" xr:uid="{00000000-0005-0000-0000-000062210000}"/>
    <cellStyle name="Normal 2 3 3 4 3 5" xfId="3947" xr:uid="{00000000-0005-0000-0000-000063210000}"/>
    <cellStyle name="Normal 2 3 3 4 3 5 2" xfId="10587" xr:uid="{00000000-0005-0000-0000-000064210000}"/>
    <cellStyle name="Normal 2 3 3 4 3 5_SSL" xfId="15181" xr:uid="{00000000-0005-0000-0000-000065210000}"/>
    <cellStyle name="Normal 2 3 3 4 3 6" xfId="4758" xr:uid="{00000000-0005-0000-0000-000066210000}"/>
    <cellStyle name="Normal 2 3 3 4 3 6 2" xfId="11397" xr:uid="{00000000-0005-0000-0000-000067210000}"/>
    <cellStyle name="Normal 2 3 3 4 3 6_SSL" xfId="16609" xr:uid="{00000000-0005-0000-0000-000068210000}"/>
    <cellStyle name="Normal 2 3 3 4 3 7" xfId="5568" xr:uid="{00000000-0005-0000-0000-000069210000}"/>
    <cellStyle name="Normal 2 3 3 4 3 7 2" xfId="12206" xr:uid="{00000000-0005-0000-0000-00006A210000}"/>
    <cellStyle name="Normal 2 3 3 4 3 7_SSL" xfId="14371" xr:uid="{00000000-0005-0000-0000-00006B210000}"/>
    <cellStyle name="Normal 2 3 3 4 3 8" xfId="7405" xr:uid="{00000000-0005-0000-0000-00006C210000}"/>
    <cellStyle name="Normal 2 3 3 4 3 9" xfId="6485" xr:uid="{00000000-0005-0000-0000-00006D210000}"/>
    <cellStyle name="Normal 2 3 3 4 3_SSL" xfId="14622" xr:uid="{00000000-0005-0000-0000-00006E210000}"/>
    <cellStyle name="Normal 2 3 3 4 4" xfId="1484" xr:uid="{00000000-0005-0000-0000-00006F210000}"/>
    <cellStyle name="Normal 2 3 3 4 4 2" xfId="8139" xr:uid="{00000000-0005-0000-0000-000070210000}"/>
    <cellStyle name="Normal 2 3 3 4 4_SSL" xfId="11008" xr:uid="{00000000-0005-0000-0000-000071210000}"/>
    <cellStyle name="Normal 2 3 3 4 5" xfId="2304" xr:uid="{00000000-0005-0000-0000-000072210000}"/>
    <cellStyle name="Normal 2 3 3 4 5 2" xfId="8952" xr:uid="{00000000-0005-0000-0000-000073210000}"/>
    <cellStyle name="Normal 2 3 3 4 5_SSL" xfId="17919" xr:uid="{00000000-0005-0000-0000-000074210000}"/>
    <cellStyle name="Normal 2 3 3 4 6" xfId="3123" xr:uid="{00000000-0005-0000-0000-000075210000}"/>
    <cellStyle name="Normal 2 3 3 4 6 2" xfId="9768" xr:uid="{00000000-0005-0000-0000-000076210000}"/>
    <cellStyle name="Normal 2 3 3 4 6_SSL" xfId="17383" xr:uid="{00000000-0005-0000-0000-000077210000}"/>
    <cellStyle name="Normal 2 3 3 4 7" xfId="3944" xr:uid="{00000000-0005-0000-0000-000078210000}"/>
    <cellStyle name="Normal 2 3 3 4 7 2" xfId="10584" xr:uid="{00000000-0005-0000-0000-000079210000}"/>
    <cellStyle name="Normal 2 3 3 4 7_SSL" xfId="15178" xr:uid="{00000000-0005-0000-0000-00007A210000}"/>
    <cellStyle name="Normal 2 3 3 4 8" xfId="4755" xr:uid="{00000000-0005-0000-0000-00007B210000}"/>
    <cellStyle name="Normal 2 3 3 4 8 2" xfId="11394" xr:uid="{00000000-0005-0000-0000-00007C210000}"/>
    <cellStyle name="Normal 2 3 3 4 8_SSL" xfId="16305" xr:uid="{00000000-0005-0000-0000-00007D210000}"/>
    <cellStyle name="Normal 2 3 3 4 9" xfId="5565" xr:uid="{00000000-0005-0000-0000-00007E210000}"/>
    <cellStyle name="Normal 2 3 3 4 9 2" xfId="12203" xr:uid="{00000000-0005-0000-0000-00007F210000}"/>
    <cellStyle name="Normal 2 3 3 4 9_SSL" xfId="16360" xr:uid="{00000000-0005-0000-0000-000080210000}"/>
    <cellStyle name="Normal 2 3 3 4_SSL" xfId="14256" xr:uid="{00000000-0005-0000-0000-000081210000}"/>
    <cellStyle name="Normal 2 3 3 5" xfId="169" xr:uid="{00000000-0005-0000-0000-000082210000}"/>
    <cellStyle name="Normal 2 3 3 5 10" xfId="7046" xr:uid="{00000000-0005-0000-0000-000083210000}"/>
    <cellStyle name="Normal 2 3 3 5 11" xfId="6486" xr:uid="{00000000-0005-0000-0000-000084210000}"/>
    <cellStyle name="Normal 2 3 3 5 2" xfId="358" xr:uid="{00000000-0005-0000-0000-000085210000}"/>
    <cellStyle name="Normal 2 3 3 5 2 10" xfId="6487" xr:uid="{00000000-0005-0000-0000-000086210000}"/>
    <cellStyle name="Normal 2 3 3 5 2 2" xfId="746" xr:uid="{00000000-0005-0000-0000-000087210000}"/>
    <cellStyle name="Normal 2 3 3 5 2 2 2" xfId="1490" xr:uid="{00000000-0005-0000-0000-000088210000}"/>
    <cellStyle name="Normal 2 3 3 5 2 2 2 2" xfId="8145" xr:uid="{00000000-0005-0000-0000-000089210000}"/>
    <cellStyle name="Normal 2 3 3 5 2 2 2_SSL" xfId="17259" xr:uid="{00000000-0005-0000-0000-00008A210000}"/>
    <cellStyle name="Normal 2 3 3 5 2 2 3" xfId="2310" xr:uid="{00000000-0005-0000-0000-00008B210000}"/>
    <cellStyle name="Normal 2 3 3 5 2 2 3 2" xfId="8958" xr:uid="{00000000-0005-0000-0000-00008C210000}"/>
    <cellStyle name="Normal 2 3 3 5 2 2 3_SSL" xfId="15823" xr:uid="{00000000-0005-0000-0000-00008D210000}"/>
    <cellStyle name="Normal 2 3 3 5 2 2 4" xfId="3129" xr:uid="{00000000-0005-0000-0000-00008E210000}"/>
    <cellStyle name="Normal 2 3 3 5 2 2 4 2" xfId="9774" xr:uid="{00000000-0005-0000-0000-00008F210000}"/>
    <cellStyle name="Normal 2 3 3 5 2 2 4_SSL" xfId="14722" xr:uid="{00000000-0005-0000-0000-000090210000}"/>
    <cellStyle name="Normal 2 3 3 5 2 2 5" xfId="3950" xr:uid="{00000000-0005-0000-0000-000091210000}"/>
    <cellStyle name="Normal 2 3 3 5 2 2 5 2" xfId="10590" xr:uid="{00000000-0005-0000-0000-000092210000}"/>
    <cellStyle name="Normal 2 3 3 5 2 2 5_SSL" xfId="14424" xr:uid="{00000000-0005-0000-0000-000093210000}"/>
    <cellStyle name="Normal 2 3 3 5 2 2 6" xfId="4761" xr:uid="{00000000-0005-0000-0000-000094210000}"/>
    <cellStyle name="Normal 2 3 3 5 2 2 6 2" xfId="11400" xr:uid="{00000000-0005-0000-0000-000095210000}"/>
    <cellStyle name="Normal 2 3 3 5 2 2 6_SSL" xfId="16864" xr:uid="{00000000-0005-0000-0000-000096210000}"/>
    <cellStyle name="Normal 2 3 3 5 2 2 7" xfId="5571" xr:uid="{00000000-0005-0000-0000-000097210000}"/>
    <cellStyle name="Normal 2 3 3 5 2 2 7 2" xfId="12209" xr:uid="{00000000-0005-0000-0000-000098210000}"/>
    <cellStyle name="Normal 2 3 3 5 2 2 7_SSL" xfId="16390" xr:uid="{00000000-0005-0000-0000-000099210000}"/>
    <cellStyle name="Normal 2 3 3 5 2 2 8" xfId="7602" xr:uid="{00000000-0005-0000-0000-00009A210000}"/>
    <cellStyle name="Normal 2 3 3 5 2 2 9" xfId="6488" xr:uid="{00000000-0005-0000-0000-00009B210000}"/>
    <cellStyle name="Normal 2 3 3 5 2 2_SSL" xfId="14417" xr:uid="{00000000-0005-0000-0000-00009C210000}"/>
    <cellStyle name="Normal 2 3 3 5 2 3" xfId="1489" xr:uid="{00000000-0005-0000-0000-00009D210000}"/>
    <cellStyle name="Normal 2 3 3 5 2 3 2" xfId="8144" xr:uid="{00000000-0005-0000-0000-00009E210000}"/>
    <cellStyle name="Normal 2 3 3 5 2 3_SSL" xfId="18013" xr:uid="{00000000-0005-0000-0000-00009F210000}"/>
    <cellStyle name="Normal 2 3 3 5 2 4" xfId="2309" xr:uid="{00000000-0005-0000-0000-0000A0210000}"/>
    <cellStyle name="Normal 2 3 3 5 2 4 2" xfId="8957" xr:uid="{00000000-0005-0000-0000-0000A1210000}"/>
    <cellStyle name="Normal 2 3 3 5 2 4_SSL" xfId="14584" xr:uid="{00000000-0005-0000-0000-0000A2210000}"/>
    <cellStyle name="Normal 2 3 3 5 2 5" xfId="3128" xr:uid="{00000000-0005-0000-0000-0000A3210000}"/>
    <cellStyle name="Normal 2 3 3 5 2 5 2" xfId="9773" xr:uid="{00000000-0005-0000-0000-0000A4210000}"/>
    <cellStyle name="Normal 2 3 3 5 2 5_SSL" xfId="14432" xr:uid="{00000000-0005-0000-0000-0000A5210000}"/>
    <cellStyle name="Normal 2 3 3 5 2 6" xfId="3949" xr:uid="{00000000-0005-0000-0000-0000A6210000}"/>
    <cellStyle name="Normal 2 3 3 5 2 6 2" xfId="10589" xr:uid="{00000000-0005-0000-0000-0000A7210000}"/>
    <cellStyle name="Normal 2 3 3 5 2 6_SSL" xfId="17436" xr:uid="{00000000-0005-0000-0000-0000A8210000}"/>
    <cellStyle name="Normal 2 3 3 5 2 7" xfId="4760" xr:uid="{00000000-0005-0000-0000-0000A9210000}"/>
    <cellStyle name="Normal 2 3 3 5 2 7 2" xfId="11399" xr:uid="{00000000-0005-0000-0000-0000AA210000}"/>
    <cellStyle name="Normal 2 3 3 5 2 7_SSL" xfId="14847" xr:uid="{00000000-0005-0000-0000-0000AB210000}"/>
    <cellStyle name="Normal 2 3 3 5 2 8" xfId="5570" xr:uid="{00000000-0005-0000-0000-0000AC210000}"/>
    <cellStyle name="Normal 2 3 3 5 2 8 2" xfId="12208" xr:uid="{00000000-0005-0000-0000-0000AD210000}"/>
    <cellStyle name="Normal 2 3 3 5 2 8_SSL" xfId="17144" xr:uid="{00000000-0005-0000-0000-0000AE210000}"/>
    <cellStyle name="Normal 2 3 3 5 2 9" xfId="7218" xr:uid="{00000000-0005-0000-0000-0000AF210000}"/>
    <cellStyle name="Normal 2 3 3 5 2_SSL" xfId="15133" xr:uid="{00000000-0005-0000-0000-0000B0210000}"/>
    <cellStyle name="Normal 2 3 3 5 3" xfId="574" xr:uid="{00000000-0005-0000-0000-0000B1210000}"/>
    <cellStyle name="Normal 2 3 3 5 3 2" xfId="1491" xr:uid="{00000000-0005-0000-0000-0000B2210000}"/>
    <cellStyle name="Normal 2 3 3 5 3 2 2" xfId="8146" xr:uid="{00000000-0005-0000-0000-0000B3210000}"/>
    <cellStyle name="Normal 2 3 3 5 3 2_SSL" xfId="6003" xr:uid="{00000000-0005-0000-0000-0000B4210000}"/>
    <cellStyle name="Normal 2 3 3 5 3 3" xfId="2311" xr:uid="{00000000-0005-0000-0000-0000B5210000}"/>
    <cellStyle name="Normal 2 3 3 5 3 3 2" xfId="8959" xr:uid="{00000000-0005-0000-0000-0000B6210000}"/>
    <cellStyle name="Normal 2 3 3 5 3 3_SSL" xfId="17694" xr:uid="{00000000-0005-0000-0000-0000B7210000}"/>
    <cellStyle name="Normal 2 3 3 5 3 4" xfId="3130" xr:uid="{00000000-0005-0000-0000-0000B8210000}"/>
    <cellStyle name="Normal 2 3 3 5 3 4 2" xfId="9775" xr:uid="{00000000-0005-0000-0000-0000B9210000}"/>
    <cellStyle name="Normal 2 3 3 5 3 4_SSL" xfId="14896" xr:uid="{00000000-0005-0000-0000-0000BA210000}"/>
    <cellStyle name="Normal 2 3 3 5 3 5" xfId="3951" xr:uid="{00000000-0005-0000-0000-0000BB210000}"/>
    <cellStyle name="Normal 2 3 3 5 3 5 2" xfId="10591" xr:uid="{00000000-0005-0000-0000-0000BC210000}"/>
    <cellStyle name="Normal 2 3 3 5 3 5_SSL" xfId="17506" xr:uid="{00000000-0005-0000-0000-0000BD210000}"/>
    <cellStyle name="Normal 2 3 3 5 3 6" xfId="4762" xr:uid="{00000000-0005-0000-0000-0000BE210000}"/>
    <cellStyle name="Normal 2 3 3 5 3 6 2" xfId="11401" xr:uid="{00000000-0005-0000-0000-0000BF210000}"/>
    <cellStyle name="Normal 2 3 3 5 3 6_SSL" xfId="13147" xr:uid="{00000000-0005-0000-0000-0000C0210000}"/>
    <cellStyle name="Normal 2 3 3 5 3 7" xfId="5572" xr:uid="{00000000-0005-0000-0000-0000C1210000}"/>
    <cellStyle name="Normal 2 3 3 5 3 7 2" xfId="12210" xr:uid="{00000000-0005-0000-0000-0000C2210000}"/>
    <cellStyle name="Normal 2 3 3 5 3 7_SSL" xfId="15629" xr:uid="{00000000-0005-0000-0000-0000C3210000}"/>
    <cellStyle name="Normal 2 3 3 5 3 8" xfId="7430" xr:uid="{00000000-0005-0000-0000-0000C4210000}"/>
    <cellStyle name="Normal 2 3 3 5 3 9" xfId="6489" xr:uid="{00000000-0005-0000-0000-0000C5210000}"/>
    <cellStyle name="Normal 2 3 3 5 3_SSL" xfId="16579" xr:uid="{00000000-0005-0000-0000-0000C6210000}"/>
    <cellStyle name="Normal 2 3 3 5 4" xfId="1488" xr:uid="{00000000-0005-0000-0000-0000C7210000}"/>
    <cellStyle name="Normal 2 3 3 5 4 2" xfId="8143" xr:uid="{00000000-0005-0000-0000-0000C8210000}"/>
    <cellStyle name="Normal 2 3 3 5 4_SSL" xfId="15286" xr:uid="{00000000-0005-0000-0000-0000C9210000}"/>
    <cellStyle name="Normal 2 3 3 5 5" xfId="2308" xr:uid="{00000000-0005-0000-0000-0000CA210000}"/>
    <cellStyle name="Normal 2 3 3 5 5 2" xfId="8956" xr:uid="{00000000-0005-0000-0000-0000CB210000}"/>
    <cellStyle name="Normal 2 3 3 5 5_SSL" xfId="12913" xr:uid="{00000000-0005-0000-0000-0000CC210000}"/>
    <cellStyle name="Normal 2 3 3 5 6" xfId="3127" xr:uid="{00000000-0005-0000-0000-0000CD210000}"/>
    <cellStyle name="Normal 2 3 3 5 6 2" xfId="9772" xr:uid="{00000000-0005-0000-0000-0000CE210000}"/>
    <cellStyle name="Normal 2 3 3 5 6_SSL" xfId="17539" xr:uid="{00000000-0005-0000-0000-0000CF210000}"/>
    <cellStyle name="Normal 2 3 3 5 7" xfId="3948" xr:uid="{00000000-0005-0000-0000-0000D0210000}"/>
    <cellStyle name="Normal 2 3 3 5 7 2" xfId="10588" xr:uid="{00000000-0005-0000-0000-0000D1210000}"/>
    <cellStyle name="Normal 2 3 3 5 7_SSL" xfId="17060" xr:uid="{00000000-0005-0000-0000-0000D2210000}"/>
    <cellStyle name="Normal 2 3 3 5 8" xfId="4759" xr:uid="{00000000-0005-0000-0000-0000D3210000}"/>
    <cellStyle name="Normal 2 3 3 5 8 2" xfId="11398" xr:uid="{00000000-0005-0000-0000-0000D4210000}"/>
    <cellStyle name="Normal 2 3 3 5 8_SSL" xfId="16978" xr:uid="{00000000-0005-0000-0000-0000D5210000}"/>
    <cellStyle name="Normal 2 3 3 5 9" xfId="5569" xr:uid="{00000000-0005-0000-0000-0000D6210000}"/>
    <cellStyle name="Normal 2 3 3 5 9 2" xfId="12207" xr:uid="{00000000-0005-0000-0000-0000D7210000}"/>
    <cellStyle name="Normal 2 3 3 5 9_SSL" xfId="13255" xr:uid="{00000000-0005-0000-0000-0000D8210000}"/>
    <cellStyle name="Normal 2 3 3 5_SSL" xfId="15958" xr:uid="{00000000-0005-0000-0000-0000D9210000}"/>
    <cellStyle name="Normal 2 3 3 6" xfId="240" xr:uid="{00000000-0005-0000-0000-0000DA210000}"/>
    <cellStyle name="Normal 2 3 3 6 10" xfId="7117" xr:uid="{00000000-0005-0000-0000-0000DB210000}"/>
    <cellStyle name="Normal 2 3 3 6 11" xfId="6490" xr:uid="{00000000-0005-0000-0000-0000DC210000}"/>
    <cellStyle name="Normal 2 3 3 6 2" xfId="359" xr:uid="{00000000-0005-0000-0000-0000DD210000}"/>
    <cellStyle name="Normal 2 3 3 6 2 10" xfId="6491" xr:uid="{00000000-0005-0000-0000-0000DE210000}"/>
    <cellStyle name="Normal 2 3 3 6 2 2" xfId="747" xr:uid="{00000000-0005-0000-0000-0000DF210000}"/>
    <cellStyle name="Normal 2 3 3 6 2 2 2" xfId="1494" xr:uid="{00000000-0005-0000-0000-0000E0210000}"/>
    <cellStyle name="Normal 2 3 3 6 2 2 2 2" xfId="8149" xr:uid="{00000000-0005-0000-0000-0000E1210000}"/>
    <cellStyle name="Normal 2 3 3 6 2 2 2_SSL" xfId="13200" xr:uid="{00000000-0005-0000-0000-0000E2210000}"/>
    <cellStyle name="Normal 2 3 3 6 2 2 3" xfId="2314" xr:uid="{00000000-0005-0000-0000-0000E3210000}"/>
    <cellStyle name="Normal 2 3 3 6 2 2 3 2" xfId="8962" xr:uid="{00000000-0005-0000-0000-0000E4210000}"/>
    <cellStyle name="Normal 2 3 3 6 2 2 3_SSL" xfId="14254" xr:uid="{00000000-0005-0000-0000-0000E5210000}"/>
    <cellStyle name="Normal 2 3 3 6 2 2 4" xfId="3133" xr:uid="{00000000-0005-0000-0000-0000E6210000}"/>
    <cellStyle name="Normal 2 3 3 6 2 2 4 2" xfId="9778" xr:uid="{00000000-0005-0000-0000-0000E7210000}"/>
    <cellStyle name="Normal 2 3 3 6 2 2 4_SSL" xfId="15783" xr:uid="{00000000-0005-0000-0000-0000E8210000}"/>
    <cellStyle name="Normal 2 3 3 6 2 2 5" xfId="3954" xr:uid="{00000000-0005-0000-0000-0000E9210000}"/>
    <cellStyle name="Normal 2 3 3 6 2 2 5 2" xfId="10594" xr:uid="{00000000-0005-0000-0000-0000EA210000}"/>
    <cellStyle name="Normal 2 3 3 6 2 2 5_SSL" xfId="13285" xr:uid="{00000000-0005-0000-0000-0000EB210000}"/>
    <cellStyle name="Normal 2 3 3 6 2 2 6" xfId="4765" xr:uid="{00000000-0005-0000-0000-0000EC210000}"/>
    <cellStyle name="Normal 2 3 3 6 2 2 6 2" xfId="11404" xr:uid="{00000000-0005-0000-0000-0000ED210000}"/>
    <cellStyle name="Normal 2 3 3 6 2 2 6_SSL" xfId="13006" xr:uid="{00000000-0005-0000-0000-0000EE210000}"/>
    <cellStyle name="Normal 2 3 3 6 2 2 7" xfId="5575" xr:uid="{00000000-0005-0000-0000-0000EF210000}"/>
    <cellStyle name="Normal 2 3 3 6 2 2 7 2" xfId="12213" xr:uid="{00000000-0005-0000-0000-0000F0210000}"/>
    <cellStyle name="Normal 2 3 3 6 2 2 7_SSL" xfId="13045" xr:uid="{00000000-0005-0000-0000-0000F1210000}"/>
    <cellStyle name="Normal 2 3 3 6 2 2 8" xfId="7603" xr:uid="{00000000-0005-0000-0000-0000F2210000}"/>
    <cellStyle name="Normal 2 3 3 6 2 2 9" xfId="6492" xr:uid="{00000000-0005-0000-0000-0000F3210000}"/>
    <cellStyle name="Normal 2 3 3 6 2 2_SSL" xfId="16229" xr:uid="{00000000-0005-0000-0000-0000F4210000}"/>
    <cellStyle name="Normal 2 3 3 6 2 3" xfId="1493" xr:uid="{00000000-0005-0000-0000-0000F5210000}"/>
    <cellStyle name="Normal 2 3 3 6 2 3 2" xfId="8148" xr:uid="{00000000-0005-0000-0000-0000F6210000}"/>
    <cellStyle name="Normal 2 3 3 6 2 3_SSL" xfId="16049" xr:uid="{00000000-0005-0000-0000-0000F7210000}"/>
    <cellStyle name="Normal 2 3 3 6 2 4" xfId="2313" xr:uid="{00000000-0005-0000-0000-0000F8210000}"/>
    <cellStyle name="Normal 2 3 3 6 2 4 2" xfId="8961" xr:uid="{00000000-0005-0000-0000-0000F9210000}"/>
    <cellStyle name="Normal 2 3 3 6 2 4_SSL" xfId="17979" xr:uid="{00000000-0005-0000-0000-0000FA210000}"/>
    <cellStyle name="Normal 2 3 3 6 2 5" xfId="3132" xr:uid="{00000000-0005-0000-0000-0000FB210000}"/>
    <cellStyle name="Normal 2 3 3 6 2 5 2" xfId="9777" xr:uid="{00000000-0005-0000-0000-0000FC210000}"/>
    <cellStyle name="Normal 2 3 3 6 2 5_SSL" xfId="16916" xr:uid="{00000000-0005-0000-0000-0000FD210000}"/>
    <cellStyle name="Normal 2 3 3 6 2 6" xfId="3953" xr:uid="{00000000-0005-0000-0000-0000FE210000}"/>
    <cellStyle name="Normal 2 3 3 6 2 6 2" xfId="10593" xr:uid="{00000000-0005-0000-0000-0000FF210000}"/>
    <cellStyle name="Normal 2 3 3 6 2 6_SSL" xfId="16857" xr:uid="{00000000-0005-0000-0000-000000220000}"/>
    <cellStyle name="Normal 2 3 3 6 2 7" xfId="4764" xr:uid="{00000000-0005-0000-0000-000001220000}"/>
    <cellStyle name="Normal 2 3 3 6 2 7 2" xfId="11403" xr:uid="{00000000-0005-0000-0000-000002220000}"/>
    <cellStyle name="Normal 2 3 3 6 2 7_SSL" xfId="17968" xr:uid="{00000000-0005-0000-0000-000003220000}"/>
    <cellStyle name="Normal 2 3 3 6 2 8" xfId="5574" xr:uid="{00000000-0005-0000-0000-000004220000}"/>
    <cellStyle name="Normal 2 3 3 6 2 8 2" xfId="12212" xr:uid="{00000000-0005-0000-0000-000005220000}"/>
    <cellStyle name="Normal 2 3 3 6 2 8_SSL" xfId="14647" xr:uid="{00000000-0005-0000-0000-000006220000}"/>
    <cellStyle name="Normal 2 3 3 6 2 9" xfId="7219" xr:uid="{00000000-0005-0000-0000-000007220000}"/>
    <cellStyle name="Normal 2 3 3 6 2_SSL" xfId="13210" xr:uid="{00000000-0005-0000-0000-000008220000}"/>
    <cellStyle name="Normal 2 3 3 6 3" xfId="645" xr:uid="{00000000-0005-0000-0000-000009220000}"/>
    <cellStyle name="Normal 2 3 3 6 3 2" xfId="1495" xr:uid="{00000000-0005-0000-0000-00000A220000}"/>
    <cellStyle name="Normal 2 3 3 6 3 2 2" xfId="8150" xr:uid="{00000000-0005-0000-0000-00000B220000}"/>
    <cellStyle name="Normal 2 3 3 6 3 2_SSL" xfId="14412" xr:uid="{00000000-0005-0000-0000-00000C220000}"/>
    <cellStyle name="Normal 2 3 3 6 3 3" xfId="2315" xr:uid="{00000000-0005-0000-0000-00000D220000}"/>
    <cellStyle name="Normal 2 3 3 6 3 3 2" xfId="8963" xr:uid="{00000000-0005-0000-0000-00000E220000}"/>
    <cellStyle name="Normal 2 3 3 6 3 3_SSL" xfId="17774" xr:uid="{00000000-0005-0000-0000-00000F220000}"/>
    <cellStyle name="Normal 2 3 3 6 3 4" xfId="3134" xr:uid="{00000000-0005-0000-0000-000010220000}"/>
    <cellStyle name="Normal 2 3 3 6 3 4 2" xfId="9779" xr:uid="{00000000-0005-0000-0000-000011220000}"/>
    <cellStyle name="Normal 2 3 3 6 3 4_SSL" xfId="16068" xr:uid="{00000000-0005-0000-0000-000012220000}"/>
    <cellStyle name="Normal 2 3 3 6 3 5" xfId="3955" xr:uid="{00000000-0005-0000-0000-000013220000}"/>
    <cellStyle name="Normal 2 3 3 6 3 5 2" xfId="10595" xr:uid="{00000000-0005-0000-0000-000014220000}"/>
    <cellStyle name="Normal 2 3 3 6 3 5_SSL" xfId="14761" xr:uid="{00000000-0005-0000-0000-000015220000}"/>
    <cellStyle name="Normal 2 3 3 6 3 6" xfId="4766" xr:uid="{00000000-0005-0000-0000-000016220000}"/>
    <cellStyle name="Normal 2 3 3 6 3 6 2" xfId="11405" xr:uid="{00000000-0005-0000-0000-000017220000}"/>
    <cellStyle name="Normal 2 3 3 6 3 6_SSL" xfId="13755" xr:uid="{00000000-0005-0000-0000-000018220000}"/>
    <cellStyle name="Normal 2 3 3 6 3 7" xfId="5576" xr:uid="{00000000-0005-0000-0000-000019220000}"/>
    <cellStyle name="Normal 2 3 3 6 3 7 2" xfId="12214" xr:uid="{00000000-0005-0000-0000-00001A220000}"/>
    <cellStyle name="Normal 2 3 3 6 3 7_SSL" xfId="16221" xr:uid="{00000000-0005-0000-0000-00001B220000}"/>
    <cellStyle name="Normal 2 3 3 6 3 8" xfId="7501" xr:uid="{00000000-0005-0000-0000-00001C220000}"/>
    <cellStyle name="Normal 2 3 3 6 3 9" xfId="6493" xr:uid="{00000000-0005-0000-0000-00001D220000}"/>
    <cellStyle name="Normal 2 3 3 6 3_SSL" xfId="13908" xr:uid="{00000000-0005-0000-0000-00001E220000}"/>
    <cellStyle name="Normal 2 3 3 6 4" xfId="1492" xr:uid="{00000000-0005-0000-0000-00001F220000}"/>
    <cellStyle name="Normal 2 3 3 6 4 2" xfId="8147" xr:uid="{00000000-0005-0000-0000-000020220000}"/>
    <cellStyle name="Normal 2 3 3 6 4_SSL" xfId="15413" xr:uid="{00000000-0005-0000-0000-000021220000}"/>
    <cellStyle name="Normal 2 3 3 6 5" xfId="2312" xr:uid="{00000000-0005-0000-0000-000022220000}"/>
    <cellStyle name="Normal 2 3 3 6 5 2" xfId="8960" xr:uid="{00000000-0005-0000-0000-000023220000}"/>
    <cellStyle name="Normal 2 3 3 6 5_SSL" xfId="14304" xr:uid="{00000000-0005-0000-0000-000024220000}"/>
    <cellStyle name="Normal 2 3 3 6 6" xfId="3131" xr:uid="{00000000-0005-0000-0000-000025220000}"/>
    <cellStyle name="Normal 2 3 3 6 6 2" xfId="9776" xr:uid="{00000000-0005-0000-0000-000026220000}"/>
    <cellStyle name="Normal 2 3 3 6 6_SSL" xfId="17445" xr:uid="{00000000-0005-0000-0000-000027220000}"/>
    <cellStyle name="Normal 2 3 3 6 7" xfId="3952" xr:uid="{00000000-0005-0000-0000-000028220000}"/>
    <cellStyle name="Normal 2 3 3 6 7 2" xfId="10592" xr:uid="{00000000-0005-0000-0000-000029220000}"/>
    <cellStyle name="Normal 2 3 3 6 7_SSL" xfId="15115" xr:uid="{00000000-0005-0000-0000-00002A220000}"/>
    <cellStyle name="Normal 2 3 3 6 8" xfId="4763" xr:uid="{00000000-0005-0000-0000-00002B220000}"/>
    <cellStyle name="Normal 2 3 3 6 8 2" xfId="11402" xr:uid="{00000000-0005-0000-0000-00002C220000}"/>
    <cellStyle name="Normal 2 3 3 6 8_SSL" xfId="17901" xr:uid="{00000000-0005-0000-0000-00002D220000}"/>
    <cellStyle name="Normal 2 3 3 6 9" xfId="5573" xr:uid="{00000000-0005-0000-0000-00002E220000}"/>
    <cellStyle name="Normal 2 3 3 6 9 2" xfId="12211" xr:uid="{00000000-0005-0000-0000-00002F220000}"/>
    <cellStyle name="Normal 2 3 3 6 9_SSL" xfId="6095" xr:uid="{00000000-0005-0000-0000-000030220000}"/>
    <cellStyle name="Normal 2 3 3 6_SSL" xfId="15936" xr:uid="{00000000-0005-0000-0000-000031220000}"/>
    <cellStyle name="Normal 2 3 3 7" xfId="352" xr:uid="{00000000-0005-0000-0000-000032220000}"/>
    <cellStyle name="Normal 2 3 3 7 10" xfId="6494" xr:uid="{00000000-0005-0000-0000-000033220000}"/>
    <cellStyle name="Normal 2 3 3 7 2" xfId="740" xr:uid="{00000000-0005-0000-0000-000034220000}"/>
    <cellStyle name="Normal 2 3 3 7 2 2" xfId="1497" xr:uid="{00000000-0005-0000-0000-000035220000}"/>
    <cellStyle name="Normal 2 3 3 7 2 2 2" xfId="8152" xr:uid="{00000000-0005-0000-0000-000036220000}"/>
    <cellStyle name="Normal 2 3 3 7 2 2_SSL" xfId="15366" xr:uid="{00000000-0005-0000-0000-000037220000}"/>
    <cellStyle name="Normal 2 3 3 7 2 3" xfId="2317" xr:uid="{00000000-0005-0000-0000-000038220000}"/>
    <cellStyle name="Normal 2 3 3 7 2 3 2" xfId="8965" xr:uid="{00000000-0005-0000-0000-000039220000}"/>
    <cellStyle name="Normal 2 3 3 7 2 3_SSL" xfId="16186" xr:uid="{00000000-0005-0000-0000-00003A220000}"/>
    <cellStyle name="Normal 2 3 3 7 2 4" xfId="3136" xr:uid="{00000000-0005-0000-0000-00003B220000}"/>
    <cellStyle name="Normal 2 3 3 7 2 4 2" xfId="9781" xr:uid="{00000000-0005-0000-0000-00003C220000}"/>
    <cellStyle name="Normal 2 3 3 7 2 4_SSL" xfId="13405" xr:uid="{00000000-0005-0000-0000-00003D220000}"/>
    <cellStyle name="Normal 2 3 3 7 2 5" xfId="3957" xr:uid="{00000000-0005-0000-0000-00003E220000}"/>
    <cellStyle name="Normal 2 3 3 7 2 5 2" xfId="10597" xr:uid="{00000000-0005-0000-0000-00003F220000}"/>
    <cellStyle name="Normal 2 3 3 7 2 5_SSL" xfId="15875" xr:uid="{00000000-0005-0000-0000-000040220000}"/>
    <cellStyle name="Normal 2 3 3 7 2 6" xfId="4768" xr:uid="{00000000-0005-0000-0000-000041220000}"/>
    <cellStyle name="Normal 2 3 3 7 2 6 2" xfId="11407" xr:uid="{00000000-0005-0000-0000-000042220000}"/>
    <cellStyle name="Normal 2 3 3 7 2 6_SSL" xfId="16768" xr:uid="{00000000-0005-0000-0000-000043220000}"/>
    <cellStyle name="Normal 2 3 3 7 2 7" xfId="5578" xr:uid="{00000000-0005-0000-0000-000044220000}"/>
    <cellStyle name="Normal 2 3 3 7 2 7 2" xfId="12216" xr:uid="{00000000-0005-0000-0000-000045220000}"/>
    <cellStyle name="Normal 2 3 3 7 2 7_SSL" xfId="14216" xr:uid="{00000000-0005-0000-0000-000046220000}"/>
    <cellStyle name="Normal 2 3 3 7 2 8" xfId="7596" xr:uid="{00000000-0005-0000-0000-000047220000}"/>
    <cellStyle name="Normal 2 3 3 7 2 9" xfId="6495" xr:uid="{00000000-0005-0000-0000-000048220000}"/>
    <cellStyle name="Normal 2 3 3 7 2_SSL" xfId="16043" xr:uid="{00000000-0005-0000-0000-000049220000}"/>
    <cellStyle name="Normal 2 3 3 7 3" xfId="1496" xr:uid="{00000000-0005-0000-0000-00004A220000}"/>
    <cellStyle name="Normal 2 3 3 7 3 2" xfId="8151" xr:uid="{00000000-0005-0000-0000-00004B220000}"/>
    <cellStyle name="Normal 2 3 3 7 3_SSL" xfId="17966" xr:uid="{00000000-0005-0000-0000-00004C220000}"/>
    <cellStyle name="Normal 2 3 3 7 4" xfId="2316" xr:uid="{00000000-0005-0000-0000-00004D220000}"/>
    <cellStyle name="Normal 2 3 3 7 4 2" xfId="8964" xr:uid="{00000000-0005-0000-0000-00004E220000}"/>
    <cellStyle name="Normal 2 3 3 7 4_SSL" xfId="17898" xr:uid="{00000000-0005-0000-0000-00004F220000}"/>
    <cellStyle name="Normal 2 3 3 7 5" xfId="3135" xr:uid="{00000000-0005-0000-0000-000050220000}"/>
    <cellStyle name="Normal 2 3 3 7 5 2" xfId="9780" xr:uid="{00000000-0005-0000-0000-000051220000}"/>
    <cellStyle name="Normal 2 3 3 7 5_SSL" xfId="16500" xr:uid="{00000000-0005-0000-0000-000052220000}"/>
    <cellStyle name="Normal 2 3 3 7 6" xfId="3956" xr:uid="{00000000-0005-0000-0000-000053220000}"/>
    <cellStyle name="Normal 2 3 3 7 6 2" xfId="10596" xr:uid="{00000000-0005-0000-0000-000054220000}"/>
    <cellStyle name="Normal 2 3 3 7 6_SSL" xfId="13997" xr:uid="{00000000-0005-0000-0000-000055220000}"/>
    <cellStyle name="Normal 2 3 3 7 7" xfId="4767" xr:uid="{00000000-0005-0000-0000-000056220000}"/>
    <cellStyle name="Normal 2 3 3 7 7 2" xfId="11406" xr:uid="{00000000-0005-0000-0000-000057220000}"/>
    <cellStyle name="Normal 2 3 3 7 7_SSL" xfId="13876" xr:uid="{00000000-0005-0000-0000-000058220000}"/>
    <cellStyle name="Normal 2 3 3 7 8" xfId="5577" xr:uid="{00000000-0005-0000-0000-000059220000}"/>
    <cellStyle name="Normal 2 3 3 7 8 2" xfId="12215" xr:uid="{00000000-0005-0000-0000-00005A220000}"/>
    <cellStyle name="Normal 2 3 3 7 8_SSL" xfId="13873" xr:uid="{00000000-0005-0000-0000-00005B220000}"/>
    <cellStyle name="Normal 2 3 3 7 9" xfId="7212" xr:uid="{00000000-0005-0000-0000-00005C220000}"/>
    <cellStyle name="Normal 2 3 3 7_SSL" xfId="6057" xr:uid="{00000000-0005-0000-0000-00005D220000}"/>
    <cellStyle name="Normal 2 3 3 8" xfId="478" xr:uid="{00000000-0005-0000-0000-00005E220000}"/>
    <cellStyle name="Normal 2 3 3 8 2" xfId="1498" xr:uid="{00000000-0005-0000-0000-00005F220000}"/>
    <cellStyle name="Normal 2 3 3 8 2 2" xfId="8153" xr:uid="{00000000-0005-0000-0000-000060220000}"/>
    <cellStyle name="Normal 2 3 3 8 2_SSL" xfId="16584" xr:uid="{00000000-0005-0000-0000-000061220000}"/>
    <cellStyle name="Normal 2 3 3 8 3" xfId="2318" xr:uid="{00000000-0005-0000-0000-000062220000}"/>
    <cellStyle name="Normal 2 3 3 8 3 2" xfId="8966" xr:uid="{00000000-0005-0000-0000-000063220000}"/>
    <cellStyle name="Normal 2 3 3 8 3_SSL" xfId="16468" xr:uid="{00000000-0005-0000-0000-000064220000}"/>
    <cellStyle name="Normal 2 3 3 8 4" xfId="3137" xr:uid="{00000000-0005-0000-0000-000065220000}"/>
    <cellStyle name="Normal 2 3 3 8 4 2" xfId="9782" xr:uid="{00000000-0005-0000-0000-000066220000}"/>
    <cellStyle name="Normal 2 3 3 8 4_SSL" xfId="13633" xr:uid="{00000000-0005-0000-0000-000067220000}"/>
    <cellStyle name="Normal 2 3 3 8 5" xfId="3958" xr:uid="{00000000-0005-0000-0000-000068220000}"/>
    <cellStyle name="Normal 2 3 3 8 5 2" xfId="10598" xr:uid="{00000000-0005-0000-0000-000069220000}"/>
    <cellStyle name="Normal 2 3 3 8 5_SSL" xfId="14232" xr:uid="{00000000-0005-0000-0000-00006A220000}"/>
    <cellStyle name="Normal 2 3 3 8 6" xfId="4769" xr:uid="{00000000-0005-0000-0000-00006B220000}"/>
    <cellStyle name="Normal 2 3 3 8 6 2" xfId="11408" xr:uid="{00000000-0005-0000-0000-00006C220000}"/>
    <cellStyle name="Normal 2 3 3 8 6_SSL" xfId="15331" xr:uid="{00000000-0005-0000-0000-00006D220000}"/>
    <cellStyle name="Normal 2 3 3 8 7" xfId="5579" xr:uid="{00000000-0005-0000-0000-00006E220000}"/>
    <cellStyle name="Normal 2 3 3 8 7 2" xfId="12217" xr:uid="{00000000-0005-0000-0000-00006F220000}"/>
    <cellStyle name="Normal 2 3 3 8 7_SSL" xfId="18001" xr:uid="{00000000-0005-0000-0000-000070220000}"/>
    <cellStyle name="Normal 2 3 3 8 8" xfId="7334" xr:uid="{00000000-0005-0000-0000-000071220000}"/>
    <cellStyle name="Normal 2 3 3 8 9" xfId="6496" xr:uid="{00000000-0005-0000-0000-000072220000}"/>
    <cellStyle name="Normal 2 3 3 8_SSL" xfId="15057" xr:uid="{00000000-0005-0000-0000-000073220000}"/>
    <cellStyle name="Normal 2 3 3 9" xfId="1467" xr:uid="{00000000-0005-0000-0000-000074220000}"/>
    <cellStyle name="Normal 2 3 3 9 2" xfId="8122" xr:uid="{00000000-0005-0000-0000-000075220000}"/>
    <cellStyle name="Normal 2 3 3 9_SSL" xfId="15259" xr:uid="{00000000-0005-0000-0000-000076220000}"/>
    <cellStyle name="Normal 2 3 3_SSL" xfId="13526" xr:uid="{00000000-0005-0000-0000-000077220000}"/>
    <cellStyle name="Normal 2 3 4" xfId="80" xr:uid="{00000000-0005-0000-0000-000078220000}"/>
    <cellStyle name="Normal 2 3 4 10" xfId="5580" xr:uid="{00000000-0005-0000-0000-000079220000}"/>
    <cellStyle name="Normal 2 3 4 10 2" xfId="12218" xr:uid="{00000000-0005-0000-0000-00007A220000}"/>
    <cellStyle name="Normal 2 3 4 10_SSL" xfId="14082" xr:uid="{00000000-0005-0000-0000-00007B220000}"/>
    <cellStyle name="Normal 2 3 4 11" xfId="6961" xr:uid="{00000000-0005-0000-0000-00007C220000}"/>
    <cellStyle name="Normal 2 3 4 12" xfId="6497" xr:uid="{00000000-0005-0000-0000-00007D220000}"/>
    <cellStyle name="Normal 2 3 4 2" xfId="180" xr:uid="{00000000-0005-0000-0000-00007E220000}"/>
    <cellStyle name="Normal 2 3 4 2 10" xfId="7057" xr:uid="{00000000-0005-0000-0000-00007F220000}"/>
    <cellStyle name="Normal 2 3 4 2 11" xfId="6498" xr:uid="{00000000-0005-0000-0000-000080220000}"/>
    <cellStyle name="Normal 2 3 4 2 2" xfId="361" xr:uid="{00000000-0005-0000-0000-000081220000}"/>
    <cellStyle name="Normal 2 3 4 2 2 10" xfId="6499" xr:uid="{00000000-0005-0000-0000-000082220000}"/>
    <cellStyle name="Normal 2 3 4 2 2 2" xfId="749" xr:uid="{00000000-0005-0000-0000-000083220000}"/>
    <cellStyle name="Normal 2 3 4 2 2 2 2" xfId="1502" xr:uid="{00000000-0005-0000-0000-000084220000}"/>
    <cellStyle name="Normal 2 3 4 2 2 2 2 2" xfId="8157" xr:uid="{00000000-0005-0000-0000-000085220000}"/>
    <cellStyle name="Normal 2 3 4 2 2 2 2_SSL" xfId="16642" xr:uid="{00000000-0005-0000-0000-000086220000}"/>
    <cellStyle name="Normal 2 3 4 2 2 2 3" xfId="2322" xr:uid="{00000000-0005-0000-0000-000087220000}"/>
    <cellStyle name="Normal 2 3 4 2 2 2 3 2" xfId="8970" xr:uid="{00000000-0005-0000-0000-000088220000}"/>
    <cellStyle name="Normal 2 3 4 2 2 2 3_SSL" xfId="17246" xr:uid="{00000000-0005-0000-0000-000089220000}"/>
    <cellStyle name="Normal 2 3 4 2 2 2 4" xfId="3141" xr:uid="{00000000-0005-0000-0000-00008A220000}"/>
    <cellStyle name="Normal 2 3 4 2 2 2 4 2" xfId="9786" xr:uid="{00000000-0005-0000-0000-00008B220000}"/>
    <cellStyle name="Normal 2 3 4 2 2 2 4_SSL" xfId="16279" xr:uid="{00000000-0005-0000-0000-00008C220000}"/>
    <cellStyle name="Normal 2 3 4 2 2 2 5" xfId="3962" xr:uid="{00000000-0005-0000-0000-00008D220000}"/>
    <cellStyle name="Normal 2 3 4 2 2 2 5 2" xfId="10602" xr:uid="{00000000-0005-0000-0000-00008E220000}"/>
    <cellStyle name="Normal 2 3 4 2 2 2 5_SSL" xfId="16445" xr:uid="{00000000-0005-0000-0000-00008F220000}"/>
    <cellStyle name="Normal 2 3 4 2 2 2 6" xfId="4773" xr:uid="{00000000-0005-0000-0000-000090220000}"/>
    <cellStyle name="Normal 2 3 4 2 2 2 6 2" xfId="11412" xr:uid="{00000000-0005-0000-0000-000091220000}"/>
    <cellStyle name="Normal 2 3 4 2 2 2 6_SSL" xfId="17777" xr:uid="{00000000-0005-0000-0000-000092220000}"/>
    <cellStyle name="Normal 2 3 4 2 2 2 7" xfId="5583" xr:uid="{00000000-0005-0000-0000-000093220000}"/>
    <cellStyle name="Normal 2 3 4 2 2 2 7 2" xfId="12221" xr:uid="{00000000-0005-0000-0000-000094220000}"/>
    <cellStyle name="Normal 2 3 4 2 2 2 7_SSL" xfId="7750" xr:uid="{00000000-0005-0000-0000-000095220000}"/>
    <cellStyle name="Normal 2 3 4 2 2 2 8" xfId="7605" xr:uid="{00000000-0005-0000-0000-000096220000}"/>
    <cellStyle name="Normal 2 3 4 2 2 2 9" xfId="6500" xr:uid="{00000000-0005-0000-0000-000097220000}"/>
    <cellStyle name="Normal 2 3 4 2 2 2_SSL" xfId="17625" xr:uid="{00000000-0005-0000-0000-000098220000}"/>
    <cellStyle name="Normal 2 3 4 2 2 3" xfId="1501" xr:uid="{00000000-0005-0000-0000-000099220000}"/>
    <cellStyle name="Normal 2 3 4 2 2 3 2" xfId="8156" xr:uid="{00000000-0005-0000-0000-00009A220000}"/>
    <cellStyle name="Normal 2 3 4 2 2 3_SSL" xfId="16097" xr:uid="{00000000-0005-0000-0000-00009B220000}"/>
    <cellStyle name="Normal 2 3 4 2 2 4" xfId="2321" xr:uid="{00000000-0005-0000-0000-00009C220000}"/>
    <cellStyle name="Normal 2 3 4 2 2 4 2" xfId="8969" xr:uid="{00000000-0005-0000-0000-00009D220000}"/>
    <cellStyle name="Normal 2 3 4 2 2 4_SSL" xfId="14773" xr:uid="{00000000-0005-0000-0000-00009E220000}"/>
    <cellStyle name="Normal 2 3 4 2 2 5" xfId="3140" xr:uid="{00000000-0005-0000-0000-00009F220000}"/>
    <cellStyle name="Normal 2 3 4 2 2 5 2" xfId="9785" xr:uid="{00000000-0005-0000-0000-0000A0220000}"/>
    <cellStyle name="Normal 2 3 4 2 2 5_SSL" xfId="14570" xr:uid="{00000000-0005-0000-0000-0000A1220000}"/>
    <cellStyle name="Normal 2 3 4 2 2 6" xfId="3961" xr:uid="{00000000-0005-0000-0000-0000A2220000}"/>
    <cellStyle name="Normal 2 3 4 2 2 6 2" xfId="10601" xr:uid="{00000000-0005-0000-0000-0000A3220000}"/>
    <cellStyle name="Normal 2 3 4 2 2 6_SSL" xfId="13838" xr:uid="{00000000-0005-0000-0000-0000A4220000}"/>
    <cellStyle name="Normal 2 3 4 2 2 7" xfId="4772" xr:uid="{00000000-0005-0000-0000-0000A5220000}"/>
    <cellStyle name="Normal 2 3 4 2 2 7 2" xfId="11411" xr:uid="{00000000-0005-0000-0000-0000A6220000}"/>
    <cellStyle name="Normal 2 3 4 2 2 7_SSL" xfId="15203" xr:uid="{00000000-0005-0000-0000-0000A7220000}"/>
    <cellStyle name="Normal 2 3 4 2 2 8" xfId="5582" xr:uid="{00000000-0005-0000-0000-0000A8220000}"/>
    <cellStyle name="Normal 2 3 4 2 2 8 2" xfId="12220" xr:uid="{00000000-0005-0000-0000-0000A9220000}"/>
    <cellStyle name="Normal 2 3 4 2 2 8_SSL" xfId="15739" xr:uid="{00000000-0005-0000-0000-0000AA220000}"/>
    <cellStyle name="Normal 2 3 4 2 2 9" xfId="7221" xr:uid="{00000000-0005-0000-0000-0000AB220000}"/>
    <cellStyle name="Normal 2 3 4 2 2_SSL" xfId="12649" xr:uid="{00000000-0005-0000-0000-0000AC220000}"/>
    <cellStyle name="Normal 2 3 4 2 3" xfId="585" xr:uid="{00000000-0005-0000-0000-0000AD220000}"/>
    <cellStyle name="Normal 2 3 4 2 3 2" xfId="1503" xr:uid="{00000000-0005-0000-0000-0000AE220000}"/>
    <cellStyle name="Normal 2 3 4 2 3 2 2" xfId="8158" xr:uid="{00000000-0005-0000-0000-0000AF220000}"/>
    <cellStyle name="Normal 2 3 4 2 3 2_SSL" xfId="13758" xr:uid="{00000000-0005-0000-0000-0000B0220000}"/>
    <cellStyle name="Normal 2 3 4 2 3 3" xfId="2323" xr:uid="{00000000-0005-0000-0000-0000B1220000}"/>
    <cellStyle name="Normal 2 3 4 2 3 3 2" xfId="8971" xr:uid="{00000000-0005-0000-0000-0000B2220000}"/>
    <cellStyle name="Normal 2 3 4 2 3 3_SSL" xfId="14567" xr:uid="{00000000-0005-0000-0000-0000B3220000}"/>
    <cellStyle name="Normal 2 3 4 2 3 4" xfId="3142" xr:uid="{00000000-0005-0000-0000-0000B4220000}"/>
    <cellStyle name="Normal 2 3 4 2 3 4 2" xfId="9787" xr:uid="{00000000-0005-0000-0000-0000B5220000}"/>
    <cellStyle name="Normal 2 3 4 2 3 4_SSL" xfId="13593" xr:uid="{00000000-0005-0000-0000-0000B6220000}"/>
    <cellStyle name="Normal 2 3 4 2 3 5" xfId="3963" xr:uid="{00000000-0005-0000-0000-0000B7220000}"/>
    <cellStyle name="Normal 2 3 4 2 3 5 2" xfId="10603" xr:uid="{00000000-0005-0000-0000-0000B8220000}"/>
    <cellStyle name="Normal 2 3 4 2 3 5_SSL" xfId="17411" xr:uid="{00000000-0005-0000-0000-0000B9220000}"/>
    <cellStyle name="Normal 2 3 4 2 3 6" xfId="4774" xr:uid="{00000000-0005-0000-0000-0000BA220000}"/>
    <cellStyle name="Normal 2 3 4 2 3 6 2" xfId="11413" xr:uid="{00000000-0005-0000-0000-0000BB220000}"/>
    <cellStyle name="Normal 2 3 4 2 3 6_SSL" xfId="16406" xr:uid="{00000000-0005-0000-0000-0000BC220000}"/>
    <cellStyle name="Normal 2 3 4 2 3 7" xfId="5584" xr:uid="{00000000-0005-0000-0000-0000BD220000}"/>
    <cellStyle name="Normal 2 3 4 2 3 7 2" xfId="12222" xr:uid="{00000000-0005-0000-0000-0000BE220000}"/>
    <cellStyle name="Normal 2 3 4 2 3 7_SSL" xfId="17012" xr:uid="{00000000-0005-0000-0000-0000BF220000}"/>
    <cellStyle name="Normal 2 3 4 2 3 8" xfId="7441" xr:uid="{00000000-0005-0000-0000-0000C0220000}"/>
    <cellStyle name="Normal 2 3 4 2 3 9" xfId="6501" xr:uid="{00000000-0005-0000-0000-0000C1220000}"/>
    <cellStyle name="Normal 2 3 4 2 3_SSL" xfId="15560" xr:uid="{00000000-0005-0000-0000-0000C2220000}"/>
    <cellStyle name="Normal 2 3 4 2 4" xfId="1500" xr:uid="{00000000-0005-0000-0000-0000C3220000}"/>
    <cellStyle name="Normal 2 3 4 2 4 2" xfId="8155" xr:uid="{00000000-0005-0000-0000-0000C4220000}"/>
    <cellStyle name="Normal 2 3 4 2 4_SSL" xfId="12706" xr:uid="{00000000-0005-0000-0000-0000C5220000}"/>
    <cellStyle name="Normal 2 3 4 2 5" xfId="2320" xr:uid="{00000000-0005-0000-0000-0000C6220000}"/>
    <cellStyle name="Normal 2 3 4 2 5 2" xfId="8968" xr:uid="{00000000-0005-0000-0000-0000C7220000}"/>
    <cellStyle name="Normal 2 3 4 2 5_SSL" xfId="14069" xr:uid="{00000000-0005-0000-0000-0000C8220000}"/>
    <cellStyle name="Normal 2 3 4 2 6" xfId="3139" xr:uid="{00000000-0005-0000-0000-0000C9220000}"/>
    <cellStyle name="Normal 2 3 4 2 6 2" xfId="9784" xr:uid="{00000000-0005-0000-0000-0000CA220000}"/>
    <cellStyle name="Normal 2 3 4 2 6_SSL" xfId="15296" xr:uid="{00000000-0005-0000-0000-0000CB220000}"/>
    <cellStyle name="Normal 2 3 4 2 7" xfId="3960" xr:uid="{00000000-0005-0000-0000-0000CC220000}"/>
    <cellStyle name="Normal 2 3 4 2 7 2" xfId="10600" xr:uid="{00000000-0005-0000-0000-0000CD220000}"/>
    <cellStyle name="Normal 2 3 4 2 7_SSL" xfId="16697" xr:uid="{00000000-0005-0000-0000-0000CE220000}"/>
    <cellStyle name="Normal 2 3 4 2 8" xfId="4771" xr:uid="{00000000-0005-0000-0000-0000CF220000}"/>
    <cellStyle name="Normal 2 3 4 2 8 2" xfId="11410" xr:uid="{00000000-0005-0000-0000-0000D0220000}"/>
    <cellStyle name="Normal 2 3 4 2 8_SSL" xfId="17311" xr:uid="{00000000-0005-0000-0000-0000D1220000}"/>
    <cellStyle name="Normal 2 3 4 2 9" xfId="5581" xr:uid="{00000000-0005-0000-0000-0000D2220000}"/>
    <cellStyle name="Normal 2 3 4 2 9 2" xfId="12219" xr:uid="{00000000-0005-0000-0000-0000D3220000}"/>
    <cellStyle name="Normal 2 3 4 2 9_SSL" xfId="15242" xr:uid="{00000000-0005-0000-0000-0000D4220000}"/>
    <cellStyle name="Normal 2 3 4 2_SSL" xfId="13254" xr:uid="{00000000-0005-0000-0000-0000D5220000}"/>
    <cellStyle name="Normal 2 3 4 3" xfId="360" xr:uid="{00000000-0005-0000-0000-0000D6220000}"/>
    <cellStyle name="Normal 2 3 4 3 10" xfId="6502" xr:uid="{00000000-0005-0000-0000-0000D7220000}"/>
    <cellStyle name="Normal 2 3 4 3 2" xfId="748" xr:uid="{00000000-0005-0000-0000-0000D8220000}"/>
    <cellStyle name="Normal 2 3 4 3 2 2" xfId="1505" xr:uid="{00000000-0005-0000-0000-0000D9220000}"/>
    <cellStyle name="Normal 2 3 4 3 2 2 2" xfId="8160" xr:uid="{00000000-0005-0000-0000-0000DA220000}"/>
    <cellStyle name="Normal 2 3 4 3 2 2_SSL" xfId="16875" xr:uid="{00000000-0005-0000-0000-0000DB220000}"/>
    <cellStyle name="Normal 2 3 4 3 2 3" xfId="2325" xr:uid="{00000000-0005-0000-0000-0000DC220000}"/>
    <cellStyle name="Normal 2 3 4 3 2 3 2" xfId="8973" xr:uid="{00000000-0005-0000-0000-0000DD220000}"/>
    <cellStyle name="Normal 2 3 4 3 2 3_SSL" xfId="15160" xr:uid="{00000000-0005-0000-0000-0000DE220000}"/>
    <cellStyle name="Normal 2 3 4 3 2 4" xfId="3144" xr:uid="{00000000-0005-0000-0000-0000DF220000}"/>
    <cellStyle name="Normal 2 3 4 3 2 4 2" xfId="9789" xr:uid="{00000000-0005-0000-0000-0000E0220000}"/>
    <cellStyle name="Normal 2 3 4 3 2 4_SSL" xfId="16533" xr:uid="{00000000-0005-0000-0000-0000E1220000}"/>
    <cellStyle name="Normal 2 3 4 3 2 5" xfId="3965" xr:uid="{00000000-0005-0000-0000-0000E2220000}"/>
    <cellStyle name="Normal 2 3 4 3 2 5 2" xfId="10605" xr:uid="{00000000-0005-0000-0000-0000E3220000}"/>
    <cellStyle name="Normal 2 3 4 3 2 5_SSL" xfId="17550" xr:uid="{00000000-0005-0000-0000-0000E4220000}"/>
    <cellStyle name="Normal 2 3 4 3 2 6" xfId="4776" xr:uid="{00000000-0005-0000-0000-0000E5220000}"/>
    <cellStyle name="Normal 2 3 4 3 2 6 2" xfId="11415" xr:uid="{00000000-0005-0000-0000-0000E6220000}"/>
    <cellStyle name="Normal 2 3 4 3 2 6_SSL" xfId="17851" xr:uid="{00000000-0005-0000-0000-0000E7220000}"/>
    <cellStyle name="Normal 2 3 4 3 2 7" xfId="5586" xr:uid="{00000000-0005-0000-0000-0000E8220000}"/>
    <cellStyle name="Normal 2 3 4 3 2 7 2" xfId="12224" xr:uid="{00000000-0005-0000-0000-0000E9220000}"/>
    <cellStyle name="Normal 2 3 4 3 2 7_SSL" xfId="13398" xr:uid="{00000000-0005-0000-0000-0000EA220000}"/>
    <cellStyle name="Normal 2 3 4 3 2 8" xfId="7604" xr:uid="{00000000-0005-0000-0000-0000EB220000}"/>
    <cellStyle name="Normal 2 3 4 3 2 9" xfId="6503" xr:uid="{00000000-0005-0000-0000-0000EC220000}"/>
    <cellStyle name="Normal 2 3 4 3 2_SSL" xfId="14608" xr:uid="{00000000-0005-0000-0000-0000ED220000}"/>
    <cellStyle name="Normal 2 3 4 3 3" xfId="1504" xr:uid="{00000000-0005-0000-0000-0000EE220000}"/>
    <cellStyle name="Normal 2 3 4 3 3 2" xfId="8159" xr:uid="{00000000-0005-0000-0000-0000EF220000}"/>
    <cellStyle name="Normal 2 3 4 3 3_SSL" xfId="15088" xr:uid="{00000000-0005-0000-0000-0000F0220000}"/>
    <cellStyle name="Normal 2 3 4 3 4" xfId="2324" xr:uid="{00000000-0005-0000-0000-0000F1220000}"/>
    <cellStyle name="Normal 2 3 4 3 4 2" xfId="8972" xr:uid="{00000000-0005-0000-0000-0000F2220000}"/>
    <cellStyle name="Normal 2 3 4 3 4_SSL" xfId="14983" xr:uid="{00000000-0005-0000-0000-0000F3220000}"/>
    <cellStyle name="Normal 2 3 4 3 5" xfId="3143" xr:uid="{00000000-0005-0000-0000-0000F4220000}"/>
    <cellStyle name="Normal 2 3 4 3 5 2" xfId="9788" xr:uid="{00000000-0005-0000-0000-0000F5220000}"/>
    <cellStyle name="Normal 2 3 4 3 5_SSL" xfId="6083" xr:uid="{00000000-0005-0000-0000-0000F6220000}"/>
    <cellStyle name="Normal 2 3 4 3 6" xfId="3964" xr:uid="{00000000-0005-0000-0000-0000F7220000}"/>
    <cellStyle name="Normal 2 3 4 3 6 2" xfId="10604" xr:uid="{00000000-0005-0000-0000-0000F8220000}"/>
    <cellStyle name="Normal 2 3 4 3 6_SSL" xfId="14729" xr:uid="{00000000-0005-0000-0000-0000F9220000}"/>
    <cellStyle name="Normal 2 3 4 3 7" xfId="4775" xr:uid="{00000000-0005-0000-0000-0000FA220000}"/>
    <cellStyle name="Normal 2 3 4 3 7 2" xfId="11414" xr:uid="{00000000-0005-0000-0000-0000FB220000}"/>
    <cellStyle name="Normal 2 3 4 3 7_SSL" xfId="16884" xr:uid="{00000000-0005-0000-0000-0000FC220000}"/>
    <cellStyle name="Normal 2 3 4 3 8" xfId="5585" xr:uid="{00000000-0005-0000-0000-0000FD220000}"/>
    <cellStyle name="Normal 2 3 4 3 8 2" xfId="12223" xr:uid="{00000000-0005-0000-0000-0000FE220000}"/>
    <cellStyle name="Normal 2 3 4 3 8_SSL" xfId="14295" xr:uid="{00000000-0005-0000-0000-0000FF220000}"/>
    <cellStyle name="Normal 2 3 4 3 9" xfId="7220" xr:uid="{00000000-0005-0000-0000-000000230000}"/>
    <cellStyle name="Normal 2 3 4 3_SSL" xfId="14282" xr:uid="{00000000-0005-0000-0000-000001230000}"/>
    <cellStyle name="Normal 2 3 4 4" xfId="489" xr:uid="{00000000-0005-0000-0000-000002230000}"/>
    <cellStyle name="Normal 2 3 4 4 2" xfId="1506" xr:uid="{00000000-0005-0000-0000-000003230000}"/>
    <cellStyle name="Normal 2 3 4 4 2 2" xfId="8161" xr:uid="{00000000-0005-0000-0000-000004230000}"/>
    <cellStyle name="Normal 2 3 4 4 2_SSL" xfId="15223" xr:uid="{00000000-0005-0000-0000-000005230000}"/>
    <cellStyle name="Normal 2 3 4 4 3" xfId="2326" xr:uid="{00000000-0005-0000-0000-000006230000}"/>
    <cellStyle name="Normal 2 3 4 4 3 2" xfId="8974" xr:uid="{00000000-0005-0000-0000-000007230000}"/>
    <cellStyle name="Normal 2 3 4 4 3_SSL" xfId="14712" xr:uid="{00000000-0005-0000-0000-000008230000}"/>
    <cellStyle name="Normal 2 3 4 4 4" xfId="3145" xr:uid="{00000000-0005-0000-0000-000009230000}"/>
    <cellStyle name="Normal 2 3 4 4 4 2" xfId="9790" xr:uid="{00000000-0005-0000-0000-00000A230000}"/>
    <cellStyle name="Normal 2 3 4 4 4_SSL" xfId="16309" xr:uid="{00000000-0005-0000-0000-00000B230000}"/>
    <cellStyle name="Normal 2 3 4 4 5" xfId="3966" xr:uid="{00000000-0005-0000-0000-00000C230000}"/>
    <cellStyle name="Normal 2 3 4 4 5 2" xfId="10606" xr:uid="{00000000-0005-0000-0000-00000D230000}"/>
    <cellStyle name="Normal 2 3 4 4 5_SSL" xfId="15240" xr:uid="{00000000-0005-0000-0000-00000E230000}"/>
    <cellStyle name="Normal 2 3 4 4 6" xfId="4777" xr:uid="{00000000-0005-0000-0000-00000F230000}"/>
    <cellStyle name="Normal 2 3 4 4 6 2" xfId="11416" xr:uid="{00000000-0005-0000-0000-000010230000}"/>
    <cellStyle name="Normal 2 3 4 4 6_SSL" xfId="14483" xr:uid="{00000000-0005-0000-0000-000011230000}"/>
    <cellStyle name="Normal 2 3 4 4 7" xfId="5587" xr:uid="{00000000-0005-0000-0000-000012230000}"/>
    <cellStyle name="Normal 2 3 4 4 7 2" xfId="12225" xr:uid="{00000000-0005-0000-0000-000013230000}"/>
    <cellStyle name="Normal 2 3 4 4 7_SSL" xfId="17757" xr:uid="{00000000-0005-0000-0000-000014230000}"/>
    <cellStyle name="Normal 2 3 4 4 8" xfId="7345" xr:uid="{00000000-0005-0000-0000-000015230000}"/>
    <cellStyle name="Normal 2 3 4 4 9" xfId="6504" xr:uid="{00000000-0005-0000-0000-000016230000}"/>
    <cellStyle name="Normal 2 3 4 4_SSL" xfId="16528" xr:uid="{00000000-0005-0000-0000-000017230000}"/>
    <cellStyle name="Normal 2 3 4 5" xfId="1499" xr:uid="{00000000-0005-0000-0000-000018230000}"/>
    <cellStyle name="Normal 2 3 4 5 2" xfId="8154" xr:uid="{00000000-0005-0000-0000-000019230000}"/>
    <cellStyle name="Normal 2 3 4 5_SSL" xfId="15505" xr:uid="{00000000-0005-0000-0000-00001A230000}"/>
    <cellStyle name="Normal 2 3 4 6" xfId="2319" xr:uid="{00000000-0005-0000-0000-00001B230000}"/>
    <cellStyle name="Normal 2 3 4 6 2" xfId="8967" xr:uid="{00000000-0005-0000-0000-00001C230000}"/>
    <cellStyle name="Normal 2 3 4 6_SSL" xfId="17879" xr:uid="{00000000-0005-0000-0000-00001D230000}"/>
    <cellStyle name="Normal 2 3 4 7" xfId="3138" xr:uid="{00000000-0005-0000-0000-00001E230000}"/>
    <cellStyle name="Normal 2 3 4 7 2" xfId="9783" xr:uid="{00000000-0005-0000-0000-00001F230000}"/>
    <cellStyle name="Normal 2 3 4 7_SSL" xfId="15121" xr:uid="{00000000-0005-0000-0000-000020230000}"/>
    <cellStyle name="Normal 2 3 4 8" xfId="3959" xr:uid="{00000000-0005-0000-0000-000021230000}"/>
    <cellStyle name="Normal 2 3 4 8 2" xfId="10599" xr:uid="{00000000-0005-0000-0000-000022230000}"/>
    <cellStyle name="Normal 2 3 4 8_SSL" xfId="14614" xr:uid="{00000000-0005-0000-0000-000023230000}"/>
    <cellStyle name="Normal 2 3 4 9" xfId="4770" xr:uid="{00000000-0005-0000-0000-000024230000}"/>
    <cellStyle name="Normal 2 3 4 9 2" xfId="11409" xr:uid="{00000000-0005-0000-0000-000025230000}"/>
    <cellStyle name="Normal 2 3 4 9_SSL" xfId="16673" xr:uid="{00000000-0005-0000-0000-000026230000}"/>
    <cellStyle name="Normal 2 3 4_SSL" xfId="17424" xr:uid="{00000000-0005-0000-0000-000027230000}"/>
    <cellStyle name="Normal 2 3 5" xfId="107" xr:uid="{00000000-0005-0000-0000-000028230000}"/>
    <cellStyle name="Normal 2 3 5 10" xfId="5588" xr:uid="{00000000-0005-0000-0000-000029230000}"/>
    <cellStyle name="Normal 2 3 5 10 2" xfId="12226" xr:uid="{00000000-0005-0000-0000-00002A230000}"/>
    <cellStyle name="Normal 2 3 5 10_SSL" xfId="13377" xr:uid="{00000000-0005-0000-0000-00002B230000}"/>
    <cellStyle name="Normal 2 3 5 11" xfId="6984" xr:uid="{00000000-0005-0000-0000-00002C230000}"/>
    <cellStyle name="Normal 2 3 5 12" xfId="6505" xr:uid="{00000000-0005-0000-0000-00002D230000}"/>
    <cellStyle name="Normal 2 3 5 2" xfId="203" xr:uid="{00000000-0005-0000-0000-00002E230000}"/>
    <cellStyle name="Normal 2 3 5 2 10" xfId="7080" xr:uid="{00000000-0005-0000-0000-00002F230000}"/>
    <cellStyle name="Normal 2 3 5 2 11" xfId="6506" xr:uid="{00000000-0005-0000-0000-000030230000}"/>
    <cellStyle name="Normal 2 3 5 2 2" xfId="363" xr:uid="{00000000-0005-0000-0000-000031230000}"/>
    <cellStyle name="Normal 2 3 5 2 2 10" xfId="6507" xr:uid="{00000000-0005-0000-0000-000032230000}"/>
    <cellStyle name="Normal 2 3 5 2 2 2" xfId="751" xr:uid="{00000000-0005-0000-0000-000033230000}"/>
    <cellStyle name="Normal 2 3 5 2 2 2 2" xfId="1510" xr:uid="{00000000-0005-0000-0000-000034230000}"/>
    <cellStyle name="Normal 2 3 5 2 2 2 2 2" xfId="8165" xr:uid="{00000000-0005-0000-0000-000035230000}"/>
    <cellStyle name="Normal 2 3 5 2 2 2 2_SSL" xfId="12651" xr:uid="{00000000-0005-0000-0000-000036230000}"/>
    <cellStyle name="Normal 2 3 5 2 2 2 3" xfId="2330" xr:uid="{00000000-0005-0000-0000-000037230000}"/>
    <cellStyle name="Normal 2 3 5 2 2 2 3 2" xfId="8978" xr:uid="{00000000-0005-0000-0000-000038230000}"/>
    <cellStyle name="Normal 2 3 5 2 2 2 3_SSL" xfId="14555" xr:uid="{00000000-0005-0000-0000-000039230000}"/>
    <cellStyle name="Normal 2 3 5 2 2 2 4" xfId="3149" xr:uid="{00000000-0005-0000-0000-00003A230000}"/>
    <cellStyle name="Normal 2 3 5 2 2 2 4 2" xfId="9794" xr:uid="{00000000-0005-0000-0000-00003B230000}"/>
    <cellStyle name="Normal 2 3 5 2 2 2 4_SSL" xfId="16516" xr:uid="{00000000-0005-0000-0000-00003C230000}"/>
    <cellStyle name="Normal 2 3 5 2 2 2 5" xfId="3970" xr:uid="{00000000-0005-0000-0000-00003D230000}"/>
    <cellStyle name="Normal 2 3 5 2 2 2 5 2" xfId="10610" xr:uid="{00000000-0005-0000-0000-00003E230000}"/>
    <cellStyle name="Normal 2 3 5 2 2 2 5_SSL" xfId="17914" xr:uid="{00000000-0005-0000-0000-00003F230000}"/>
    <cellStyle name="Normal 2 3 5 2 2 2 6" xfId="4781" xr:uid="{00000000-0005-0000-0000-000040230000}"/>
    <cellStyle name="Normal 2 3 5 2 2 2 6 2" xfId="11420" xr:uid="{00000000-0005-0000-0000-000041230000}"/>
    <cellStyle name="Normal 2 3 5 2 2 2 6_SSL" xfId="16531" xr:uid="{00000000-0005-0000-0000-000042230000}"/>
    <cellStyle name="Normal 2 3 5 2 2 2 7" xfId="5591" xr:uid="{00000000-0005-0000-0000-000043230000}"/>
    <cellStyle name="Normal 2 3 5 2 2 2 7 2" xfId="12229" xr:uid="{00000000-0005-0000-0000-000044230000}"/>
    <cellStyle name="Normal 2 3 5 2 2 2 7_SSL" xfId="12827" xr:uid="{00000000-0005-0000-0000-000045230000}"/>
    <cellStyle name="Normal 2 3 5 2 2 2 8" xfId="7607" xr:uid="{00000000-0005-0000-0000-000046230000}"/>
    <cellStyle name="Normal 2 3 5 2 2 2 9" xfId="6508" xr:uid="{00000000-0005-0000-0000-000047230000}"/>
    <cellStyle name="Normal 2 3 5 2 2 2_SSL" xfId="15838" xr:uid="{00000000-0005-0000-0000-000048230000}"/>
    <cellStyle name="Normal 2 3 5 2 2 3" xfId="1509" xr:uid="{00000000-0005-0000-0000-000049230000}"/>
    <cellStyle name="Normal 2 3 5 2 2 3 2" xfId="8164" xr:uid="{00000000-0005-0000-0000-00004A230000}"/>
    <cellStyle name="Normal 2 3 5 2 2 3_SSL" xfId="16878" xr:uid="{00000000-0005-0000-0000-00004B230000}"/>
    <cellStyle name="Normal 2 3 5 2 2 4" xfId="2329" xr:uid="{00000000-0005-0000-0000-00004C230000}"/>
    <cellStyle name="Normal 2 3 5 2 2 4 2" xfId="8977" xr:uid="{00000000-0005-0000-0000-00004D230000}"/>
    <cellStyle name="Normal 2 3 5 2 2 4_SSL" xfId="16787" xr:uid="{00000000-0005-0000-0000-00004E230000}"/>
    <cellStyle name="Normal 2 3 5 2 2 5" xfId="3148" xr:uid="{00000000-0005-0000-0000-00004F230000}"/>
    <cellStyle name="Normal 2 3 5 2 2 5 2" xfId="9793" xr:uid="{00000000-0005-0000-0000-000050230000}"/>
    <cellStyle name="Normal 2 3 5 2 2 5_SSL" xfId="16058" xr:uid="{00000000-0005-0000-0000-000051230000}"/>
    <cellStyle name="Normal 2 3 5 2 2 6" xfId="3969" xr:uid="{00000000-0005-0000-0000-000052230000}"/>
    <cellStyle name="Normal 2 3 5 2 2 6 2" xfId="10609" xr:uid="{00000000-0005-0000-0000-000053230000}"/>
    <cellStyle name="Normal 2 3 5 2 2 6_SSL" xfId="16456" xr:uid="{00000000-0005-0000-0000-000054230000}"/>
    <cellStyle name="Normal 2 3 5 2 2 7" xfId="4780" xr:uid="{00000000-0005-0000-0000-000055230000}"/>
    <cellStyle name="Normal 2 3 5 2 2 7 2" xfId="11419" xr:uid="{00000000-0005-0000-0000-000056230000}"/>
    <cellStyle name="Normal 2 3 5 2 2 7_SSL" xfId="16940" xr:uid="{00000000-0005-0000-0000-000057230000}"/>
    <cellStyle name="Normal 2 3 5 2 2 8" xfId="5590" xr:uid="{00000000-0005-0000-0000-000058230000}"/>
    <cellStyle name="Normal 2 3 5 2 2 8 2" xfId="12228" xr:uid="{00000000-0005-0000-0000-000059230000}"/>
    <cellStyle name="Normal 2 3 5 2 2 8_SSL" xfId="17173" xr:uid="{00000000-0005-0000-0000-00005A230000}"/>
    <cellStyle name="Normal 2 3 5 2 2 9" xfId="7223" xr:uid="{00000000-0005-0000-0000-00005B230000}"/>
    <cellStyle name="Normal 2 3 5 2 2_SSL" xfId="13171" xr:uid="{00000000-0005-0000-0000-00005C230000}"/>
    <cellStyle name="Normal 2 3 5 2 3" xfId="608" xr:uid="{00000000-0005-0000-0000-00005D230000}"/>
    <cellStyle name="Normal 2 3 5 2 3 2" xfId="1511" xr:uid="{00000000-0005-0000-0000-00005E230000}"/>
    <cellStyle name="Normal 2 3 5 2 3 2 2" xfId="8166" xr:uid="{00000000-0005-0000-0000-00005F230000}"/>
    <cellStyle name="Normal 2 3 5 2 3 2_SSL" xfId="13029" xr:uid="{00000000-0005-0000-0000-000060230000}"/>
    <cellStyle name="Normal 2 3 5 2 3 3" xfId="2331" xr:uid="{00000000-0005-0000-0000-000061230000}"/>
    <cellStyle name="Normal 2 3 5 2 3 3 2" xfId="8979" xr:uid="{00000000-0005-0000-0000-000062230000}"/>
    <cellStyle name="Normal 2 3 5 2 3 3_SSL" xfId="6053" xr:uid="{00000000-0005-0000-0000-000063230000}"/>
    <cellStyle name="Normal 2 3 5 2 3 4" xfId="3150" xr:uid="{00000000-0005-0000-0000-000064230000}"/>
    <cellStyle name="Normal 2 3 5 2 3 4 2" xfId="9795" xr:uid="{00000000-0005-0000-0000-000065230000}"/>
    <cellStyle name="Normal 2 3 5 2 3 4_SSL" xfId="13347" xr:uid="{00000000-0005-0000-0000-000066230000}"/>
    <cellStyle name="Normal 2 3 5 2 3 5" xfId="3971" xr:uid="{00000000-0005-0000-0000-000067230000}"/>
    <cellStyle name="Normal 2 3 5 2 3 5 2" xfId="10611" xr:uid="{00000000-0005-0000-0000-000068230000}"/>
    <cellStyle name="Normal 2 3 5 2 3 5_SSL" xfId="15577" xr:uid="{00000000-0005-0000-0000-000069230000}"/>
    <cellStyle name="Normal 2 3 5 2 3 6" xfId="4782" xr:uid="{00000000-0005-0000-0000-00006A230000}"/>
    <cellStyle name="Normal 2 3 5 2 3 6 2" xfId="11421" xr:uid="{00000000-0005-0000-0000-00006B230000}"/>
    <cellStyle name="Normal 2 3 5 2 3 6_SSL" xfId="17379" xr:uid="{00000000-0005-0000-0000-00006C230000}"/>
    <cellStyle name="Normal 2 3 5 2 3 7" xfId="5592" xr:uid="{00000000-0005-0000-0000-00006D230000}"/>
    <cellStyle name="Normal 2 3 5 2 3 7 2" xfId="12230" xr:uid="{00000000-0005-0000-0000-00006E230000}"/>
    <cellStyle name="Normal 2 3 5 2 3 7_SSL" xfId="14435" xr:uid="{00000000-0005-0000-0000-00006F230000}"/>
    <cellStyle name="Normal 2 3 5 2 3 8" xfId="7464" xr:uid="{00000000-0005-0000-0000-000070230000}"/>
    <cellStyle name="Normal 2 3 5 2 3 9" xfId="6509" xr:uid="{00000000-0005-0000-0000-000071230000}"/>
    <cellStyle name="Normal 2 3 5 2 3_SSL" xfId="14869" xr:uid="{00000000-0005-0000-0000-000072230000}"/>
    <cellStyle name="Normal 2 3 5 2 4" xfId="1508" xr:uid="{00000000-0005-0000-0000-000073230000}"/>
    <cellStyle name="Normal 2 3 5 2 4 2" xfId="8163" xr:uid="{00000000-0005-0000-0000-000074230000}"/>
    <cellStyle name="Normal 2 3 5 2 4_SSL" xfId="16735" xr:uid="{00000000-0005-0000-0000-000075230000}"/>
    <cellStyle name="Normal 2 3 5 2 5" xfId="2328" xr:uid="{00000000-0005-0000-0000-000076230000}"/>
    <cellStyle name="Normal 2 3 5 2 5 2" xfId="8976" xr:uid="{00000000-0005-0000-0000-000077230000}"/>
    <cellStyle name="Normal 2 3 5 2 5_SSL" xfId="13296" xr:uid="{00000000-0005-0000-0000-000078230000}"/>
    <cellStyle name="Normal 2 3 5 2 6" xfId="3147" xr:uid="{00000000-0005-0000-0000-000079230000}"/>
    <cellStyle name="Normal 2 3 5 2 6 2" xfId="9792" xr:uid="{00000000-0005-0000-0000-00007A230000}"/>
    <cellStyle name="Normal 2 3 5 2 6_SSL" xfId="14802" xr:uid="{00000000-0005-0000-0000-00007B230000}"/>
    <cellStyle name="Normal 2 3 5 2 7" xfId="3968" xr:uid="{00000000-0005-0000-0000-00007C230000}"/>
    <cellStyle name="Normal 2 3 5 2 7 2" xfId="10608" xr:uid="{00000000-0005-0000-0000-00007D230000}"/>
    <cellStyle name="Normal 2 3 5 2 7_SSL" xfId="12660" xr:uid="{00000000-0005-0000-0000-00007E230000}"/>
    <cellStyle name="Normal 2 3 5 2 8" xfId="4779" xr:uid="{00000000-0005-0000-0000-00007F230000}"/>
    <cellStyle name="Normal 2 3 5 2 8 2" xfId="11418" xr:uid="{00000000-0005-0000-0000-000080230000}"/>
    <cellStyle name="Normal 2 3 5 2 8_SSL" xfId="13115" xr:uid="{00000000-0005-0000-0000-000081230000}"/>
    <cellStyle name="Normal 2 3 5 2 9" xfId="5589" xr:uid="{00000000-0005-0000-0000-000082230000}"/>
    <cellStyle name="Normal 2 3 5 2 9 2" xfId="12227" xr:uid="{00000000-0005-0000-0000-000083230000}"/>
    <cellStyle name="Normal 2 3 5 2 9_SSL" xfId="16890" xr:uid="{00000000-0005-0000-0000-000084230000}"/>
    <cellStyle name="Normal 2 3 5 2_SSL" xfId="14505" xr:uid="{00000000-0005-0000-0000-000085230000}"/>
    <cellStyle name="Normal 2 3 5 3" xfId="362" xr:uid="{00000000-0005-0000-0000-000086230000}"/>
    <cellStyle name="Normal 2 3 5 3 10" xfId="6510" xr:uid="{00000000-0005-0000-0000-000087230000}"/>
    <cellStyle name="Normal 2 3 5 3 2" xfId="750" xr:uid="{00000000-0005-0000-0000-000088230000}"/>
    <cellStyle name="Normal 2 3 5 3 2 2" xfId="1513" xr:uid="{00000000-0005-0000-0000-000089230000}"/>
    <cellStyle name="Normal 2 3 5 3 2 2 2" xfId="8168" xr:uid="{00000000-0005-0000-0000-00008A230000}"/>
    <cellStyle name="Normal 2 3 5 3 2 2_SSL" xfId="17275" xr:uid="{00000000-0005-0000-0000-00008B230000}"/>
    <cellStyle name="Normal 2 3 5 3 2 3" xfId="2333" xr:uid="{00000000-0005-0000-0000-00008C230000}"/>
    <cellStyle name="Normal 2 3 5 3 2 3 2" xfId="8981" xr:uid="{00000000-0005-0000-0000-00008D230000}"/>
    <cellStyle name="Normal 2 3 5 3 2 3_SSL" xfId="15971" xr:uid="{00000000-0005-0000-0000-00008E230000}"/>
    <cellStyle name="Normal 2 3 5 3 2 4" xfId="3152" xr:uid="{00000000-0005-0000-0000-00008F230000}"/>
    <cellStyle name="Normal 2 3 5 3 2 4 2" xfId="9797" xr:uid="{00000000-0005-0000-0000-000090230000}"/>
    <cellStyle name="Normal 2 3 5 3 2 4_SSL" xfId="16718" xr:uid="{00000000-0005-0000-0000-000091230000}"/>
    <cellStyle name="Normal 2 3 5 3 2 5" xfId="3973" xr:uid="{00000000-0005-0000-0000-000092230000}"/>
    <cellStyle name="Normal 2 3 5 3 2 5 2" xfId="10613" xr:uid="{00000000-0005-0000-0000-000093230000}"/>
    <cellStyle name="Normal 2 3 5 3 2 5_SSL" xfId="16950" xr:uid="{00000000-0005-0000-0000-000094230000}"/>
    <cellStyle name="Normal 2 3 5 3 2 6" xfId="4784" xr:uid="{00000000-0005-0000-0000-000095230000}"/>
    <cellStyle name="Normal 2 3 5 3 2 6 2" xfId="11423" xr:uid="{00000000-0005-0000-0000-000096230000}"/>
    <cellStyle name="Normal 2 3 5 3 2 6_SSL" xfId="14642" xr:uid="{00000000-0005-0000-0000-000097230000}"/>
    <cellStyle name="Normal 2 3 5 3 2 7" xfId="5594" xr:uid="{00000000-0005-0000-0000-000098230000}"/>
    <cellStyle name="Normal 2 3 5 3 2 7 2" xfId="12232" xr:uid="{00000000-0005-0000-0000-000099230000}"/>
    <cellStyle name="Normal 2 3 5 3 2 7_SSL" xfId="17301" xr:uid="{00000000-0005-0000-0000-00009A230000}"/>
    <cellStyle name="Normal 2 3 5 3 2 8" xfId="7606" xr:uid="{00000000-0005-0000-0000-00009B230000}"/>
    <cellStyle name="Normal 2 3 5 3 2 9" xfId="6511" xr:uid="{00000000-0005-0000-0000-00009C230000}"/>
    <cellStyle name="Normal 2 3 5 3 2_SSL" xfId="12673" xr:uid="{00000000-0005-0000-0000-00009D230000}"/>
    <cellStyle name="Normal 2 3 5 3 3" xfId="1512" xr:uid="{00000000-0005-0000-0000-00009E230000}"/>
    <cellStyle name="Normal 2 3 5 3 3 2" xfId="8167" xr:uid="{00000000-0005-0000-0000-00009F230000}"/>
    <cellStyle name="Normal 2 3 5 3 3_SSL" xfId="13953" xr:uid="{00000000-0005-0000-0000-0000A0230000}"/>
    <cellStyle name="Normal 2 3 5 3 4" xfId="2332" xr:uid="{00000000-0005-0000-0000-0000A1230000}"/>
    <cellStyle name="Normal 2 3 5 3 4 2" xfId="8980" xr:uid="{00000000-0005-0000-0000-0000A2230000}"/>
    <cellStyle name="Normal 2 3 5 3 4_SSL" xfId="17363" xr:uid="{00000000-0005-0000-0000-0000A3230000}"/>
    <cellStyle name="Normal 2 3 5 3 5" xfId="3151" xr:uid="{00000000-0005-0000-0000-0000A4230000}"/>
    <cellStyle name="Normal 2 3 5 3 5 2" xfId="9796" xr:uid="{00000000-0005-0000-0000-0000A5230000}"/>
    <cellStyle name="Normal 2 3 5 3 5_SSL" xfId="17113" xr:uid="{00000000-0005-0000-0000-0000A6230000}"/>
    <cellStyle name="Normal 2 3 5 3 6" xfId="3972" xr:uid="{00000000-0005-0000-0000-0000A7230000}"/>
    <cellStyle name="Normal 2 3 5 3 6 2" xfId="10612" xr:uid="{00000000-0005-0000-0000-0000A8230000}"/>
    <cellStyle name="Normal 2 3 5 3 6_SSL" xfId="14335" xr:uid="{00000000-0005-0000-0000-0000A9230000}"/>
    <cellStyle name="Normal 2 3 5 3 7" xfId="4783" xr:uid="{00000000-0005-0000-0000-0000AA230000}"/>
    <cellStyle name="Normal 2 3 5 3 7 2" xfId="11422" xr:uid="{00000000-0005-0000-0000-0000AB230000}"/>
    <cellStyle name="Normal 2 3 5 3 7_SSL" xfId="16007" xr:uid="{00000000-0005-0000-0000-0000AC230000}"/>
    <cellStyle name="Normal 2 3 5 3 8" xfId="5593" xr:uid="{00000000-0005-0000-0000-0000AD230000}"/>
    <cellStyle name="Normal 2 3 5 3 8 2" xfId="12231" xr:uid="{00000000-0005-0000-0000-0000AE230000}"/>
    <cellStyle name="Normal 2 3 5 3 8_SSL" xfId="14280" xr:uid="{00000000-0005-0000-0000-0000AF230000}"/>
    <cellStyle name="Normal 2 3 5 3 9" xfId="7222" xr:uid="{00000000-0005-0000-0000-0000B0230000}"/>
    <cellStyle name="Normal 2 3 5 3_SSL" xfId="9989" xr:uid="{00000000-0005-0000-0000-0000B1230000}"/>
    <cellStyle name="Normal 2 3 5 4" xfId="512" xr:uid="{00000000-0005-0000-0000-0000B2230000}"/>
    <cellStyle name="Normal 2 3 5 4 2" xfId="1514" xr:uid="{00000000-0005-0000-0000-0000B3230000}"/>
    <cellStyle name="Normal 2 3 5 4 2 2" xfId="8169" xr:uid="{00000000-0005-0000-0000-0000B4230000}"/>
    <cellStyle name="Normal 2 3 5 4 2_SSL" xfId="16712" xr:uid="{00000000-0005-0000-0000-0000B5230000}"/>
    <cellStyle name="Normal 2 3 5 4 3" xfId="2334" xr:uid="{00000000-0005-0000-0000-0000B6230000}"/>
    <cellStyle name="Normal 2 3 5 4 3 2" xfId="8982" xr:uid="{00000000-0005-0000-0000-0000B7230000}"/>
    <cellStyle name="Normal 2 3 5 4 3_SSL" xfId="15674" xr:uid="{00000000-0005-0000-0000-0000B8230000}"/>
    <cellStyle name="Normal 2 3 5 4 4" xfId="3153" xr:uid="{00000000-0005-0000-0000-0000B9230000}"/>
    <cellStyle name="Normal 2 3 5 4 4 2" xfId="9798" xr:uid="{00000000-0005-0000-0000-0000BA230000}"/>
    <cellStyle name="Normal 2 3 5 4 4_SSL" xfId="15417" xr:uid="{00000000-0005-0000-0000-0000BB230000}"/>
    <cellStyle name="Normal 2 3 5 4 5" xfId="3974" xr:uid="{00000000-0005-0000-0000-0000BC230000}"/>
    <cellStyle name="Normal 2 3 5 4 5 2" xfId="10614" xr:uid="{00000000-0005-0000-0000-0000BD230000}"/>
    <cellStyle name="Normal 2 3 5 4 5_SSL" xfId="14764" xr:uid="{00000000-0005-0000-0000-0000BE230000}"/>
    <cellStyle name="Normal 2 3 5 4 6" xfId="4785" xr:uid="{00000000-0005-0000-0000-0000BF230000}"/>
    <cellStyle name="Normal 2 3 5 4 6 2" xfId="11424" xr:uid="{00000000-0005-0000-0000-0000C0230000}"/>
    <cellStyle name="Normal 2 3 5 4 6_SSL" xfId="17759" xr:uid="{00000000-0005-0000-0000-0000C1230000}"/>
    <cellStyle name="Normal 2 3 5 4 7" xfId="5595" xr:uid="{00000000-0005-0000-0000-0000C2230000}"/>
    <cellStyle name="Normal 2 3 5 4 7 2" xfId="12233" xr:uid="{00000000-0005-0000-0000-0000C3230000}"/>
    <cellStyle name="Normal 2 3 5 4 7_SSL" xfId="16951" xr:uid="{00000000-0005-0000-0000-0000C4230000}"/>
    <cellStyle name="Normal 2 3 5 4 8" xfId="7368" xr:uid="{00000000-0005-0000-0000-0000C5230000}"/>
    <cellStyle name="Normal 2 3 5 4 9" xfId="6512" xr:uid="{00000000-0005-0000-0000-0000C6230000}"/>
    <cellStyle name="Normal 2 3 5 4_SSL" xfId="15448" xr:uid="{00000000-0005-0000-0000-0000C7230000}"/>
    <cellStyle name="Normal 2 3 5 5" xfId="1507" xr:uid="{00000000-0005-0000-0000-0000C8230000}"/>
    <cellStyle name="Normal 2 3 5 5 2" xfId="8162" xr:uid="{00000000-0005-0000-0000-0000C9230000}"/>
    <cellStyle name="Normal 2 3 5 5_SSL" xfId="14382" xr:uid="{00000000-0005-0000-0000-0000CA230000}"/>
    <cellStyle name="Normal 2 3 5 6" xfId="2327" xr:uid="{00000000-0005-0000-0000-0000CB230000}"/>
    <cellStyle name="Normal 2 3 5 6 2" xfId="8975" xr:uid="{00000000-0005-0000-0000-0000CC230000}"/>
    <cellStyle name="Normal 2 3 5 6_SSL" xfId="14859" xr:uid="{00000000-0005-0000-0000-0000CD230000}"/>
    <cellStyle name="Normal 2 3 5 7" xfId="3146" xr:uid="{00000000-0005-0000-0000-0000CE230000}"/>
    <cellStyle name="Normal 2 3 5 7 2" xfId="9791" xr:uid="{00000000-0005-0000-0000-0000CF230000}"/>
    <cellStyle name="Normal 2 3 5 7_SSL" xfId="13449" xr:uid="{00000000-0005-0000-0000-0000D0230000}"/>
    <cellStyle name="Normal 2 3 5 8" xfId="3967" xr:uid="{00000000-0005-0000-0000-0000D1230000}"/>
    <cellStyle name="Normal 2 3 5 8 2" xfId="10607" xr:uid="{00000000-0005-0000-0000-0000D2230000}"/>
    <cellStyle name="Normal 2 3 5 8_SSL" xfId="14158" xr:uid="{00000000-0005-0000-0000-0000D3230000}"/>
    <cellStyle name="Normal 2 3 5 9" xfId="4778" xr:uid="{00000000-0005-0000-0000-0000D4230000}"/>
    <cellStyle name="Normal 2 3 5 9 2" xfId="11417" xr:uid="{00000000-0005-0000-0000-0000D5230000}"/>
    <cellStyle name="Normal 2 3 5 9_SSL" xfId="16055" xr:uid="{00000000-0005-0000-0000-0000D6230000}"/>
    <cellStyle name="Normal 2 3 5_SSL" xfId="12682" xr:uid="{00000000-0005-0000-0000-0000D7230000}"/>
    <cellStyle name="Normal 2 3 6" xfId="132" xr:uid="{00000000-0005-0000-0000-0000D8230000}"/>
    <cellStyle name="Normal 2 3 6 10" xfId="7009" xr:uid="{00000000-0005-0000-0000-0000D9230000}"/>
    <cellStyle name="Normal 2 3 6 11" xfId="6513" xr:uid="{00000000-0005-0000-0000-0000DA230000}"/>
    <cellStyle name="Normal 2 3 6 2" xfId="364" xr:uid="{00000000-0005-0000-0000-0000DB230000}"/>
    <cellStyle name="Normal 2 3 6 2 10" xfId="6514" xr:uid="{00000000-0005-0000-0000-0000DC230000}"/>
    <cellStyle name="Normal 2 3 6 2 2" xfId="752" xr:uid="{00000000-0005-0000-0000-0000DD230000}"/>
    <cellStyle name="Normal 2 3 6 2 2 2" xfId="1517" xr:uid="{00000000-0005-0000-0000-0000DE230000}"/>
    <cellStyle name="Normal 2 3 6 2 2 2 2" xfId="8172" xr:uid="{00000000-0005-0000-0000-0000DF230000}"/>
    <cellStyle name="Normal 2 3 6 2 2 2_SSL" xfId="16109" xr:uid="{00000000-0005-0000-0000-0000E0230000}"/>
    <cellStyle name="Normal 2 3 6 2 2 3" xfId="2337" xr:uid="{00000000-0005-0000-0000-0000E1230000}"/>
    <cellStyle name="Normal 2 3 6 2 2 3 2" xfId="8985" xr:uid="{00000000-0005-0000-0000-0000E2230000}"/>
    <cellStyle name="Normal 2 3 6 2 2 3_SSL" xfId="6005" xr:uid="{00000000-0005-0000-0000-0000E3230000}"/>
    <cellStyle name="Normal 2 3 6 2 2 4" xfId="3156" xr:uid="{00000000-0005-0000-0000-0000E4230000}"/>
    <cellStyle name="Normal 2 3 6 2 2 4 2" xfId="9801" xr:uid="{00000000-0005-0000-0000-0000E5230000}"/>
    <cellStyle name="Normal 2 3 6 2 2 4_SSL" xfId="6068" xr:uid="{00000000-0005-0000-0000-0000E6230000}"/>
    <cellStyle name="Normal 2 3 6 2 2 5" xfId="3977" xr:uid="{00000000-0005-0000-0000-0000E7230000}"/>
    <cellStyle name="Normal 2 3 6 2 2 5 2" xfId="10617" xr:uid="{00000000-0005-0000-0000-0000E8230000}"/>
    <cellStyle name="Normal 2 3 6 2 2 5_SSL" xfId="15804" xr:uid="{00000000-0005-0000-0000-0000E9230000}"/>
    <cellStyle name="Normal 2 3 6 2 2 6" xfId="4788" xr:uid="{00000000-0005-0000-0000-0000EA230000}"/>
    <cellStyle name="Normal 2 3 6 2 2 6 2" xfId="11427" xr:uid="{00000000-0005-0000-0000-0000EB230000}"/>
    <cellStyle name="Normal 2 3 6 2 2 6_SSL" xfId="17626" xr:uid="{00000000-0005-0000-0000-0000EC230000}"/>
    <cellStyle name="Normal 2 3 6 2 2 7" xfId="5598" xr:uid="{00000000-0005-0000-0000-0000ED230000}"/>
    <cellStyle name="Normal 2 3 6 2 2 7 2" xfId="12236" xr:uid="{00000000-0005-0000-0000-0000EE230000}"/>
    <cellStyle name="Normal 2 3 6 2 2 7_SSL" xfId="14001" xr:uid="{00000000-0005-0000-0000-0000EF230000}"/>
    <cellStyle name="Normal 2 3 6 2 2 8" xfId="7608" xr:uid="{00000000-0005-0000-0000-0000F0230000}"/>
    <cellStyle name="Normal 2 3 6 2 2 9" xfId="6515" xr:uid="{00000000-0005-0000-0000-0000F1230000}"/>
    <cellStyle name="Normal 2 3 6 2 2_SSL" xfId="13204" xr:uid="{00000000-0005-0000-0000-0000F2230000}"/>
    <cellStyle name="Normal 2 3 6 2 3" xfId="1516" xr:uid="{00000000-0005-0000-0000-0000F3230000}"/>
    <cellStyle name="Normal 2 3 6 2 3 2" xfId="8171" xr:uid="{00000000-0005-0000-0000-0000F4230000}"/>
    <cellStyle name="Normal 2 3 6 2 3_SSL" xfId="16372" xr:uid="{00000000-0005-0000-0000-0000F5230000}"/>
    <cellStyle name="Normal 2 3 6 2 4" xfId="2336" xr:uid="{00000000-0005-0000-0000-0000F6230000}"/>
    <cellStyle name="Normal 2 3 6 2 4 2" xfId="8984" xr:uid="{00000000-0005-0000-0000-0000F7230000}"/>
    <cellStyle name="Normal 2 3 6 2 4_SSL" xfId="17742" xr:uid="{00000000-0005-0000-0000-0000F8230000}"/>
    <cellStyle name="Normal 2 3 6 2 5" xfId="3155" xr:uid="{00000000-0005-0000-0000-0000F9230000}"/>
    <cellStyle name="Normal 2 3 6 2 5 2" xfId="9800" xr:uid="{00000000-0005-0000-0000-0000FA230000}"/>
    <cellStyle name="Normal 2 3 6 2 5_SSL" xfId="14541" xr:uid="{00000000-0005-0000-0000-0000FB230000}"/>
    <cellStyle name="Normal 2 3 6 2 6" xfId="3976" xr:uid="{00000000-0005-0000-0000-0000FC230000}"/>
    <cellStyle name="Normal 2 3 6 2 6 2" xfId="10616" xr:uid="{00000000-0005-0000-0000-0000FD230000}"/>
    <cellStyle name="Normal 2 3 6 2 6_SSL" xfId="16385" xr:uid="{00000000-0005-0000-0000-0000FE230000}"/>
    <cellStyle name="Normal 2 3 6 2 7" xfId="4787" xr:uid="{00000000-0005-0000-0000-0000FF230000}"/>
    <cellStyle name="Normal 2 3 6 2 7 2" xfId="11426" xr:uid="{00000000-0005-0000-0000-000000240000}"/>
    <cellStyle name="Normal 2 3 6 2 7_SSL" xfId="15677" xr:uid="{00000000-0005-0000-0000-000001240000}"/>
    <cellStyle name="Normal 2 3 6 2 8" xfId="5597" xr:uid="{00000000-0005-0000-0000-000002240000}"/>
    <cellStyle name="Normal 2 3 6 2 8 2" xfId="12235" xr:uid="{00000000-0005-0000-0000-000003240000}"/>
    <cellStyle name="Normal 2 3 6 2 8_SSL" xfId="16760" xr:uid="{00000000-0005-0000-0000-000004240000}"/>
    <cellStyle name="Normal 2 3 6 2 9" xfId="7224" xr:uid="{00000000-0005-0000-0000-000005240000}"/>
    <cellStyle name="Normal 2 3 6 2_SSL" xfId="17188" xr:uid="{00000000-0005-0000-0000-000006240000}"/>
    <cellStyle name="Normal 2 3 6 3" xfId="537" xr:uid="{00000000-0005-0000-0000-000007240000}"/>
    <cellStyle name="Normal 2 3 6 3 2" xfId="1518" xr:uid="{00000000-0005-0000-0000-000008240000}"/>
    <cellStyle name="Normal 2 3 6 3 2 2" xfId="8173" xr:uid="{00000000-0005-0000-0000-000009240000}"/>
    <cellStyle name="Normal 2 3 6 3 2_SSL" xfId="13581" xr:uid="{00000000-0005-0000-0000-00000A240000}"/>
    <cellStyle name="Normal 2 3 6 3 3" xfId="2338" xr:uid="{00000000-0005-0000-0000-00000B240000}"/>
    <cellStyle name="Normal 2 3 6 3 3 2" xfId="8986" xr:uid="{00000000-0005-0000-0000-00000C240000}"/>
    <cellStyle name="Normal 2 3 6 3 3_SSL" xfId="13225" xr:uid="{00000000-0005-0000-0000-00000D240000}"/>
    <cellStyle name="Normal 2 3 6 3 4" xfId="3157" xr:uid="{00000000-0005-0000-0000-00000E240000}"/>
    <cellStyle name="Normal 2 3 6 3 4 2" xfId="9802" xr:uid="{00000000-0005-0000-0000-00000F240000}"/>
    <cellStyle name="Normal 2 3 6 3 4_SSL" xfId="16796" xr:uid="{00000000-0005-0000-0000-000010240000}"/>
    <cellStyle name="Normal 2 3 6 3 5" xfId="3978" xr:uid="{00000000-0005-0000-0000-000011240000}"/>
    <cellStyle name="Normal 2 3 6 3 5 2" xfId="10618" xr:uid="{00000000-0005-0000-0000-000012240000}"/>
    <cellStyle name="Normal 2 3 6 3 5_SSL" xfId="16758" xr:uid="{00000000-0005-0000-0000-000013240000}"/>
    <cellStyle name="Normal 2 3 6 3 6" xfId="4789" xr:uid="{00000000-0005-0000-0000-000014240000}"/>
    <cellStyle name="Normal 2 3 6 3 6 2" xfId="11428" xr:uid="{00000000-0005-0000-0000-000015240000}"/>
    <cellStyle name="Normal 2 3 6 3 6_SSL" xfId="13688" xr:uid="{00000000-0005-0000-0000-000016240000}"/>
    <cellStyle name="Normal 2 3 6 3 7" xfId="5599" xr:uid="{00000000-0005-0000-0000-000017240000}"/>
    <cellStyle name="Normal 2 3 6 3 7 2" xfId="12237" xr:uid="{00000000-0005-0000-0000-000018240000}"/>
    <cellStyle name="Normal 2 3 6 3 7_SSL" xfId="15005" xr:uid="{00000000-0005-0000-0000-000019240000}"/>
    <cellStyle name="Normal 2 3 6 3 8" xfId="7393" xr:uid="{00000000-0005-0000-0000-00001A240000}"/>
    <cellStyle name="Normal 2 3 6 3 9" xfId="6516" xr:uid="{00000000-0005-0000-0000-00001B240000}"/>
    <cellStyle name="Normal 2 3 6 3_SSL" xfId="14808" xr:uid="{00000000-0005-0000-0000-00001C240000}"/>
    <cellStyle name="Normal 2 3 6 4" xfId="1515" xr:uid="{00000000-0005-0000-0000-00001D240000}"/>
    <cellStyle name="Normal 2 3 6 4 2" xfId="8170" xr:uid="{00000000-0005-0000-0000-00001E240000}"/>
    <cellStyle name="Normal 2 3 6 4_SSL" xfId="14878" xr:uid="{00000000-0005-0000-0000-00001F240000}"/>
    <cellStyle name="Normal 2 3 6 5" xfId="2335" xr:uid="{00000000-0005-0000-0000-000020240000}"/>
    <cellStyle name="Normal 2 3 6 5 2" xfId="8983" xr:uid="{00000000-0005-0000-0000-000021240000}"/>
    <cellStyle name="Normal 2 3 6 5_SSL" xfId="15825" xr:uid="{00000000-0005-0000-0000-000022240000}"/>
    <cellStyle name="Normal 2 3 6 6" xfId="3154" xr:uid="{00000000-0005-0000-0000-000023240000}"/>
    <cellStyle name="Normal 2 3 6 6 2" xfId="9799" xr:uid="{00000000-0005-0000-0000-000024240000}"/>
    <cellStyle name="Normal 2 3 6 6_SSL" xfId="16618" xr:uid="{00000000-0005-0000-0000-000025240000}"/>
    <cellStyle name="Normal 2 3 6 7" xfId="3975" xr:uid="{00000000-0005-0000-0000-000026240000}"/>
    <cellStyle name="Normal 2 3 6 7 2" xfId="10615" xr:uid="{00000000-0005-0000-0000-000027240000}"/>
    <cellStyle name="Normal 2 3 6 7_SSL" xfId="16089" xr:uid="{00000000-0005-0000-0000-000028240000}"/>
    <cellStyle name="Normal 2 3 6 8" xfId="4786" xr:uid="{00000000-0005-0000-0000-000029240000}"/>
    <cellStyle name="Normal 2 3 6 8 2" xfId="11425" xr:uid="{00000000-0005-0000-0000-00002A240000}"/>
    <cellStyle name="Normal 2 3 6 8_SSL" xfId="16159" xr:uid="{00000000-0005-0000-0000-00002B240000}"/>
    <cellStyle name="Normal 2 3 6 9" xfId="5596" xr:uid="{00000000-0005-0000-0000-00002C240000}"/>
    <cellStyle name="Normal 2 3 6 9 2" xfId="12234" xr:uid="{00000000-0005-0000-0000-00002D240000}"/>
    <cellStyle name="Normal 2 3 6 9_SSL" xfId="17076" xr:uid="{00000000-0005-0000-0000-00002E240000}"/>
    <cellStyle name="Normal 2 3 6_SSL" xfId="14109" xr:uid="{00000000-0005-0000-0000-00002F240000}"/>
    <cellStyle name="Normal 2 3 7" xfId="157" xr:uid="{00000000-0005-0000-0000-000030240000}"/>
    <cellStyle name="Normal 2 3 7 10" xfId="7034" xr:uid="{00000000-0005-0000-0000-000031240000}"/>
    <cellStyle name="Normal 2 3 7 11" xfId="6517" xr:uid="{00000000-0005-0000-0000-000032240000}"/>
    <cellStyle name="Normal 2 3 7 2" xfId="365" xr:uid="{00000000-0005-0000-0000-000033240000}"/>
    <cellStyle name="Normal 2 3 7 2 10" xfId="6518" xr:uid="{00000000-0005-0000-0000-000034240000}"/>
    <cellStyle name="Normal 2 3 7 2 2" xfId="753" xr:uid="{00000000-0005-0000-0000-000035240000}"/>
    <cellStyle name="Normal 2 3 7 2 2 2" xfId="1521" xr:uid="{00000000-0005-0000-0000-000036240000}"/>
    <cellStyle name="Normal 2 3 7 2 2 2 2" xfId="8176" xr:uid="{00000000-0005-0000-0000-000037240000}"/>
    <cellStyle name="Normal 2 3 7 2 2 2_SSL" xfId="14343" xr:uid="{00000000-0005-0000-0000-000038240000}"/>
    <cellStyle name="Normal 2 3 7 2 2 3" xfId="2341" xr:uid="{00000000-0005-0000-0000-000039240000}"/>
    <cellStyle name="Normal 2 3 7 2 2 3 2" xfId="8989" xr:uid="{00000000-0005-0000-0000-00003A240000}"/>
    <cellStyle name="Normal 2 3 7 2 2 3_SSL" xfId="17041" xr:uid="{00000000-0005-0000-0000-00003B240000}"/>
    <cellStyle name="Normal 2 3 7 2 2 4" xfId="3160" xr:uid="{00000000-0005-0000-0000-00003C240000}"/>
    <cellStyle name="Normal 2 3 7 2 2 4 2" xfId="9805" xr:uid="{00000000-0005-0000-0000-00003D240000}"/>
    <cellStyle name="Normal 2 3 7 2 2 4_SSL" xfId="6039" xr:uid="{00000000-0005-0000-0000-00003E240000}"/>
    <cellStyle name="Normal 2 3 7 2 2 5" xfId="3981" xr:uid="{00000000-0005-0000-0000-00003F240000}"/>
    <cellStyle name="Normal 2 3 7 2 2 5 2" xfId="10621" xr:uid="{00000000-0005-0000-0000-000040240000}"/>
    <cellStyle name="Normal 2 3 7 2 2 5_SSL" xfId="13999" xr:uid="{00000000-0005-0000-0000-000041240000}"/>
    <cellStyle name="Normal 2 3 7 2 2 6" xfId="4792" xr:uid="{00000000-0005-0000-0000-000042240000}"/>
    <cellStyle name="Normal 2 3 7 2 2 6 2" xfId="11431" xr:uid="{00000000-0005-0000-0000-000043240000}"/>
    <cellStyle name="Normal 2 3 7 2 2 6_SSL" xfId="15667" xr:uid="{00000000-0005-0000-0000-000044240000}"/>
    <cellStyle name="Normal 2 3 7 2 2 7" xfId="5602" xr:uid="{00000000-0005-0000-0000-000045240000}"/>
    <cellStyle name="Normal 2 3 7 2 2 7 2" xfId="12240" xr:uid="{00000000-0005-0000-0000-000046240000}"/>
    <cellStyle name="Normal 2 3 7 2 2 7_SSL" xfId="17258" xr:uid="{00000000-0005-0000-0000-000047240000}"/>
    <cellStyle name="Normal 2 3 7 2 2 8" xfId="7609" xr:uid="{00000000-0005-0000-0000-000048240000}"/>
    <cellStyle name="Normal 2 3 7 2 2 9" xfId="6519" xr:uid="{00000000-0005-0000-0000-000049240000}"/>
    <cellStyle name="Normal 2 3 7 2 2_SSL" xfId="15587" xr:uid="{00000000-0005-0000-0000-00004A240000}"/>
    <cellStyle name="Normal 2 3 7 2 3" xfId="1520" xr:uid="{00000000-0005-0000-0000-00004B240000}"/>
    <cellStyle name="Normal 2 3 7 2 3 2" xfId="8175" xr:uid="{00000000-0005-0000-0000-00004C240000}"/>
    <cellStyle name="Normal 2 3 7 2 3_SSL" xfId="13097" xr:uid="{00000000-0005-0000-0000-00004D240000}"/>
    <cellStyle name="Normal 2 3 7 2 4" xfId="2340" xr:uid="{00000000-0005-0000-0000-00004E240000}"/>
    <cellStyle name="Normal 2 3 7 2 4 2" xfId="8988" xr:uid="{00000000-0005-0000-0000-00004F240000}"/>
    <cellStyle name="Normal 2 3 7 2 4_SSL" xfId="15494" xr:uid="{00000000-0005-0000-0000-000050240000}"/>
    <cellStyle name="Normal 2 3 7 2 5" xfId="3159" xr:uid="{00000000-0005-0000-0000-000051240000}"/>
    <cellStyle name="Normal 2 3 7 2 5 2" xfId="9804" xr:uid="{00000000-0005-0000-0000-000052240000}"/>
    <cellStyle name="Normal 2 3 7 2 5_SSL" xfId="17380" xr:uid="{00000000-0005-0000-0000-000053240000}"/>
    <cellStyle name="Normal 2 3 7 2 6" xfId="3980" xr:uid="{00000000-0005-0000-0000-000054240000}"/>
    <cellStyle name="Normal 2 3 7 2 6 2" xfId="10620" xr:uid="{00000000-0005-0000-0000-000055240000}"/>
    <cellStyle name="Normal 2 3 7 2 6_SSL" xfId="16981" xr:uid="{00000000-0005-0000-0000-000056240000}"/>
    <cellStyle name="Normal 2 3 7 2 7" xfId="4791" xr:uid="{00000000-0005-0000-0000-000057240000}"/>
    <cellStyle name="Normal 2 3 7 2 7 2" xfId="11430" xr:uid="{00000000-0005-0000-0000-000058240000}"/>
    <cellStyle name="Normal 2 3 7 2 7_SSL" xfId="17807" xr:uid="{00000000-0005-0000-0000-000059240000}"/>
    <cellStyle name="Normal 2 3 7 2 8" xfId="5601" xr:uid="{00000000-0005-0000-0000-00005A240000}"/>
    <cellStyle name="Normal 2 3 7 2 8 2" xfId="12239" xr:uid="{00000000-0005-0000-0000-00005B240000}"/>
    <cellStyle name="Normal 2 3 7 2 8_SSL" xfId="16960" xr:uid="{00000000-0005-0000-0000-00005C240000}"/>
    <cellStyle name="Normal 2 3 7 2 9" xfId="7225" xr:uid="{00000000-0005-0000-0000-00005D240000}"/>
    <cellStyle name="Normal 2 3 7 2_SSL" xfId="16065" xr:uid="{00000000-0005-0000-0000-00005E240000}"/>
    <cellStyle name="Normal 2 3 7 3" xfId="562" xr:uid="{00000000-0005-0000-0000-00005F240000}"/>
    <cellStyle name="Normal 2 3 7 3 2" xfId="1522" xr:uid="{00000000-0005-0000-0000-000060240000}"/>
    <cellStyle name="Normal 2 3 7 3 2 2" xfId="8177" xr:uid="{00000000-0005-0000-0000-000061240000}"/>
    <cellStyle name="Normal 2 3 7 3 2_SSL" xfId="13059" xr:uid="{00000000-0005-0000-0000-000062240000}"/>
    <cellStyle name="Normal 2 3 7 3 3" xfId="2342" xr:uid="{00000000-0005-0000-0000-000063240000}"/>
    <cellStyle name="Normal 2 3 7 3 3 2" xfId="8990" xr:uid="{00000000-0005-0000-0000-000064240000}"/>
    <cellStyle name="Normal 2 3 7 3 3_SSL" xfId="12848" xr:uid="{00000000-0005-0000-0000-000065240000}"/>
    <cellStyle name="Normal 2 3 7 3 4" xfId="3161" xr:uid="{00000000-0005-0000-0000-000066240000}"/>
    <cellStyle name="Normal 2 3 7 3 4 2" xfId="9806" xr:uid="{00000000-0005-0000-0000-000067240000}"/>
    <cellStyle name="Normal 2 3 7 3 4_SSL" xfId="17061" xr:uid="{00000000-0005-0000-0000-000068240000}"/>
    <cellStyle name="Normal 2 3 7 3 5" xfId="3982" xr:uid="{00000000-0005-0000-0000-000069240000}"/>
    <cellStyle name="Normal 2 3 7 3 5 2" xfId="10622" xr:uid="{00000000-0005-0000-0000-00006A240000}"/>
    <cellStyle name="Normal 2 3 7 3 5_SSL" xfId="16083" xr:uid="{00000000-0005-0000-0000-00006B240000}"/>
    <cellStyle name="Normal 2 3 7 3 6" xfId="4793" xr:uid="{00000000-0005-0000-0000-00006C240000}"/>
    <cellStyle name="Normal 2 3 7 3 6 2" xfId="11432" xr:uid="{00000000-0005-0000-0000-00006D240000}"/>
    <cellStyle name="Normal 2 3 7 3 6_SSL" xfId="14796" xr:uid="{00000000-0005-0000-0000-00006E240000}"/>
    <cellStyle name="Normal 2 3 7 3 7" xfId="5603" xr:uid="{00000000-0005-0000-0000-00006F240000}"/>
    <cellStyle name="Normal 2 3 7 3 7 2" xfId="12241" xr:uid="{00000000-0005-0000-0000-000070240000}"/>
    <cellStyle name="Normal 2 3 7 3 7_SSL" xfId="17287" xr:uid="{00000000-0005-0000-0000-000071240000}"/>
    <cellStyle name="Normal 2 3 7 3 8" xfId="7418" xr:uid="{00000000-0005-0000-0000-000072240000}"/>
    <cellStyle name="Normal 2 3 7 3 9" xfId="6520" xr:uid="{00000000-0005-0000-0000-000073240000}"/>
    <cellStyle name="Normal 2 3 7 3_SSL" xfId="17949" xr:uid="{00000000-0005-0000-0000-000074240000}"/>
    <cellStyle name="Normal 2 3 7 4" xfId="1519" xr:uid="{00000000-0005-0000-0000-000075240000}"/>
    <cellStyle name="Normal 2 3 7 4 2" xfId="8174" xr:uid="{00000000-0005-0000-0000-000076240000}"/>
    <cellStyle name="Normal 2 3 7 4_SSL" xfId="14401" xr:uid="{00000000-0005-0000-0000-000077240000}"/>
    <cellStyle name="Normal 2 3 7 5" xfId="2339" xr:uid="{00000000-0005-0000-0000-000078240000}"/>
    <cellStyle name="Normal 2 3 7 5 2" xfId="8987" xr:uid="{00000000-0005-0000-0000-000079240000}"/>
    <cellStyle name="Normal 2 3 7 5_SSL" xfId="16816" xr:uid="{00000000-0005-0000-0000-00007A240000}"/>
    <cellStyle name="Normal 2 3 7 6" xfId="3158" xr:uid="{00000000-0005-0000-0000-00007B240000}"/>
    <cellStyle name="Normal 2 3 7 6 2" xfId="9803" xr:uid="{00000000-0005-0000-0000-00007C240000}"/>
    <cellStyle name="Normal 2 3 7 6_SSL" xfId="12658" xr:uid="{00000000-0005-0000-0000-00007D240000}"/>
    <cellStyle name="Normal 2 3 7 7" xfId="3979" xr:uid="{00000000-0005-0000-0000-00007E240000}"/>
    <cellStyle name="Normal 2 3 7 7 2" xfId="10619" xr:uid="{00000000-0005-0000-0000-00007F240000}"/>
    <cellStyle name="Normal 2 3 7 7_SSL" xfId="17412" xr:uid="{00000000-0005-0000-0000-000080240000}"/>
    <cellStyle name="Normal 2 3 7 8" xfId="4790" xr:uid="{00000000-0005-0000-0000-000081240000}"/>
    <cellStyle name="Normal 2 3 7 8 2" xfId="11429" xr:uid="{00000000-0005-0000-0000-000082240000}"/>
    <cellStyle name="Normal 2 3 7 8_SSL" xfId="18007" xr:uid="{00000000-0005-0000-0000-000083240000}"/>
    <cellStyle name="Normal 2 3 7 9" xfId="5600" xr:uid="{00000000-0005-0000-0000-000084240000}"/>
    <cellStyle name="Normal 2 3 7 9 2" xfId="12238" xr:uid="{00000000-0005-0000-0000-000085240000}"/>
    <cellStyle name="Normal 2 3 7 9_SSL" xfId="15643" xr:uid="{00000000-0005-0000-0000-000086240000}"/>
    <cellStyle name="Normal 2 3 7_SSL" xfId="15261" xr:uid="{00000000-0005-0000-0000-000087240000}"/>
    <cellStyle name="Normal 2 3 8" xfId="228" xr:uid="{00000000-0005-0000-0000-000088240000}"/>
    <cellStyle name="Normal 2 3 8 10" xfId="7105" xr:uid="{00000000-0005-0000-0000-000089240000}"/>
    <cellStyle name="Normal 2 3 8 11" xfId="6521" xr:uid="{00000000-0005-0000-0000-00008A240000}"/>
    <cellStyle name="Normal 2 3 8 2" xfId="366" xr:uid="{00000000-0005-0000-0000-00008B240000}"/>
    <cellStyle name="Normal 2 3 8 2 10" xfId="6522" xr:uid="{00000000-0005-0000-0000-00008C240000}"/>
    <cellStyle name="Normal 2 3 8 2 2" xfId="754" xr:uid="{00000000-0005-0000-0000-00008D240000}"/>
    <cellStyle name="Normal 2 3 8 2 2 2" xfId="1525" xr:uid="{00000000-0005-0000-0000-00008E240000}"/>
    <cellStyle name="Normal 2 3 8 2 2 2 2" xfId="8180" xr:uid="{00000000-0005-0000-0000-00008F240000}"/>
    <cellStyle name="Normal 2 3 8 2 2 2_SSL" xfId="12791" xr:uid="{00000000-0005-0000-0000-000090240000}"/>
    <cellStyle name="Normal 2 3 8 2 2 3" xfId="2345" xr:uid="{00000000-0005-0000-0000-000091240000}"/>
    <cellStyle name="Normal 2 3 8 2 2 3 2" xfId="8993" xr:uid="{00000000-0005-0000-0000-000092240000}"/>
    <cellStyle name="Normal 2 3 8 2 2 3_SSL" xfId="16297" xr:uid="{00000000-0005-0000-0000-000093240000}"/>
    <cellStyle name="Normal 2 3 8 2 2 4" xfId="3164" xr:uid="{00000000-0005-0000-0000-000094240000}"/>
    <cellStyle name="Normal 2 3 8 2 2 4 2" xfId="9809" xr:uid="{00000000-0005-0000-0000-000095240000}"/>
    <cellStyle name="Normal 2 3 8 2 2 4_SSL" xfId="14326" xr:uid="{00000000-0005-0000-0000-000096240000}"/>
    <cellStyle name="Normal 2 3 8 2 2 5" xfId="3985" xr:uid="{00000000-0005-0000-0000-000097240000}"/>
    <cellStyle name="Normal 2 3 8 2 2 5 2" xfId="10625" xr:uid="{00000000-0005-0000-0000-000098240000}"/>
    <cellStyle name="Normal 2 3 8 2 2 5_SSL" xfId="14648" xr:uid="{00000000-0005-0000-0000-000099240000}"/>
    <cellStyle name="Normal 2 3 8 2 2 6" xfId="4796" xr:uid="{00000000-0005-0000-0000-00009A240000}"/>
    <cellStyle name="Normal 2 3 8 2 2 6 2" xfId="11435" xr:uid="{00000000-0005-0000-0000-00009B240000}"/>
    <cellStyle name="Normal 2 3 8 2 2 6_SSL" xfId="15378" xr:uid="{00000000-0005-0000-0000-00009C240000}"/>
    <cellStyle name="Normal 2 3 8 2 2 7" xfId="5606" xr:uid="{00000000-0005-0000-0000-00009D240000}"/>
    <cellStyle name="Normal 2 3 8 2 2 7 2" xfId="12244" xr:uid="{00000000-0005-0000-0000-00009E240000}"/>
    <cellStyle name="Normal 2 3 8 2 2 7_SSL" xfId="16081" xr:uid="{00000000-0005-0000-0000-00009F240000}"/>
    <cellStyle name="Normal 2 3 8 2 2 8" xfId="7610" xr:uid="{00000000-0005-0000-0000-0000A0240000}"/>
    <cellStyle name="Normal 2 3 8 2 2 9" xfId="6523" xr:uid="{00000000-0005-0000-0000-0000A1240000}"/>
    <cellStyle name="Normal 2 3 8 2 2_SSL" xfId="13163" xr:uid="{00000000-0005-0000-0000-0000A2240000}"/>
    <cellStyle name="Normal 2 3 8 2 3" xfId="1524" xr:uid="{00000000-0005-0000-0000-0000A3240000}"/>
    <cellStyle name="Normal 2 3 8 2 3 2" xfId="8179" xr:uid="{00000000-0005-0000-0000-0000A4240000}"/>
    <cellStyle name="Normal 2 3 8 2 3_SSL" xfId="13841" xr:uid="{00000000-0005-0000-0000-0000A5240000}"/>
    <cellStyle name="Normal 2 3 8 2 4" xfId="2344" xr:uid="{00000000-0005-0000-0000-0000A6240000}"/>
    <cellStyle name="Normal 2 3 8 2 4 2" xfId="8992" xr:uid="{00000000-0005-0000-0000-0000A7240000}"/>
    <cellStyle name="Normal 2 3 8 2 4_SSL" xfId="14827" xr:uid="{00000000-0005-0000-0000-0000A8240000}"/>
    <cellStyle name="Normal 2 3 8 2 5" xfId="3163" xr:uid="{00000000-0005-0000-0000-0000A9240000}"/>
    <cellStyle name="Normal 2 3 8 2 5 2" xfId="9808" xr:uid="{00000000-0005-0000-0000-0000AA240000}"/>
    <cellStyle name="Normal 2 3 8 2 5_SSL" xfId="16124" xr:uid="{00000000-0005-0000-0000-0000AB240000}"/>
    <cellStyle name="Normal 2 3 8 2 6" xfId="3984" xr:uid="{00000000-0005-0000-0000-0000AC240000}"/>
    <cellStyle name="Normal 2 3 8 2 6 2" xfId="10624" xr:uid="{00000000-0005-0000-0000-0000AD240000}"/>
    <cellStyle name="Normal 2 3 8 2 6_SSL" xfId="14434" xr:uid="{00000000-0005-0000-0000-0000AE240000}"/>
    <cellStyle name="Normal 2 3 8 2 7" xfId="4795" xr:uid="{00000000-0005-0000-0000-0000AF240000}"/>
    <cellStyle name="Normal 2 3 8 2 7 2" xfId="11434" xr:uid="{00000000-0005-0000-0000-0000B0240000}"/>
    <cellStyle name="Normal 2 3 8 2 7_SSL" xfId="12874" xr:uid="{00000000-0005-0000-0000-0000B1240000}"/>
    <cellStyle name="Normal 2 3 8 2 8" xfId="5605" xr:uid="{00000000-0005-0000-0000-0000B2240000}"/>
    <cellStyle name="Normal 2 3 8 2 8 2" xfId="12243" xr:uid="{00000000-0005-0000-0000-0000B3240000}"/>
    <cellStyle name="Normal 2 3 8 2 8_SSL" xfId="16187" xr:uid="{00000000-0005-0000-0000-0000B4240000}"/>
    <cellStyle name="Normal 2 3 8 2 9" xfId="7226" xr:uid="{00000000-0005-0000-0000-0000B5240000}"/>
    <cellStyle name="Normal 2 3 8 2_SSL" xfId="13710" xr:uid="{00000000-0005-0000-0000-0000B6240000}"/>
    <cellStyle name="Normal 2 3 8 3" xfId="633" xr:uid="{00000000-0005-0000-0000-0000B7240000}"/>
    <cellStyle name="Normal 2 3 8 3 2" xfId="1526" xr:uid="{00000000-0005-0000-0000-0000B8240000}"/>
    <cellStyle name="Normal 2 3 8 3 2 2" xfId="8181" xr:uid="{00000000-0005-0000-0000-0000B9240000}"/>
    <cellStyle name="Normal 2 3 8 3 2_SSL" xfId="16348" xr:uid="{00000000-0005-0000-0000-0000BA240000}"/>
    <cellStyle name="Normal 2 3 8 3 3" xfId="2346" xr:uid="{00000000-0005-0000-0000-0000BB240000}"/>
    <cellStyle name="Normal 2 3 8 3 3 2" xfId="8994" xr:uid="{00000000-0005-0000-0000-0000BC240000}"/>
    <cellStyle name="Normal 2 3 8 3 3_SSL" xfId="13362" xr:uid="{00000000-0005-0000-0000-0000BD240000}"/>
    <cellStyle name="Normal 2 3 8 3 4" xfId="3165" xr:uid="{00000000-0005-0000-0000-0000BE240000}"/>
    <cellStyle name="Normal 2 3 8 3 4 2" xfId="9810" xr:uid="{00000000-0005-0000-0000-0000BF240000}"/>
    <cellStyle name="Normal 2 3 8 3 4_SSL" xfId="13322" xr:uid="{00000000-0005-0000-0000-0000C0240000}"/>
    <cellStyle name="Normal 2 3 8 3 5" xfId="3986" xr:uid="{00000000-0005-0000-0000-0000C1240000}"/>
    <cellStyle name="Normal 2 3 8 3 5 2" xfId="10626" xr:uid="{00000000-0005-0000-0000-0000C2240000}"/>
    <cellStyle name="Normal 2 3 8 3 5_SSL" xfId="14658" xr:uid="{00000000-0005-0000-0000-0000C3240000}"/>
    <cellStyle name="Normal 2 3 8 3 6" xfId="4797" xr:uid="{00000000-0005-0000-0000-0000C4240000}"/>
    <cellStyle name="Normal 2 3 8 3 6 2" xfId="11436" xr:uid="{00000000-0005-0000-0000-0000C5240000}"/>
    <cellStyle name="Normal 2 3 8 3 6_SSL" xfId="14334" xr:uid="{00000000-0005-0000-0000-0000C6240000}"/>
    <cellStyle name="Normal 2 3 8 3 7" xfId="5607" xr:uid="{00000000-0005-0000-0000-0000C7240000}"/>
    <cellStyle name="Normal 2 3 8 3 7 2" xfId="12245" xr:uid="{00000000-0005-0000-0000-0000C8240000}"/>
    <cellStyle name="Normal 2 3 8 3 7_SSL" xfId="13476" xr:uid="{00000000-0005-0000-0000-0000C9240000}"/>
    <cellStyle name="Normal 2 3 8 3 8" xfId="7489" xr:uid="{00000000-0005-0000-0000-0000CA240000}"/>
    <cellStyle name="Normal 2 3 8 3 9" xfId="6524" xr:uid="{00000000-0005-0000-0000-0000CB240000}"/>
    <cellStyle name="Normal 2 3 8 3_SSL" xfId="14574" xr:uid="{00000000-0005-0000-0000-0000CC240000}"/>
    <cellStyle name="Normal 2 3 8 4" xfId="1523" xr:uid="{00000000-0005-0000-0000-0000CD240000}"/>
    <cellStyle name="Normal 2 3 8 4 2" xfId="8178" xr:uid="{00000000-0005-0000-0000-0000CE240000}"/>
    <cellStyle name="Normal 2 3 8 4_SSL" xfId="14328" xr:uid="{00000000-0005-0000-0000-0000CF240000}"/>
    <cellStyle name="Normal 2 3 8 5" xfId="2343" xr:uid="{00000000-0005-0000-0000-0000D0240000}"/>
    <cellStyle name="Normal 2 3 8 5 2" xfId="8991" xr:uid="{00000000-0005-0000-0000-0000D1240000}"/>
    <cellStyle name="Normal 2 3 8 5_SSL" xfId="18011" xr:uid="{00000000-0005-0000-0000-0000D2240000}"/>
    <cellStyle name="Normal 2 3 8 6" xfId="3162" xr:uid="{00000000-0005-0000-0000-0000D3240000}"/>
    <cellStyle name="Normal 2 3 8 6 2" xfId="9807" xr:uid="{00000000-0005-0000-0000-0000D4240000}"/>
    <cellStyle name="Normal 2 3 8 6_SSL" xfId="15204" xr:uid="{00000000-0005-0000-0000-0000D5240000}"/>
    <cellStyle name="Normal 2 3 8 7" xfId="3983" xr:uid="{00000000-0005-0000-0000-0000D6240000}"/>
    <cellStyle name="Normal 2 3 8 7 2" xfId="10623" xr:uid="{00000000-0005-0000-0000-0000D7240000}"/>
    <cellStyle name="Normal 2 3 8 7_SSL" xfId="14369" xr:uid="{00000000-0005-0000-0000-0000D8240000}"/>
    <cellStyle name="Normal 2 3 8 8" xfId="4794" xr:uid="{00000000-0005-0000-0000-0000D9240000}"/>
    <cellStyle name="Normal 2 3 8 8 2" xfId="11433" xr:uid="{00000000-0005-0000-0000-0000DA240000}"/>
    <cellStyle name="Normal 2 3 8 8_SSL" xfId="16087" xr:uid="{00000000-0005-0000-0000-0000DB240000}"/>
    <cellStyle name="Normal 2 3 8 9" xfId="5604" xr:uid="{00000000-0005-0000-0000-0000DC240000}"/>
    <cellStyle name="Normal 2 3 8 9 2" xfId="12242" xr:uid="{00000000-0005-0000-0000-0000DD240000}"/>
    <cellStyle name="Normal 2 3 8 9_SSL" xfId="16045" xr:uid="{00000000-0005-0000-0000-0000DE240000}"/>
    <cellStyle name="Normal 2 3 8_SSL" xfId="12890" xr:uid="{00000000-0005-0000-0000-0000DF240000}"/>
    <cellStyle name="Normal 2 3 9" xfId="335" xr:uid="{00000000-0005-0000-0000-0000E0240000}"/>
    <cellStyle name="Normal 2 3 9 10" xfId="6525" xr:uid="{00000000-0005-0000-0000-0000E1240000}"/>
    <cellStyle name="Normal 2 3 9 2" xfId="723" xr:uid="{00000000-0005-0000-0000-0000E2240000}"/>
    <cellStyle name="Normal 2 3 9 2 2" xfId="1528" xr:uid="{00000000-0005-0000-0000-0000E3240000}"/>
    <cellStyle name="Normal 2 3 9 2 2 2" xfId="8183" xr:uid="{00000000-0005-0000-0000-0000E4240000}"/>
    <cellStyle name="Normal 2 3 9 2 2_SSL" xfId="17905" xr:uid="{00000000-0005-0000-0000-0000E5240000}"/>
    <cellStyle name="Normal 2 3 9 2 3" xfId="2348" xr:uid="{00000000-0005-0000-0000-0000E6240000}"/>
    <cellStyle name="Normal 2 3 9 2 3 2" xfId="8996" xr:uid="{00000000-0005-0000-0000-0000E7240000}"/>
    <cellStyle name="Normal 2 3 9 2 3_SSL" xfId="14846" xr:uid="{00000000-0005-0000-0000-0000E8240000}"/>
    <cellStyle name="Normal 2 3 9 2 4" xfId="3167" xr:uid="{00000000-0005-0000-0000-0000E9240000}"/>
    <cellStyle name="Normal 2 3 9 2 4 2" xfId="9812" xr:uid="{00000000-0005-0000-0000-0000EA240000}"/>
    <cellStyle name="Normal 2 3 9 2 4_SSL" xfId="6016" xr:uid="{00000000-0005-0000-0000-0000EB240000}"/>
    <cellStyle name="Normal 2 3 9 2 5" xfId="3988" xr:uid="{00000000-0005-0000-0000-0000EC240000}"/>
    <cellStyle name="Normal 2 3 9 2 5 2" xfId="10628" xr:uid="{00000000-0005-0000-0000-0000ED240000}"/>
    <cellStyle name="Normal 2 3 9 2 5_SSL" xfId="14253" xr:uid="{00000000-0005-0000-0000-0000EE240000}"/>
    <cellStyle name="Normal 2 3 9 2 6" xfId="4799" xr:uid="{00000000-0005-0000-0000-0000EF240000}"/>
    <cellStyle name="Normal 2 3 9 2 6 2" xfId="11438" xr:uid="{00000000-0005-0000-0000-0000F0240000}"/>
    <cellStyle name="Normal 2 3 9 2 6_SSL" xfId="17738" xr:uid="{00000000-0005-0000-0000-0000F1240000}"/>
    <cellStyle name="Normal 2 3 9 2 7" xfId="5609" xr:uid="{00000000-0005-0000-0000-0000F2240000}"/>
    <cellStyle name="Normal 2 3 9 2 7 2" xfId="12247" xr:uid="{00000000-0005-0000-0000-0000F3240000}"/>
    <cellStyle name="Normal 2 3 9 2 7_SSL" xfId="14925" xr:uid="{00000000-0005-0000-0000-0000F4240000}"/>
    <cellStyle name="Normal 2 3 9 2 8" xfId="7579" xr:uid="{00000000-0005-0000-0000-0000F5240000}"/>
    <cellStyle name="Normal 2 3 9 2 9" xfId="6526" xr:uid="{00000000-0005-0000-0000-0000F6240000}"/>
    <cellStyle name="Normal 2 3 9 2_SSL" xfId="17278" xr:uid="{00000000-0005-0000-0000-0000F7240000}"/>
    <cellStyle name="Normal 2 3 9 3" xfId="1527" xr:uid="{00000000-0005-0000-0000-0000F8240000}"/>
    <cellStyle name="Normal 2 3 9 3 2" xfId="8182" xr:uid="{00000000-0005-0000-0000-0000F9240000}"/>
    <cellStyle name="Normal 2 3 9 3_SSL" xfId="17753" xr:uid="{00000000-0005-0000-0000-0000FA240000}"/>
    <cellStyle name="Normal 2 3 9 4" xfId="2347" xr:uid="{00000000-0005-0000-0000-0000FB240000}"/>
    <cellStyle name="Normal 2 3 9 4 2" xfId="8995" xr:uid="{00000000-0005-0000-0000-0000FC240000}"/>
    <cellStyle name="Normal 2 3 9 4_SSL" xfId="16808" xr:uid="{00000000-0005-0000-0000-0000FD240000}"/>
    <cellStyle name="Normal 2 3 9 5" xfId="3166" xr:uid="{00000000-0005-0000-0000-0000FE240000}"/>
    <cellStyle name="Normal 2 3 9 5 2" xfId="9811" xr:uid="{00000000-0005-0000-0000-0000FF240000}"/>
    <cellStyle name="Normal 2 3 9 5_SSL" xfId="15933" xr:uid="{00000000-0005-0000-0000-000000250000}"/>
    <cellStyle name="Normal 2 3 9 6" xfId="3987" xr:uid="{00000000-0005-0000-0000-000001250000}"/>
    <cellStyle name="Normal 2 3 9 6 2" xfId="10627" xr:uid="{00000000-0005-0000-0000-000002250000}"/>
    <cellStyle name="Normal 2 3 9 6_SSL" xfId="14590" xr:uid="{00000000-0005-0000-0000-000003250000}"/>
    <cellStyle name="Normal 2 3 9 7" xfId="4798" xr:uid="{00000000-0005-0000-0000-000004250000}"/>
    <cellStyle name="Normal 2 3 9 7 2" xfId="11437" xr:uid="{00000000-0005-0000-0000-000005250000}"/>
    <cellStyle name="Normal 2 3 9 7_SSL" xfId="15829" xr:uid="{00000000-0005-0000-0000-000006250000}"/>
    <cellStyle name="Normal 2 3 9 8" xfId="5608" xr:uid="{00000000-0005-0000-0000-000007250000}"/>
    <cellStyle name="Normal 2 3 9 8 2" xfId="12246" xr:uid="{00000000-0005-0000-0000-000008250000}"/>
    <cellStyle name="Normal 2 3 9 8_SSL" xfId="15122" xr:uid="{00000000-0005-0000-0000-000009250000}"/>
    <cellStyle name="Normal 2 3 9 9" xfId="7195" xr:uid="{00000000-0005-0000-0000-00000A250000}"/>
    <cellStyle name="Normal 2 3 9_SSL" xfId="13373" xr:uid="{00000000-0005-0000-0000-00000B250000}"/>
    <cellStyle name="Normal 2 3_SSL" xfId="17168" xr:uid="{00000000-0005-0000-0000-00000C250000}"/>
    <cellStyle name="Normal 2 4" xfId="37" xr:uid="{00000000-0005-0000-0000-00000D250000}"/>
    <cellStyle name="Normal 2 4 10" xfId="1529" xr:uid="{00000000-0005-0000-0000-00000E250000}"/>
    <cellStyle name="Normal 2 4 10 2" xfId="8184" xr:uid="{00000000-0005-0000-0000-00000F250000}"/>
    <cellStyle name="Normal 2 4 10_SSL" xfId="15295" xr:uid="{00000000-0005-0000-0000-000010250000}"/>
    <cellStyle name="Normal 2 4 11" xfId="2349" xr:uid="{00000000-0005-0000-0000-000011250000}"/>
    <cellStyle name="Normal 2 4 11 2" xfId="8997" xr:uid="{00000000-0005-0000-0000-000012250000}"/>
    <cellStyle name="Normal 2 4 11_SSL" xfId="15487" xr:uid="{00000000-0005-0000-0000-000013250000}"/>
    <cellStyle name="Normal 2 4 12" xfId="3168" xr:uid="{00000000-0005-0000-0000-000014250000}"/>
    <cellStyle name="Normal 2 4 12 2" xfId="9813" xr:uid="{00000000-0005-0000-0000-000015250000}"/>
    <cellStyle name="Normal 2 4 12_SSL" xfId="16149" xr:uid="{00000000-0005-0000-0000-000016250000}"/>
    <cellStyle name="Normal 2 4 13" xfId="3989" xr:uid="{00000000-0005-0000-0000-000017250000}"/>
    <cellStyle name="Normal 2 4 13 2" xfId="10629" xr:uid="{00000000-0005-0000-0000-000018250000}"/>
    <cellStyle name="Normal 2 4 13_SSL" xfId="17453" xr:uid="{00000000-0005-0000-0000-000019250000}"/>
    <cellStyle name="Normal 2 4 14" xfId="4800" xr:uid="{00000000-0005-0000-0000-00001A250000}"/>
    <cellStyle name="Normal 2 4 14 2" xfId="11439" xr:uid="{00000000-0005-0000-0000-00001B250000}"/>
    <cellStyle name="Normal 2 4 14_SSL" xfId="12812" xr:uid="{00000000-0005-0000-0000-00001C250000}"/>
    <cellStyle name="Normal 2 4 15" xfId="5610" xr:uid="{00000000-0005-0000-0000-00001D250000}"/>
    <cellStyle name="Normal 2 4 15 2" xfId="12248" xr:uid="{00000000-0005-0000-0000-00001E250000}"/>
    <cellStyle name="Normal 2 4 15_SSL" xfId="17163" xr:uid="{00000000-0005-0000-0000-00001F250000}"/>
    <cellStyle name="Normal 2 4 16" xfId="6938" xr:uid="{00000000-0005-0000-0000-000020250000}"/>
    <cellStyle name="Normal 2 4 17" xfId="6527" xr:uid="{00000000-0005-0000-0000-000021250000}"/>
    <cellStyle name="Normal 2 4 2" xfId="67" xr:uid="{00000000-0005-0000-0000-000022250000}"/>
    <cellStyle name="Normal 2 4 2 10" xfId="2350" xr:uid="{00000000-0005-0000-0000-000023250000}"/>
    <cellStyle name="Normal 2 4 2 10 2" xfId="8998" xr:uid="{00000000-0005-0000-0000-000024250000}"/>
    <cellStyle name="Normal 2 4 2 10_SSL" xfId="16035" xr:uid="{00000000-0005-0000-0000-000025250000}"/>
    <cellStyle name="Normal 2 4 2 11" xfId="3169" xr:uid="{00000000-0005-0000-0000-000026250000}"/>
    <cellStyle name="Normal 2 4 2 11 2" xfId="9814" xr:uid="{00000000-0005-0000-0000-000027250000}"/>
    <cellStyle name="Normal 2 4 2 11_SSL" xfId="13507" xr:uid="{00000000-0005-0000-0000-000028250000}"/>
    <cellStyle name="Normal 2 4 2 12" xfId="3990" xr:uid="{00000000-0005-0000-0000-000029250000}"/>
    <cellStyle name="Normal 2 4 2 12 2" xfId="10630" xr:uid="{00000000-0005-0000-0000-00002A250000}"/>
    <cellStyle name="Normal 2 4 2 12_SSL" xfId="12887" xr:uid="{00000000-0005-0000-0000-00002B250000}"/>
    <cellStyle name="Normal 2 4 2 13" xfId="4801" xr:uid="{00000000-0005-0000-0000-00002C250000}"/>
    <cellStyle name="Normal 2 4 2 13 2" xfId="11440" xr:uid="{00000000-0005-0000-0000-00002D250000}"/>
    <cellStyle name="Normal 2 4 2 13_SSL" xfId="15638" xr:uid="{00000000-0005-0000-0000-00002E250000}"/>
    <cellStyle name="Normal 2 4 2 14" xfId="5611" xr:uid="{00000000-0005-0000-0000-00002F250000}"/>
    <cellStyle name="Normal 2 4 2 14 2" xfId="12249" xr:uid="{00000000-0005-0000-0000-000030250000}"/>
    <cellStyle name="Normal 2 4 2 14_SSL" xfId="17657" xr:uid="{00000000-0005-0000-0000-000031250000}"/>
    <cellStyle name="Normal 2 4 2 15" xfId="6952" xr:uid="{00000000-0005-0000-0000-000032250000}"/>
    <cellStyle name="Normal 2 4 2 16" xfId="6528" xr:uid="{00000000-0005-0000-0000-000033250000}"/>
    <cellStyle name="Normal 2 4 2 2" xfId="96" xr:uid="{00000000-0005-0000-0000-000034250000}"/>
    <cellStyle name="Normal 2 4 2 2 10" xfId="5612" xr:uid="{00000000-0005-0000-0000-000035250000}"/>
    <cellStyle name="Normal 2 4 2 2 10 2" xfId="12250" xr:uid="{00000000-0005-0000-0000-000036250000}"/>
    <cellStyle name="Normal 2 4 2 2 10_SSL" xfId="15913" xr:uid="{00000000-0005-0000-0000-000037250000}"/>
    <cellStyle name="Normal 2 4 2 2 11" xfId="6975" xr:uid="{00000000-0005-0000-0000-000038250000}"/>
    <cellStyle name="Normal 2 4 2 2 12" xfId="6529" xr:uid="{00000000-0005-0000-0000-000039250000}"/>
    <cellStyle name="Normal 2 4 2 2 2" xfId="194" xr:uid="{00000000-0005-0000-0000-00003A250000}"/>
    <cellStyle name="Normal 2 4 2 2 2 10" xfId="7071" xr:uid="{00000000-0005-0000-0000-00003B250000}"/>
    <cellStyle name="Normal 2 4 2 2 2 11" xfId="6530" xr:uid="{00000000-0005-0000-0000-00003C250000}"/>
    <cellStyle name="Normal 2 4 2 2 2 2" xfId="370" xr:uid="{00000000-0005-0000-0000-00003D250000}"/>
    <cellStyle name="Normal 2 4 2 2 2 2 10" xfId="6531" xr:uid="{00000000-0005-0000-0000-00003E250000}"/>
    <cellStyle name="Normal 2 4 2 2 2 2 2" xfId="758" xr:uid="{00000000-0005-0000-0000-00003F250000}"/>
    <cellStyle name="Normal 2 4 2 2 2 2 2 2" xfId="1534" xr:uid="{00000000-0005-0000-0000-000040250000}"/>
    <cellStyle name="Normal 2 4 2 2 2 2 2 2 2" xfId="8189" xr:uid="{00000000-0005-0000-0000-000041250000}"/>
    <cellStyle name="Normal 2 4 2 2 2 2 2 2_SSL" xfId="16431" xr:uid="{00000000-0005-0000-0000-000042250000}"/>
    <cellStyle name="Normal 2 4 2 2 2 2 2 3" xfId="2354" xr:uid="{00000000-0005-0000-0000-000043250000}"/>
    <cellStyle name="Normal 2 4 2 2 2 2 2 3 2" xfId="9002" xr:uid="{00000000-0005-0000-0000-000044250000}"/>
    <cellStyle name="Normal 2 4 2 2 2 2 2 3_SSL" xfId="14810" xr:uid="{00000000-0005-0000-0000-000045250000}"/>
    <cellStyle name="Normal 2 4 2 2 2 2 2 4" xfId="3173" xr:uid="{00000000-0005-0000-0000-000046250000}"/>
    <cellStyle name="Normal 2 4 2 2 2 2 2 4 2" xfId="9818" xr:uid="{00000000-0005-0000-0000-000047250000}"/>
    <cellStyle name="Normal 2 4 2 2 2 2 2 4_SSL" xfId="15294" xr:uid="{00000000-0005-0000-0000-000048250000}"/>
    <cellStyle name="Normal 2 4 2 2 2 2 2 5" xfId="3994" xr:uid="{00000000-0005-0000-0000-000049250000}"/>
    <cellStyle name="Normal 2 4 2 2 2 2 2 5 2" xfId="10634" xr:uid="{00000000-0005-0000-0000-00004A250000}"/>
    <cellStyle name="Normal 2 4 2 2 2 2 2 5_SSL" xfId="14317" xr:uid="{00000000-0005-0000-0000-00004B250000}"/>
    <cellStyle name="Normal 2 4 2 2 2 2 2 6" xfId="4805" xr:uid="{00000000-0005-0000-0000-00004C250000}"/>
    <cellStyle name="Normal 2 4 2 2 2 2 2 6 2" xfId="11444" xr:uid="{00000000-0005-0000-0000-00004D250000}"/>
    <cellStyle name="Normal 2 4 2 2 2 2 2 6_SSL" xfId="15305" xr:uid="{00000000-0005-0000-0000-00004E250000}"/>
    <cellStyle name="Normal 2 4 2 2 2 2 2 7" xfId="5615" xr:uid="{00000000-0005-0000-0000-00004F250000}"/>
    <cellStyle name="Normal 2 4 2 2 2 2 2 7 2" xfId="12253" xr:uid="{00000000-0005-0000-0000-000050250000}"/>
    <cellStyle name="Normal 2 4 2 2 2 2 2 7_SSL" xfId="15879" xr:uid="{00000000-0005-0000-0000-000051250000}"/>
    <cellStyle name="Normal 2 4 2 2 2 2 2 8" xfId="7614" xr:uid="{00000000-0005-0000-0000-000052250000}"/>
    <cellStyle name="Normal 2 4 2 2 2 2 2 9" xfId="6532" xr:uid="{00000000-0005-0000-0000-000053250000}"/>
    <cellStyle name="Normal 2 4 2 2 2 2 2_SSL" xfId="13349" xr:uid="{00000000-0005-0000-0000-000054250000}"/>
    <cellStyle name="Normal 2 4 2 2 2 2 3" xfId="1533" xr:uid="{00000000-0005-0000-0000-000055250000}"/>
    <cellStyle name="Normal 2 4 2 2 2 2 3 2" xfId="8188" xr:uid="{00000000-0005-0000-0000-000056250000}"/>
    <cellStyle name="Normal 2 4 2 2 2 2 3_SSL" xfId="15676" xr:uid="{00000000-0005-0000-0000-000057250000}"/>
    <cellStyle name="Normal 2 4 2 2 2 2 4" xfId="2353" xr:uid="{00000000-0005-0000-0000-000058250000}"/>
    <cellStyle name="Normal 2 4 2 2 2 2 4 2" xfId="9001" xr:uid="{00000000-0005-0000-0000-000059250000}"/>
    <cellStyle name="Normal 2 4 2 2 2 2 4_SSL" xfId="15559" xr:uid="{00000000-0005-0000-0000-00005A250000}"/>
    <cellStyle name="Normal 2 4 2 2 2 2 5" xfId="3172" xr:uid="{00000000-0005-0000-0000-00005B250000}"/>
    <cellStyle name="Normal 2 4 2 2 2 2 5 2" xfId="9817" xr:uid="{00000000-0005-0000-0000-00005C250000}"/>
    <cellStyle name="Normal 2 4 2 2 2 2 5_SSL" xfId="14955" xr:uid="{00000000-0005-0000-0000-00005D250000}"/>
    <cellStyle name="Normal 2 4 2 2 2 2 6" xfId="3993" xr:uid="{00000000-0005-0000-0000-00005E250000}"/>
    <cellStyle name="Normal 2 4 2 2 2 2 6 2" xfId="10633" xr:uid="{00000000-0005-0000-0000-00005F250000}"/>
    <cellStyle name="Normal 2 4 2 2 2 2 6_SSL" xfId="17394" xr:uid="{00000000-0005-0000-0000-000060250000}"/>
    <cellStyle name="Normal 2 4 2 2 2 2 7" xfId="4804" xr:uid="{00000000-0005-0000-0000-000061250000}"/>
    <cellStyle name="Normal 2 4 2 2 2 2 7 2" xfId="11443" xr:uid="{00000000-0005-0000-0000-000062250000}"/>
    <cellStyle name="Normal 2 4 2 2 2 2 7_SSL" xfId="17703" xr:uid="{00000000-0005-0000-0000-000063250000}"/>
    <cellStyle name="Normal 2 4 2 2 2 2 8" xfId="5614" xr:uid="{00000000-0005-0000-0000-000064250000}"/>
    <cellStyle name="Normal 2 4 2 2 2 2 8 2" xfId="12252" xr:uid="{00000000-0005-0000-0000-000065250000}"/>
    <cellStyle name="Normal 2 4 2 2 2 2 8_SSL" xfId="17923" xr:uid="{00000000-0005-0000-0000-000066250000}"/>
    <cellStyle name="Normal 2 4 2 2 2 2 9" xfId="7230" xr:uid="{00000000-0005-0000-0000-000067250000}"/>
    <cellStyle name="Normal 2 4 2 2 2 2_SSL" xfId="14448" xr:uid="{00000000-0005-0000-0000-000068250000}"/>
    <cellStyle name="Normal 2 4 2 2 2 3" xfId="599" xr:uid="{00000000-0005-0000-0000-000069250000}"/>
    <cellStyle name="Normal 2 4 2 2 2 3 2" xfId="1535" xr:uid="{00000000-0005-0000-0000-00006A250000}"/>
    <cellStyle name="Normal 2 4 2 2 2 3 2 2" xfId="8190" xr:uid="{00000000-0005-0000-0000-00006B250000}"/>
    <cellStyle name="Normal 2 4 2 2 2 3 2_SSL" xfId="14050" xr:uid="{00000000-0005-0000-0000-00006C250000}"/>
    <cellStyle name="Normal 2 4 2 2 2 3 3" xfId="2355" xr:uid="{00000000-0005-0000-0000-00006D250000}"/>
    <cellStyle name="Normal 2 4 2 2 2 3 3 2" xfId="9003" xr:uid="{00000000-0005-0000-0000-00006E250000}"/>
    <cellStyle name="Normal 2 4 2 2 2 3 3_SSL" xfId="14462" xr:uid="{00000000-0005-0000-0000-00006F250000}"/>
    <cellStyle name="Normal 2 4 2 2 2 3 4" xfId="3174" xr:uid="{00000000-0005-0000-0000-000070250000}"/>
    <cellStyle name="Normal 2 4 2 2 2 3 4 2" xfId="9819" xr:uid="{00000000-0005-0000-0000-000071250000}"/>
    <cellStyle name="Normal 2 4 2 2 2 3 4_SSL" xfId="15473" xr:uid="{00000000-0005-0000-0000-000072250000}"/>
    <cellStyle name="Normal 2 4 2 2 2 3 5" xfId="3995" xr:uid="{00000000-0005-0000-0000-000073250000}"/>
    <cellStyle name="Normal 2 4 2 2 2 3 5 2" xfId="10635" xr:uid="{00000000-0005-0000-0000-000074250000}"/>
    <cellStyle name="Normal 2 4 2 2 2 3 5_SSL" xfId="17954" xr:uid="{00000000-0005-0000-0000-000075250000}"/>
    <cellStyle name="Normal 2 4 2 2 2 3 6" xfId="4806" xr:uid="{00000000-0005-0000-0000-000076250000}"/>
    <cellStyle name="Normal 2 4 2 2 2 3 6 2" xfId="11445" xr:uid="{00000000-0005-0000-0000-000077250000}"/>
    <cellStyle name="Normal 2 4 2 2 2 3 6_SSL" xfId="13606" xr:uid="{00000000-0005-0000-0000-000078250000}"/>
    <cellStyle name="Normal 2 4 2 2 2 3 7" xfId="5616" xr:uid="{00000000-0005-0000-0000-000079250000}"/>
    <cellStyle name="Normal 2 4 2 2 2 3 7 2" xfId="12254" xr:uid="{00000000-0005-0000-0000-00007A250000}"/>
    <cellStyle name="Normal 2 4 2 2 2 3 7_SSL" xfId="12693" xr:uid="{00000000-0005-0000-0000-00007B250000}"/>
    <cellStyle name="Normal 2 4 2 2 2 3 8" xfId="7455" xr:uid="{00000000-0005-0000-0000-00007C250000}"/>
    <cellStyle name="Normal 2 4 2 2 2 3 9" xfId="6533" xr:uid="{00000000-0005-0000-0000-00007D250000}"/>
    <cellStyle name="Normal 2 4 2 2 2 3_SSL" xfId="14832" xr:uid="{00000000-0005-0000-0000-00007E250000}"/>
    <cellStyle name="Normal 2 4 2 2 2 4" xfId="1532" xr:uid="{00000000-0005-0000-0000-00007F250000}"/>
    <cellStyle name="Normal 2 4 2 2 2 4 2" xfId="8187" xr:uid="{00000000-0005-0000-0000-000080250000}"/>
    <cellStyle name="Normal 2 4 2 2 2 4_SSL" xfId="12847" xr:uid="{00000000-0005-0000-0000-000081250000}"/>
    <cellStyle name="Normal 2 4 2 2 2 5" xfId="2352" xr:uid="{00000000-0005-0000-0000-000082250000}"/>
    <cellStyle name="Normal 2 4 2 2 2 5 2" xfId="9000" xr:uid="{00000000-0005-0000-0000-000083250000}"/>
    <cellStyle name="Normal 2 4 2 2 2 5_SSL" xfId="12780" xr:uid="{00000000-0005-0000-0000-000084250000}"/>
    <cellStyle name="Normal 2 4 2 2 2 6" xfId="3171" xr:uid="{00000000-0005-0000-0000-000085250000}"/>
    <cellStyle name="Normal 2 4 2 2 2 6 2" xfId="9816" xr:uid="{00000000-0005-0000-0000-000086250000}"/>
    <cellStyle name="Normal 2 4 2 2 2 6_SSL" xfId="12634" xr:uid="{00000000-0005-0000-0000-000087250000}"/>
    <cellStyle name="Normal 2 4 2 2 2 7" xfId="3992" xr:uid="{00000000-0005-0000-0000-000088250000}"/>
    <cellStyle name="Normal 2 4 2 2 2 7 2" xfId="10632" xr:uid="{00000000-0005-0000-0000-000089250000}"/>
    <cellStyle name="Normal 2 4 2 2 2 7_SSL" xfId="17271" xr:uid="{00000000-0005-0000-0000-00008A250000}"/>
    <cellStyle name="Normal 2 4 2 2 2 8" xfId="4803" xr:uid="{00000000-0005-0000-0000-00008B250000}"/>
    <cellStyle name="Normal 2 4 2 2 2 8 2" xfId="11442" xr:uid="{00000000-0005-0000-0000-00008C250000}"/>
    <cellStyle name="Normal 2 4 2 2 2 8_SSL" xfId="17100" xr:uid="{00000000-0005-0000-0000-00008D250000}"/>
    <cellStyle name="Normal 2 4 2 2 2 9" xfId="5613" xr:uid="{00000000-0005-0000-0000-00008E250000}"/>
    <cellStyle name="Normal 2 4 2 2 2 9 2" xfId="12251" xr:uid="{00000000-0005-0000-0000-00008F250000}"/>
    <cellStyle name="Normal 2 4 2 2 2 9_SSL" xfId="16907" xr:uid="{00000000-0005-0000-0000-000090250000}"/>
    <cellStyle name="Normal 2 4 2 2 2_SSL" xfId="13482" xr:uid="{00000000-0005-0000-0000-000091250000}"/>
    <cellStyle name="Normal 2 4 2 2 3" xfId="369" xr:uid="{00000000-0005-0000-0000-000092250000}"/>
    <cellStyle name="Normal 2 4 2 2 3 10" xfId="6534" xr:uid="{00000000-0005-0000-0000-000093250000}"/>
    <cellStyle name="Normal 2 4 2 2 3 2" xfId="757" xr:uid="{00000000-0005-0000-0000-000094250000}"/>
    <cellStyle name="Normal 2 4 2 2 3 2 2" xfId="1537" xr:uid="{00000000-0005-0000-0000-000095250000}"/>
    <cellStyle name="Normal 2 4 2 2 3 2 2 2" xfId="8192" xr:uid="{00000000-0005-0000-0000-000096250000}"/>
    <cellStyle name="Normal 2 4 2 2 3 2 2_SSL" xfId="17496" xr:uid="{00000000-0005-0000-0000-000097250000}"/>
    <cellStyle name="Normal 2 4 2 2 3 2 3" xfId="2357" xr:uid="{00000000-0005-0000-0000-000098250000}"/>
    <cellStyle name="Normal 2 4 2 2 3 2 3 2" xfId="9005" xr:uid="{00000000-0005-0000-0000-000099250000}"/>
    <cellStyle name="Normal 2 4 2 2 3 2 3_SSL" xfId="15060" xr:uid="{00000000-0005-0000-0000-00009A250000}"/>
    <cellStyle name="Normal 2 4 2 2 3 2 4" xfId="3176" xr:uid="{00000000-0005-0000-0000-00009B250000}"/>
    <cellStyle name="Normal 2 4 2 2 3 2 4 2" xfId="9821" xr:uid="{00000000-0005-0000-0000-00009C250000}"/>
    <cellStyle name="Normal 2 4 2 2 3 2 4_SSL" xfId="17700" xr:uid="{00000000-0005-0000-0000-00009D250000}"/>
    <cellStyle name="Normal 2 4 2 2 3 2 5" xfId="3997" xr:uid="{00000000-0005-0000-0000-00009E250000}"/>
    <cellStyle name="Normal 2 4 2 2 3 2 5 2" xfId="10637" xr:uid="{00000000-0005-0000-0000-00009F250000}"/>
    <cellStyle name="Normal 2 4 2 2 3 2 5_SSL" xfId="14769" xr:uid="{00000000-0005-0000-0000-0000A0250000}"/>
    <cellStyle name="Normal 2 4 2 2 3 2 6" xfId="4808" xr:uid="{00000000-0005-0000-0000-0000A1250000}"/>
    <cellStyle name="Normal 2 4 2 2 3 2 6 2" xfId="11447" xr:uid="{00000000-0005-0000-0000-0000A2250000}"/>
    <cellStyle name="Normal 2 4 2 2 3 2 6_SSL" xfId="14772" xr:uid="{00000000-0005-0000-0000-0000A3250000}"/>
    <cellStyle name="Normal 2 4 2 2 3 2 7" xfId="5618" xr:uid="{00000000-0005-0000-0000-0000A4250000}"/>
    <cellStyle name="Normal 2 4 2 2 3 2 7 2" xfId="12256" xr:uid="{00000000-0005-0000-0000-0000A5250000}"/>
    <cellStyle name="Normal 2 4 2 2 3 2 7_SSL" xfId="17030" xr:uid="{00000000-0005-0000-0000-0000A6250000}"/>
    <cellStyle name="Normal 2 4 2 2 3 2 8" xfId="7613" xr:uid="{00000000-0005-0000-0000-0000A7250000}"/>
    <cellStyle name="Normal 2 4 2 2 3 2 9" xfId="6535" xr:uid="{00000000-0005-0000-0000-0000A8250000}"/>
    <cellStyle name="Normal 2 4 2 2 3 2_SSL" xfId="12992" xr:uid="{00000000-0005-0000-0000-0000A9250000}"/>
    <cellStyle name="Normal 2 4 2 2 3 3" xfId="1536" xr:uid="{00000000-0005-0000-0000-0000AA250000}"/>
    <cellStyle name="Normal 2 4 2 2 3 3 2" xfId="8191" xr:uid="{00000000-0005-0000-0000-0000AB250000}"/>
    <cellStyle name="Normal 2 4 2 2 3 3_SSL" xfId="17701" xr:uid="{00000000-0005-0000-0000-0000AC250000}"/>
    <cellStyle name="Normal 2 4 2 2 3 4" xfId="2356" xr:uid="{00000000-0005-0000-0000-0000AD250000}"/>
    <cellStyle name="Normal 2 4 2 2 3 4 2" xfId="9004" xr:uid="{00000000-0005-0000-0000-0000AE250000}"/>
    <cellStyle name="Normal 2 4 2 2 3 4_SSL" xfId="13538" xr:uid="{00000000-0005-0000-0000-0000AF250000}"/>
    <cellStyle name="Normal 2 4 2 2 3 5" xfId="3175" xr:uid="{00000000-0005-0000-0000-0000B0250000}"/>
    <cellStyle name="Normal 2 4 2 2 3 5 2" xfId="9820" xr:uid="{00000000-0005-0000-0000-0000B1250000}"/>
    <cellStyle name="Normal 2 4 2 2 3 5_SSL" xfId="16441" xr:uid="{00000000-0005-0000-0000-0000B2250000}"/>
    <cellStyle name="Normal 2 4 2 2 3 6" xfId="3996" xr:uid="{00000000-0005-0000-0000-0000B3250000}"/>
    <cellStyle name="Normal 2 4 2 2 3 6 2" xfId="10636" xr:uid="{00000000-0005-0000-0000-0000B4250000}"/>
    <cellStyle name="Normal 2 4 2 2 3 6_SSL" xfId="16420" xr:uid="{00000000-0005-0000-0000-0000B5250000}"/>
    <cellStyle name="Normal 2 4 2 2 3 7" xfId="4807" xr:uid="{00000000-0005-0000-0000-0000B6250000}"/>
    <cellStyle name="Normal 2 4 2 2 3 7 2" xfId="11446" xr:uid="{00000000-0005-0000-0000-0000B7250000}"/>
    <cellStyle name="Normal 2 4 2 2 3 7_SSL" xfId="17243" xr:uid="{00000000-0005-0000-0000-0000B8250000}"/>
    <cellStyle name="Normal 2 4 2 2 3 8" xfId="5617" xr:uid="{00000000-0005-0000-0000-0000B9250000}"/>
    <cellStyle name="Normal 2 4 2 2 3 8 2" xfId="12255" xr:uid="{00000000-0005-0000-0000-0000BA250000}"/>
    <cellStyle name="Normal 2 4 2 2 3 8_SSL" xfId="14907" xr:uid="{00000000-0005-0000-0000-0000BB250000}"/>
    <cellStyle name="Normal 2 4 2 2 3 9" xfId="7229" xr:uid="{00000000-0005-0000-0000-0000BC250000}"/>
    <cellStyle name="Normal 2 4 2 2 3_SSL" xfId="16751" xr:uid="{00000000-0005-0000-0000-0000BD250000}"/>
    <cellStyle name="Normal 2 4 2 2 4" xfId="503" xr:uid="{00000000-0005-0000-0000-0000BE250000}"/>
    <cellStyle name="Normal 2 4 2 2 4 2" xfId="1538" xr:uid="{00000000-0005-0000-0000-0000BF250000}"/>
    <cellStyle name="Normal 2 4 2 2 4 2 2" xfId="8193" xr:uid="{00000000-0005-0000-0000-0000C0250000}"/>
    <cellStyle name="Normal 2 4 2 2 4 2_SSL" xfId="17614" xr:uid="{00000000-0005-0000-0000-0000C1250000}"/>
    <cellStyle name="Normal 2 4 2 2 4 3" xfId="2358" xr:uid="{00000000-0005-0000-0000-0000C2250000}"/>
    <cellStyle name="Normal 2 4 2 2 4 3 2" xfId="9006" xr:uid="{00000000-0005-0000-0000-0000C3250000}"/>
    <cellStyle name="Normal 2 4 2 2 4 3_SSL" xfId="16031" xr:uid="{00000000-0005-0000-0000-0000C4250000}"/>
    <cellStyle name="Normal 2 4 2 2 4 4" xfId="3177" xr:uid="{00000000-0005-0000-0000-0000C5250000}"/>
    <cellStyle name="Normal 2 4 2 2 4 4 2" xfId="9822" xr:uid="{00000000-0005-0000-0000-0000C6250000}"/>
    <cellStyle name="Normal 2 4 2 2 4 4_SSL" xfId="14667" xr:uid="{00000000-0005-0000-0000-0000C7250000}"/>
    <cellStyle name="Normal 2 4 2 2 4 5" xfId="3998" xr:uid="{00000000-0005-0000-0000-0000C8250000}"/>
    <cellStyle name="Normal 2 4 2 2 4 5 2" xfId="10638" xr:uid="{00000000-0005-0000-0000-0000C9250000}"/>
    <cellStyle name="Normal 2 4 2 2 4 5_SSL" xfId="13357" xr:uid="{00000000-0005-0000-0000-0000CA250000}"/>
    <cellStyle name="Normal 2 4 2 2 4 6" xfId="4809" xr:uid="{00000000-0005-0000-0000-0000CB250000}"/>
    <cellStyle name="Normal 2 4 2 2 4 6 2" xfId="11448" xr:uid="{00000000-0005-0000-0000-0000CC250000}"/>
    <cellStyle name="Normal 2 4 2 2 4 6_SSL" xfId="17533" xr:uid="{00000000-0005-0000-0000-0000CD250000}"/>
    <cellStyle name="Normal 2 4 2 2 4 7" xfId="5619" xr:uid="{00000000-0005-0000-0000-0000CE250000}"/>
    <cellStyle name="Normal 2 4 2 2 4 7 2" xfId="12257" xr:uid="{00000000-0005-0000-0000-0000CF250000}"/>
    <cellStyle name="Normal 2 4 2 2 4 7_SSL" xfId="14788" xr:uid="{00000000-0005-0000-0000-0000D0250000}"/>
    <cellStyle name="Normal 2 4 2 2 4 8" xfId="7359" xr:uid="{00000000-0005-0000-0000-0000D1250000}"/>
    <cellStyle name="Normal 2 4 2 2 4 9" xfId="6536" xr:uid="{00000000-0005-0000-0000-0000D2250000}"/>
    <cellStyle name="Normal 2 4 2 2 4_SSL" xfId="15011" xr:uid="{00000000-0005-0000-0000-0000D3250000}"/>
    <cellStyle name="Normal 2 4 2 2 5" xfId="1531" xr:uid="{00000000-0005-0000-0000-0000D4250000}"/>
    <cellStyle name="Normal 2 4 2 2 5 2" xfId="8186" xr:uid="{00000000-0005-0000-0000-0000D5250000}"/>
    <cellStyle name="Normal 2 4 2 2 5_SSL" xfId="12930" xr:uid="{00000000-0005-0000-0000-0000D6250000}"/>
    <cellStyle name="Normal 2 4 2 2 6" xfId="2351" xr:uid="{00000000-0005-0000-0000-0000D7250000}"/>
    <cellStyle name="Normal 2 4 2 2 6 2" xfId="8999" xr:uid="{00000000-0005-0000-0000-0000D8250000}"/>
    <cellStyle name="Normal 2 4 2 2 6_SSL" xfId="12896" xr:uid="{00000000-0005-0000-0000-0000D9250000}"/>
    <cellStyle name="Normal 2 4 2 2 7" xfId="3170" xr:uid="{00000000-0005-0000-0000-0000DA250000}"/>
    <cellStyle name="Normal 2 4 2 2 7 2" xfId="9815" xr:uid="{00000000-0005-0000-0000-0000DB250000}"/>
    <cellStyle name="Normal 2 4 2 2 7_SSL" xfId="15640" xr:uid="{00000000-0005-0000-0000-0000DC250000}"/>
    <cellStyle name="Normal 2 4 2 2 8" xfId="3991" xr:uid="{00000000-0005-0000-0000-0000DD250000}"/>
    <cellStyle name="Normal 2 4 2 2 8 2" xfId="10631" xr:uid="{00000000-0005-0000-0000-0000DE250000}"/>
    <cellStyle name="Normal 2 4 2 2 8_SSL" xfId="13321" xr:uid="{00000000-0005-0000-0000-0000DF250000}"/>
    <cellStyle name="Normal 2 4 2 2 9" xfId="4802" xr:uid="{00000000-0005-0000-0000-0000E0250000}"/>
    <cellStyle name="Normal 2 4 2 2 9 2" xfId="11441" xr:uid="{00000000-0005-0000-0000-0000E1250000}"/>
    <cellStyle name="Normal 2 4 2 2 9_SSL" xfId="14850" xr:uid="{00000000-0005-0000-0000-0000E2250000}"/>
    <cellStyle name="Normal 2 4 2 2_SSL" xfId="17204" xr:uid="{00000000-0005-0000-0000-0000E3250000}"/>
    <cellStyle name="Normal 2 4 2 3" xfId="121" xr:uid="{00000000-0005-0000-0000-0000E4250000}"/>
    <cellStyle name="Normal 2 4 2 3 10" xfId="5620" xr:uid="{00000000-0005-0000-0000-0000E5250000}"/>
    <cellStyle name="Normal 2 4 2 3 10 2" xfId="12258" xr:uid="{00000000-0005-0000-0000-0000E6250000}"/>
    <cellStyle name="Normal 2 4 2 3 10_SSL" xfId="13047" xr:uid="{00000000-0005-0000-0000-0000E7250000}"/>
    <cellStyle name="Normal 2 4 2 3 11" xfId="6998" xr:uid="{00000000-0005-0000-0000-0000E8250000}"/>
    <cellStyle name="Normal 2 4 2 3 12" xfId="6537" xr:uid="{00000000-0005-0000-0000-0000E9250000}"/>
    <cellStyle name="Normal 2 4 2 3 2" xfId="217" xr:uid="{00000000-0005-0000-0000-0000EA250000}"/>
    <cellStyle name="Normal 2 4 2 3 2 10" xfId="7094" xr:uid="{00000000-0005-0000-0000-0000EB250000}"/>
    <cellStyle name="Normal 2 4 2 3 2 11" xfId="6538" xr:uid="{00000000-0005-0000-0000-0000EC250000}"/>
    <cellStyle name="Normal 2 4 2 3 2 2" xfId="372" xr:uid="{00000000-0005-0000-0000-0000ED250000}"/>
    <cellStyle name="Normal 2 4 2 3 2 2 10" xfId="6539" xr:uid="{00000000-0005-0000-0000-0000EE250000}"/>
    <cellStyle name="Normal 2 4 2 3 2 2 2" xfId="760" xr:uid="{00000000-0005-0000-0000-0000EF250000}"/>
    <cellStyle name="Normal 2 4 2 3 2 2 2 2" xfId="1542" xr:uid="{00000000-0005-0000-0000-0000F0250000}"/>
    <cellStyle name="Normal 2 4 2 3 2 2 2 2 2" xfId="8197" xr:uid="{00000000-0005-0000-0000-0000F1250000}"/>
    <cellStyle name="Normal 2 4 2 3 2 2 2 2_SSL" xfId="13677" xr:uid="{00000000-0005-0000-0000-0000F2250000}"/>
    <cellStyle name="Normal 2 4 2 3 2 2 2 3" xfId="2362" xr:uid="{00000000-0005-0000-0000-0000F3250000}"/>
    <cellStyle name="Normal 2 4 2 3 2 2 2 3 2" xfId="9010" xr:uid="{00000000-0005-0000-0000-0000F4250000}"/>
    <cellStyle name="Normal 2 4 2 3 2 2 2 3_SSL" xfId="13887" xr:uid="{00000000-0005-0000-0000-0000F5250000}"/>
    <cellStyle name="Normal 2 4 2 3 2 2 2 4" xfId="3181" xr:uid="{00000000-0005-0000-0000-0000F6250000}"/>
    <cellStyle name="Normal 2 4 2 3 2 2 2 4 2" xfId="9826" xr:uid="{00000000-0005-0000-0000-0000F7250000}"/>
    <cellStyle name="Normal 2 4 2 3 2 2 2 4_SSL" xfId="13235" xr:uid="{00000000-0005-0000-0000-0000F8250000}"/>
    <cellStyle name="Normal 2 4 2 3 2 2 2 5" xfId="4002" xr:uid="{00000000-0005-0000-0000-0000F9250000}"/>
    <cellStyle name="Normal 2 4 2 3 2 2 2 5 2" xfId="10642" xr:uid="{00000000-0005-0000-0000-0000FA250000}"/>
    <cellStyle name="Normal 2 4 2 3 2 2 2 5_SSL" xfId="14198" xr:uid="{00000000-0005-0000-0000-0000FB250000}"/>
    <cellStyle name="Normal 2 4 2 3 2 2 2 6" xfId="4813" xr:uid="{00000000-0005-0000-0000-0000FC250000}"/>
    <cellStyle name="Normal 2 4 2 3 2 2 2 6 2" xfId="11452" xr:uid="{00000000-0005-0000-0000-0000FD250000}"/>
    <cellStyle name="Normal 2 4 2 3 2 2 2 6_SSL" xfId="13181" xr:uid="{00000000-0005-0000-0000-0000FE250000}"/>
    <cellStyle name="Normal 2 4 2 3 2 2 2 7" xfId="5623" xr:uid="{00000000-0005-0000-0000-0000FF250000}"/>
    <cellStyle name="Normal 2 4 2 3 2 2 2 7 2" xfId="12261" xr:uid="{00000000-0005-0000-0000-000000260000}"/>
    <cellStyle name="Normal 2 4 2 3 2 2 2 7_SSL" xfId="17289" xr:uid="{00000000-0005-0000-0000-000001260000}"/>
    <cellStyle name="Normal 2 4 2 3 2 2 2 8" xfId="7616" xr:uid="{00000000-0005-0000-0000-000002260000}"/>
    <cellStyle name="Normal 2 4 2 3 2 2 2 9" xfId="6540" xr:uid="{00000000-0005-0000-0000-000003260000}"/>
    <cellStyle name="Normal 2 4 2 3 2 2 2_SSL" xfId="13082" xr:uid="{00000000-0005-0000-0000-000004260000}"/>
    <cellStyle name="Normal 2 4 2 3 2 2 3" xfId="1541" xr:uid="{00000000-0005-0000-0000-000005260000}"/>
    <cellStyle name="Normal 2 4 2 3 2 2 3 2" xfId="8196" xr:uid="{00000000-0005-0000-0000-000006260000}"/>
    <cellStyle name="Normal 2 4 2 3 2 2 3_SSL" xfId="16632" xr:uid="{00000000-0005-0000-0000-000007260000}"/>
    <cellStyle name="Normal 2 4 2 3 2 2 4" xfId="2361" xr:uid="{00000000-0005-0000-0000-000008260000}"/>
    <cellStyle name="Normal 2 4 2 3 2 2 4 2" xfId="9009" xr:uid="{00000000-0005-0000-0000-000009260000}"/>
    <cellStyle name="Normal 2 4 2 3 2 2 4_SSL" xfId="16019" xr:uid="{00000000-0005-0000-0000-00000A260000}"/>
    <cellStyle name="Normal 2 4 2 3 2 2 5" xfId="3180" xr:uid="{00000000-0005-0000-0000-00000B260000}"/>
    <cellStyle name="Normal 2 4 2 3 2 2 5 2" xfId="9825" xr:uid="{00000000-0005-0000-0000-00000C260000}"/>
    <cellStyle name="Normal 2 4 2 3 2 2 5_SSL" xfId="14903" xr:uid="{00000000-0005-0000-0000-00000D260000}"/>
    <cellStyle name="Normal 2 4 2 3 2 2 6" xfId="4001" xr:uid="{00000000-0005-0000-0000-00000E260000}"/>
    <cellStyle name="Normal 2 4 2 3 2 2 6 2" xfId="10641" xr:uid="{00000000-0005-0000-0000-00000F260000}"/>
    <cellStyle name="Normal 2 4 2 3 2 2 6_SSL" xfId="13777" xr:uid="{00000000-0005-0000-0000-000010260000}"/>
    <cellStyle name="Normal 2 4 2 3 2 2 7" xfId="4812" xr:uid="{00000000-0005-0000-0000-000011260000}"/>
    <cellStyle name="Normal 2 4 2 3 2 2 7 2" xfId="11451" xr:uid="{00000000-0005-0000-0000-000012260000}"/>
    <cellStyle name="Normal 2 4 2 3 2 2 7_SSL" xfId="14089" xr:uid="{00000000-0005-0000-0000-000013260000}"/>
    <cellStyle name="Normal 2 4 2 3 2 2 8" xfId="5622" xr:uid="{00000000-0005-0000-0000-000014260000}"/>
    <cellStyle name="Normal 2 4 2 3 2 2 8 2" xfId="12260" xr:uid="{00000000-0005-0000-0000-000015260000}"/>
    <cellStyle name="Normal 2 4 2 3 2 2 8_SSL" xfId="16364" xr:uid="{00000000-0005-0000-0000-000016260000}"/>
    <cellStyle name="Normal 2 4 2 3 2 2 9" xfId="7232" xr:uid="{00000000-0005-0000-0000-000017260000}"/>
    <cellStyle name="Normal 2 4 2 3 2 2_SSL" xfId="14880" xr:uid="{00000000-0005-0000-0000-000018260000}"/>
    <cellStyle name="Normal 2 4 2 3 2 3" xfId="622" xr:uid="{00000000-0005-0000-0000-000019260000}"/>
    <cellStyle name="Normal 2 4 2 3 2 3 2" xfId="1543" xr:uid="{00000000-0005-0000-0000-00001A260000}"/>
    <cellStyle name="Normal 2 4 2 3 2 3 2 2" xfId="8198" xr:uid="{00000000-0005-0000-0000-00001B260000}"/>
    <cellStyle name="Normal 2 4 2 3 2 3 2_SSL" xfId="13769" xr:uid="{00000000-0005-0000-0000-00001C260000}"/>
    <cellStyle name="Normal 2 4 2 3 2 3 3" xfId="2363" xr:uid="{00000000-0005-0000-0000-00001D260000}"/>
    <cellStyle name="Normal 2 4 2 3 2 3 3 2" xfId="9011" xr:uid="{00000000-0005-0000-0000-00001E260000}"/>
    <cellStyle name="Normal 2 4 2 3 2 3 3_SSL" xfId="13506" xr:uid="{00000000-0005-0000-0000-00001F260000}"/>
    <cellStyle name="Normal 2 4 2 3 2 3 4" xfId="3182" xr:uid="{00000000-0005-0000-0000-000020260000}"/>
    <cellStyle name="Normal 2 4 2 3 2 3 4 2" xfId="9827" xr:uid="{00000000-0005-0000-0000-000021260000}"/>
    <cellStyle name="Normal 2 4 2 3 2 3 4_SSL" xfId="14544" xr:uid="{00000000-0005-0000-0000-000022260000}"/>
    <cellStyle name="Normal 2 4 2 3 2 3 5" xfId="4003" xr:uid="{00000000-0005-0000-0000-000023260000}"/>
    <cellStyle name="Normal 2 4 2 3 2 3 5 2" xfId="10643" xr:uid="{00000000-0005-0000-0000-000024260000}"/>
    <cellStyle name="Normal 2 4 2 3 2 3 5_SSL" xfId="16061" xr:uid="{00000000-0005-0000-0000-000025260000}"/>
    <cellStyle name="Normal 2 4 2 3 2 3 6" xfId="4814" xr:uid="{00000000-0005-0000-0000-000026260000}"/>
    <cellStyle name="Normal 2 4 2 3 2 3 6 2" xfId="11453" xr:uid="{00000000-0005-0000-0000-000027260000}"/>
    <cellStyle name="Normal 2 4 2 3 2 3 6_SSL" xfId="14127" xr:uid="{00000000-0005-0000-0000-000028260000}"/>
    <cellStyle name="Normal 2 4 2 3 2 3 7" xfId="5624" xr:uid="{00000000-0005-0000-0000-000029260000}"/>
    <cellStyle name="Normal 2 4 2 3 2 3 7 2" xfId="12262" xr:uid="{00000000-0005-0000-0000-00002A260000}"/>
    <cellStyle name="Normal 2 4 2 3 2 3 7_SSL" xfId="14583" xr:uid="{00000000-0005-0000-0000-00002B260000}"/>
    <cellStyle name="Normal 2 4 2 3 2 3 8" xfId="7478" xr:uid="{00000000-0005-0000-0000-00002C260000}"/>
    <cellStyle name="Normal 2 4 2 3 2 3 9" xfId="6541" xr:uid="{00000000-0005-0000-0000-00002D260000}"/>
    <cellStyle name="Normal 2 4 2 3 2 3_SSL" xfId="13354" xr:uid="{00000000-0005-0000-0000-00002E260000}"/>
    <cellStyle name="Normal 2 4 2 3 2 4" xfId="1540" xr:uid="{00000000-0005-0000-0000-00002F260000}"/>
    <cellStyle name="Normal 2 4 2 3 2 4 2" xfId="8195" xr:uid="{00000000-0005-0000-0000-000030260000}"/>
    <cellStyle name="Normal 2 4 2 3 2 4_SSL" xfId="16392" xr:uid="{00000000-0005-0000-0000-000031260000}"/>
    <cellStyle name="Normal 2 4 2 3 2 5" xfId="2360" xr:uid="{00000000-0005-0000-0000-000032260000}"/>
    <cellStyle name="Normal 2 4 2 3 2 5 2" xfId="9008" xr:uid="{00000000-0005-0000-0000-000033260000}"/>
    <cellStyle name="Normal 2 4 2 3 2 5_SSL" xfId="16269" xr:uid="{00000000-0005-0000-0000-000034260000}"/>
    <cellStyle name="Normal 2 4 2 3 2 6" xfId="3179" xr:uid="{00000000-0005-0000-0000-000035260000}"/>
    <cellStyle name="Normal 2 4 2 3 2 6 2" xfId="9824" xr:uid="{00000000-0005-0000-0000-000036260000}"/>
    <cellStyle name="Normal 2 4 2 3 2 6_SSL" xfId="17005" xr:uid="{00000000-0005-0000-0000-000037260000}"/>
    <cellStyle name="Normal 2 4 2 3 2 7" xfId="4000" xr:uid="{00000000-0005-0000-0000-000038260000}"/>
    <cellStyle name="Normal 2 4 2 3 2 7 2" xfId="10640" xr:uid="{00000000-0005-0000-0000-000039260000}"/>
    <cellStyle name="Normal 2 4 2 3 2 7_SSL" xfId="15549" xr:uid="{00000000-0005-0000-0000-00003A260000}"/>
    <cellStyle name="Normal 2 4 2 3 2 8" xfId="4811" xr:uid="{00000000-0005-0000-0000-00003B260000}"/>
    <cellStyle name="Normal 2 4 2 3 2 8 2" xfId="11450" xr:uid="{00000000-0005-0000-0000-00003C260000}"/>
    <cellStyle name="Normal 2 4 2 3 2 8_SSL" xfId="13666" xr:uid="{00000000-0005-0000-0000-00003D260000}"/>
    <cellStyle name="Normal 2 4 2 3 2 9" xfId="5621" xr:uid="{00000000-0005-0000-0000-00003E260000}"/>
    <cellStyle name="Normal 2 4 2 3 2 9 2" xfId="12259" xr:uid="{00000000-0005-0000-0000-00003F260000}"/>
    <cellStyle name="Normal 2 4 2 3 2 9_SSL" xfId="13702" xr:uid="{00000000-0005-0000-0000-000040260000}"/>
    <cellStyle name="Normal 2 4 2 3 2_SSL" xfId="16688" xr:uid="{00000000-0005-0000-0000-000041260000}"/>
    <cellStyle name="Normal 2 4 2 3 3" xfId="371" xr:uid="{00000000-0005-0000-0000-000042260000}"/>
    <cellStyle name="Normal 2 4 2 3 3 10" xfId="6542" xr:uid="{00000000-0005-0000-0000-000043260000}"/>
    <cellStyle name="Normal 2 4 2 3 3 2" xfId="759" xr:uid="{00000000-0005-0000-0000-000044260000}"/>
    <cellStyle name="Normal 2 4 2 3 3 2 2" xfId="1545" xr:uid="{00000000-0005-0000-0000-000045260000}"/>
    <cellStyle name="Normal 2 4 2 3 3 2 2 2" xfId="8200" xr:uid="{00000000-0005-0000-0000-000046260000}"/>
    <cellStyle name="Normal 2 4 2 3 3 2 2_SSL" xfId="16260" xr:uid="{00000000-0005-0000-0000-000047260000}"/>
    <cellStyle name="Normal 2 4 2 3 3 2 3" xfId="2365" xr:uid="{00000000-0005-0000-0000-000048260000}"/>
    <cellStyle name="Normal 2 4 2 3 3 2 3 2" xfId="9013" xr:uid="{00000000-0005-0000-0000-000049260000}"/>
    <cellStyle name="Normal 2 4 2 3 3 2 3_SSL" xfId="17358" xr:uid="{00000000-0005-0000-0000-00004A260000}"/>
    <cellStyle name="Normal 2 4 2 3 3 2 4" xfId="3184" xr:uid="{00000000-0005-0000-0000-00004B260000}"/>
    <cellStyle name="Normal 2 4 2 3 3 2 4 2" xfId="9829" xr:uid="{00000000-0005-0000-0000-00004C260000}"/>
    <cellStyle name="Normal 2 4 2 3 3 2 4_SSL" xfId="15123" xr:uid="{00000000-0005-0000-0000-00004D260000}"/>
    <cellStyle name="Normal 2 4 2 3 3 2 5" xfId="4005" xr:uid="{00000000-0005-0000-0000-00004E260000}"/>
    <cellStyle name="Normal 2 4 2 3 3 2 5 2" xfId="10645" xr:uid="{00000000-0005-0000-0000-00004F260000}"/>
    <cellStyle name="Normal 2 4 2 3 3 2 5_SSL" xfId="14653" xr:uid="{00000000-0005-0000-0000-000050260000}"/>
    <cellStyle name="Normal 2 4 2 3 3 2 6" xfId="4816" xr:uid="{00000000-0005-0000-0000-000051260000}"/>
    <cellStyle name="Normal 2 4 2 3 3 2 6 2" xfId="11455" xr:uid="{00000000-0005-0000-0000-000052260000}"/>
    <cellStyle name="Normal 2 4 2 3 3 2 6_SSL" xfId="13110" xr:uid="{00000000-0005-0000-0000-000053260000}"/>
    <cellStyle name="Normal 2 4 2 3 3 2 7" xfId="5626" xr:uid="{00000000-0005-0000-0000-000054260000}"/>
    <cellStyle name="Normal 2 4 2 3 3 2 7 2" xfId="12264" xr:uid="{00000000-0005-0000-0000-000055260000}"/>
    <cellStyle name="Normal 2 4 2 3 3 2 7_SSL" xfId="13947" xr:uid="{00000000-0005-0000-0000-000056260000}"/>
    <cellStyle name="Normal 2 4 2 3 3 2 8" xfId="7615" xr:uid="{00000000-0005-0000-0000-000057260000}"/>
    <cellStyle name="Normal 2 4 2 3 3 2 9" xfId="6543" xr:uid="{00000000-0005-0000-0000-000058260000}"/>
    <cellStyle name="Normal 2 4 2 3 3 2_SSL" xfId="15659" xr:uid="{00000000-0005-0000-0000-000059260000}"/>
    <cellStyle name="Normal 2 4 2 3 3 3" xfId="1544" xr:uid="{00000000-0005-0000-0000-00005A260000}"/>
    <cellStyle name="Normal 2 4 2 3 3 3 2" xfId="8199" xr:uid="{00000000-0005-0000-0000-00005B260000}"/>
    <cellStyle name="Normal 2 4 2 3 3 3_SSL" xfId="17848" xr:uid="{00000000-0005-0000-0000-00005C260000}"/>
    <cellStyle name="Normal 2 4 2 3 3 4" xfId="2364" xr:uid="{00000000-0005-0000-0000-00005D260000}"/>
    <cellStyle name="Normal 2 4 2 3 3 4 2" xfId="9012" xr:uid="{00000000-0005-0000-0000-00005E260000}"/>
    <cellStyle name="Normal 2 4 2 3 3 4_SSL" xfId="14742" xr:uid="{00000000-0005-0000-0000-00005F260000}"/>
    <cellStyle name="Normal 2 4 2 3 3 5" xfId="3183" xr:uid="{00000000-0005-0000-0000-000060260000}"/>
    <cellStyle name="Normal 2 4 2 3 3 5 2" xfId="9828" xr:uid="{00000000-0005-0000-0000-000061260000}"/>
    <cellStyle name="Normal 2 4 2 3 3 5_SSL" xfId="13978" xr:uid="{00000000-0005-0000-0000-000062260000}"/>
    <cellStyle name="Normal 2 4 2 3 3 6" xfId="4004" xr:uid="{00000000-0005-0000-0000-000063260000}"/>
    <cellStyle name="Normal 2 4 2 3 3 6 2" xfId="10644" xr:uid="{00000000-0005-0000-0000-000064260000}"/>
    <cellStyle name="Normal 2 4 2 3 3 6_SSL" xfId="13054" xr:uid="{00000000-0005-0000-0000-000065260000}"/>
    <cellStyle name="Normal 2 4 2 3 3 7" xfId="4815" xr:uid="{00000000-0005-0000-0000-000066260000}"/>
    <cellStyle name="Normal 2 4 2 3 3 7 2" xfId="11454" xr:uid="{00000000-0005-0000-0000-000067260000}"/>
    <cellStyle name="Normal 2 4 2 3 3 7_SSL" xfId="16440" xr:uid="{00000000-0005-0000-0000-000068260000}"/>
    <cellStyle name="Normal 2 4 2 3 3 8" xfId="5625" xr:uid="{00000000-0005-0000-0000-000069260000}"/>
    <cellStyle name="Normal 2 4 2 3 3 8 2" xfId="12263" xr:uid="{00000000-0005-0000-0000-00006A260000}"/>
    <cellStyle name="Normal 2 4 2 3 3 8_SSL" xfId="17441" xr:uid="{00000000-0005-0000-0000-00006B260000}"/>
    <cellStyle name="Normal 2 4 2 3 3 9" xfId="7231" xr:uid="{00000000-0005-0000-0000-00006C260000}"/>
    <cellStyle name="Normal 2 4 2 3 3_SSL" xfId="17634" xr:uid="{00000000-0005-0000-0000-00006D260000}"/>
    <cellStyle name="Normal 2 4 2 3 4" xfId="526" xr:uid="{00000000-0005-0000-0000-00006E260000}"/>
    <cellStyle name="Normal 2 4 2 3 4 2" xfId="1546" xr:uid="{00000000-0005-0000-0000-00006F260000}"/>
    <cellStyle name="Normal 2 4 2 3 4 2 2" xfId="8201" xr:uid="{00000000-0005-0000-0000-000070260000}"/>
    <cellStyle name="Normal 2 4 2 3 4 2_SSL" xfId="14604" xr:uid="{00000000-0005-0000-0000-000071260000}"/>
    <cellStyle name="Normal 2 4 2 3 4 3" xfId="2366" xr:uid="{00000000-0005-0000-0000-000072260000}"/>
    <cellStyle name="Normal 2 4 2 3 4 3 2" xfId="9014" xr:uid="{00000000-0005-0000-0000-000073260000}"/>
    <cellStyle name="Normal 2 4 2 3 4 3_SSL" xfId="13494" xr:uid="{00000000-0005-0000-0000-000074260000}"/>
    <cellStyle name="Normal 2 4 2 3 4 4" xfId="3185" xr:uid="{00000000-0005-0000-0000-000075260000}"/>
    <cellStyle name="Normal 2 4 2 3 4 4 2" xfId="9830" xr:uid="{00000000-0005-0000-0000-000076260000}"/>
    <cellStyle name="Normal 2 4 2 3 4 4_SSL" xfId="13337" xr:uid="{00000000-0005-0000-0000-000077260000}"/>
    <cellStyle name="Normal 2 4 2 3 4 5" xfId="4006" xr:uid="{00000000-0005-0000-0000-000078260000}"/>
    <cellStyle name="Normal 2 4 2 3 4 5 2" xfId="10646" xr:uid="{00000000-0005-0000-0000-000079260000}"/>
    <cellStyle name="Normal 2 4 2 3 4 5_SSL" xfId="16301" xr:uid="{00000000-0005-0000-0000-00007A260000}"/>
    <cellStyle name="Normal 2 4 2 3 4 6" xfId="4817" xr:uid="{00000000-0005-0000-0000-00007B260000}"/>
    <cellStyle name="Normal 2 4 2 3 4 6 2" xfId="11456" xr:uid="{00000000-0005-0000-0000-00007C260000}"/>
    <cellStyle name="Normal 2 4 2 3 4 6_SSL" xfId="14557" xr:uid="{00000000-0005-0000-0000-00007D260000}"/>
    <cellStyle name="Normal 2 4 2 3 4 7" xfId="5627" xr:uid="{00000000-0005-0000-0000-00007E260000}"/>
    <cellStyle name="Normal 2 4 2 3 4 7 2" xfId="12265" xr:uid="{00000000-0005-0000-0000-00007F260000}"/>
    <cellStyle name="Normal 2 4 2 3 4 7_SSL" xfId="14146" xr:uid="{00000000-0005-0000-0000-000080260000}"/>
    <cellStyle name="Normal 2 4 2 3 4 8" xfId="7382" xr:uid="{00000000-0005-0000-0000-000081260000}"/>
    <cellStyle name="Normal 2 4 2 3 4 9" xfId="6544" xr:uid="{00000000-0005-0000-0000-000082260000}"/>
    <cellStyle name="Normal 2 4 2 3 4_SSL" xfId="15409" xr:uid="{00000000-0005-0000-0000-000083260000}"/>
    <cellStyle name="Normal 2 4 2 3 5" xfId="1539" xr:uid="{00000000-0005-0000-0000-000084260000}"/>
    <cellStyle name="Normal 2 4 2 3 5 2" xfId="8194" xr:uid="{00000000-0005-0000-0000-000085260000}"/>
    <cellStyle name="Normal 2 4 2 3 5_SSL" xfId="13215" xr:uid="{00000000-0005-0000-0000-000086260000}"/>
    <cellStyle name="Normal 2 4 2 3 6" xfId="2359" xr:uid="{00000000-0005-0000-0000-000087260000}"/>
    <cellStyle name="Normal 2 4 2 3 6 2" xfId="9007" xr:uid="{00000000-0005-0000-0000-000088260000}"/>
    <cellStyle name="Normal 2 4 2 3 6_SSL" xfId="17285" xr:uid="{00000000-0005-0000-0000-000089260000}"/>
    <cellStyle name="Normal 2 4 2 3 7" xfId="3178" xr:uid="{00000000-0005-0000-0000-00008A260000}"/>
    <cellStyle name="Normal 2 4 2 3 7 2" xfId="9823" xr:uid="{00000000-0005-0000-0000-00008B260000}"/>
    <cellStyle name="Normal 2 4 2 3 7_SSL" xfId="17488" xr:uid="{00000000-0005-0000-0000-00008C260000}"/>
    <cellStyle name="Normal 2 4 2 3 8" xfId="3999" xr:uid="{00000000-0005-0000-0000-00008D260000}"/>
    <cellStyle name="Normal 2 4 2 3 8 2" xfId="10639" xr:uid="{00000000-0005-0000-0000-00008E260000}"/>
    <cellStyle name="Normal 2 4 2 3 8_SSL" xfId="12766" xr:uid="{00000000-0005-0000-0000-00008F260000}"/>
    <cellStyle name="Normal 2 4 2 3 9" xfId="4810" xr:uid="{00000000-0005-0000-0000-000090260000}"/>
    <cellStyle name="Normal 2 4 2 3 9 2" xfId="11449" xr:uid="{00000000-0005-0000-0000-000091260000}"/>
    <cellStyle name="Normal 2 4 2 3 9_SSL" xfId="12750" xr:uid="{00000000-0005-0000-0000-000092260000}"/>
    <cellStyle name="Normal 2 4 2 3_SSL" xfId="12927" xr:uid="{00000000-0005-0000-0000-000093260000}"/>
    <cellStyle name="Normal 2 4 2 4" xfId="146" xr:uid="{00000000-0005-0000-0000-000094260000}"/>
    <cellStyle name="Normal 2 4 2 4 10" xfId="7023" xr:uid="{00000000-0005-0000-0000-000095260000}"/>
    <cellStyle name="Normal 2 4 2 4 11" xfId="6545" xr:uid="{00000000-0005-0000-0000-000096260000}"/>
    <cellStyle name="Normal 2 4 2 4 2" xfId="373" xr:uid="{00000000-0005-0000-0000-000097260000}"/>
    <cellStyle name="Normal 2 4 2 4 2 10" xfId="6546" xr:uid="{00000000-0005-0000-0000-000098260000}"/>
    <cellStyle name="Normal 2 4 2 4 2 2" xfId="761" xr:uid="{00000000-0005-0000-0000-000099260000}"/>
    <cellStyle name="Normal 2 4 2 4 2 2 2" xfId="1549" xr:uid="{00000000-0005-0000-0000-00009A260000}"/>
    <cellStyle name="Normal 2 4 2 4 2 2 2 2" xfId="8204" xr:uid="{00000000-0005-0000-0000-00009B260000}"/>
    <cellStyle name="Normal 2 4 2 4 2 2 2_SSL" xfId="17635" xr:uid="{00000000-0005-0000-0000-00009C260000}"/>
    <cellStyle name="Normal 2 4 2 4 2 2 3" xfId="2369" xr:uid="{00000000-0005-0000-0000-00009D260000}"/>
    <cellStyle name="Normal 2 4 2 4 2 2 3 2" xfId="9017" xr:uid="{00000000-0005-0000-0000-00009E260000}"/>
    <cellStyle name="Normal 2 4 2 4 2 2 3_SSL" xfId="16371" xr:uid="{00000000-0005-0000-0000-00009F260000}"/>
    <cellStyle name="Normal 2 4 2 4 2 2 4" xfId="3188" xr:uid="{00000000-0005-0000-0000-0000A0260000}"/>
    <cellStyle name="Normal 2 4 2 4 2 2 4 2" xfId="9833" xr:uid="{00000000-0005-0000-0000-0000A1260000}"/>
    <cellStyle name="Normal 2 4 2 4 2 2 4_SSL" xfId="17803" xr:uid="{00000000-0005-0000-0000-0000A2260000}"/>
    <cellStyle name="Normal 2 4 2 4 2 2 5" xfId="4009" xr:uid="{00000000-0005-0000-0000-0000A3260000}"/>
    <cellStyle name="Normal 2 4 2 4 2 2 5 2" xfId="10649" xr:uid="{00000000-0005-0000-0000-0000A4260000}"/>
    <cellStyle name="Normal 2 4 2 4 2 2 5_SSL" xfId="12949" xr:uid="{00000000-0005-0000-0000-0000A5260000}"/>
    <cellStyle name="Normal 2 4 2 4 2 2 6" xfId="4820" xr:uid="{00000000-0005-0000-0000-0000A6260000}"/>
    <cellStyle name="Normal 2 4 2 4 2 2 6 2" xfId="11459" xr:uid="{00000000-0005-0000-0000-0000A7260000}"/>
    <cellStyle name="Normal 2 4 2 4 2 2 6_SSL" xfId="15982" xr:uid="{00000000-0005-0000-0000-0000A8260000}"/>
    <cellStyle name="Normal 2 4 2 4 2 2 7" xfId="5630" xr:uid="{00000000-0005-0000-0000-0000A9260000}"/>
    <cellStyle name="Normal 2 4 2 4 2 2 7 2" xfId="12268" xr:uid="{00000000-0005-0000-0000-0000AA260000}"/>
    <cellStyle name="Normal 2 4 2 4 2 2 7_SSL" xfId="15013" xr:uid="{00000000-0005-0000-0000-0000AB260000}"/>
    <cellStyle name="Normal 2 4 2 4 2 2 8" xfId="7617" xr:uid="{00000000-0005-0000-0000-0000AC260000}"/>
    <cellStyle name="Normal 2 4 2 4 2 2 9" xfId="6547" xr:uid="{00000000-0005-0000-0000-0000AD260000}"/>
    <cellStyle name="Normal 2 4 2 4 2 2_SSL" xfId="17295" xr:uid="{00000000-0005-0000-0000-0000AE260000}"/>
    <cellStyle name="Normal 2 4 2 4 2 3" xfId="1548" xr:uid="{00000000-0005-0000-0000-0000AF260000}"/>
    <cellStyle name="Normal 2 4 2 4 2 3 2" xfId="8203" xr:uid="{00000000-0005-0000-0000-0000B0260000}"/>
    <cellStyle name="Normal 2 4 2 4 2 3_SSL" xfId="17078" xr:uid="{00000000-0005-0000-0000-0000B1260000}"/>
    <cellStyle name="Normal 2 4 2 4 2 4" xfId="2368" xr:uid="{00000000-0005-0000-0000-0000B2260000}"/>
    <cellStyle name="Normal 2 4 2 4 2 4 2" xfId="9016" xr:uid="{00000000-0005-0000-0000-0000B3260000}"/>
    <cellStyle name="Normal 2 4 2 4 2 4_SSL" xfId="17884" xr:uid="{00000000-0005-0000-0000-0000B4260000}"/>
    <cellStyle name="Normal 2 4 2 4 2 5" xfId="3187" xr:uid="{00000000-0005-0000-0000-0000B5260000}"/>
    <cellStyle name="Normal 2 4 2 4 2 5 2" xfId="9832" xr:uid="{00000000-0005-0000-0000-0000B6260000}"/>
    <cellStyle name="Normal 2 4 2 4 2 5_SSL" xfId="17656" xr:uid="{00000000-0005-0000-0000-0000B7260000}"/>
    <cellStyle name="Normal 2 4 2 4 2 6" xfId="4008" xr:uid="{00000000-0005-0000-0000-0000B8260000}"/>
    <cellStyle name="Normal 2 4 2 4 2 6 2" xfId="10648" xr:uid="{00000000-0005-0000-0000-0000B9260000}"/>
    <cellStyle name="Normal 2 4 2 4 2 6_SSL" xfId="13509" xr:uid="{00000000-0005-0000-0000-0000BA260000}"/>
    <cellStyle name="Normal 2 4 2 4 2 7" xfId="4819" xr:uid="{00000000-0005-0000-0000-0000BB260000}"/>
    <cellStyle name="Normal 2 4 2 4 2 7 2" xfId="11458" xr:uid="{00000000-0005-0000-0000-0000BC260000}"/>
    <cellStyle name="Normal 2 4 2 4 2 7_SSL" xfId="16629" xr:uid="{00000000-0005-0000-0000-0000BD260000}"/>
    <cellStyle name="Normal 2 4 2 4 2 8" xfId="5629" xr:uid="{00000000-0005-0000-0000-0000BE260000}"/>
    <cellStyle name="Normal 2 4 2 4 2 8 2" xfId="12267" xr:uid="{00000000-0005-0000-0000-0000BF260000}"/>
    <cellStyle name="Normal 2 4 2 4 2 8_SSL" xfId="13818" xr:uid="{00000000-0005-0000-0000-0000C0260000}"/>
    <cellStyle name="Normal 2 4 2 4 2 9" xfId="7233" xr:uid="{00000000-0005-0000-0000-0000C1260000}"/>
    <cellStyle name="Normal 2 4 2 4 2_SSL" xfId="16772" xr:uid="{00000000-0005-0000-0000-0000C2260000}"/>
    <cellStyle name="Normal 2 4 2 4 3" xfId="551" xr:uid="{00000000-0005-0000-0000-0000C3260000}"/>
    <cellStyle name="Normal 2 4 2 4 3 2" xfId="1550" xr:uid="{00000000-0005-0000-0000-0000C4260000}"/>
    <cellStyle name="Normal 2 4 2 4 3 2 2" xfId="8205" xr:uid="{00000000-0005-0000-0000-0000C5260000}"/>
    <cellStyle name="Normal 2 4 2 4 3 2_SSL" xfId="6018" xr:uid="{00000000-0005-0000-0000-0000C6260000}"/>
    <cellStyle name="Normal 2 4 2 4 3 3" xfId="2370" xr:uid="{00000000-0005-0000-0000-0000C7260000}"/>
    <cellStyle name="Normal 2 4 2 4 3 3 2" xfId="9018" xr:uid="{00000000-0005-0000-0000-0000C8260000}"/>
    <cellStyle name="Normal 2 4 2 4 3 3_SSL" xfId="17021" xr:uid="{00000000-0005-0000-0000-0000C9260000}"/>
    <cellStyle name="Normal 2 4 2 4 3 4" xfId="3189" xr:uid="{00000000-0005-0000-0000-0000CA260000}"/>
    <cellStyle name="Normal 2 4 2 4 3 4 2" xfId="9834" xr:uid="{00000000-0005-0000-0000-0000CB260000}"/>
    <cellStyle name="Normal 2 4 2 4 3 4_SSL" xfId="13087" xr:uid="{00000000-0005-0000-0000-0000CC260000}"/>
    <cellStyle name="Normal 2 4 2 4 3 5" xfId="4010" xr:uid="{00000000-0005-0000-0000-0000CD260000}"/>
    <cellStyle name="Normal 2 4 2 4 3 5 2" xfId="10650" xr:uid="{00000000-0005-0000-0000-0000CE260000}"/>
    <cellStyle name="Normal 2 4 2 4 3 5_SSL" xfId="15736" xr:uid="{00000000-0005-0000-0000-0000CF260000}"/>
    <cellStyle name="Normal 2 4 2 4 3 6" xfId="4821" xr:uid="{00000000-0005-0000-0000-0000D0260000}"/>
    <cellStyle name="Normal 2 4 2 4 3 6 2" xfId="11460" xr:uid="{00000000-0005-0000-0000-0000D1260000}"/>
    <cellStyle name="Normal 2 4 2 4 3 6_SSL" xfId="13857" xr:uid="{00000000-0005-0000-0000-0000D2260000}"/>
    <cellStyle name="Normal 2 4 2 4 3 7" xfId="5631" xr:uid="{00000000-0005-0000-0000-0000D3260000}"/>
    <cellStyle name="Normal 2 4 2 4 3 7 2" xfId="12269" xr:uid="{00000000-0005-0000-0000-0000D4260000}"/>
    <cellStyle name="Normal 2 4 2 4 3 7_SSL" xfId="14524" xr:uid="{00000000-0005-0000-0000-0000D5260000}"/>
    <cellStyle name="Normal 2 4 2 4 3 8" xfId="7407" xr:uid="{00000000-0005-0000-0000-0000D6260000}"/>
    <cellStyle name="Normal 2 4 2 4 3 9" xfId="6548" xr:uid="{00000000-0005-0000-0000-0000D7260000}"/>
    <cellStyle name="Normal 2 4 2 4 3_SSL" xfId="16968" xr:uid="{00000000-0005-0000-0000-0000D8260000}"/>
    <cellStyle name="Normal 2 4 2 4 4" xfId="1547" xr:uid="{00000000-0005-0000-0000-0000D9260000}"/>
    <cellStyle name="Normal 2 4 2 4 4 2" xfId="8202" xr:uid="{00000000-0005-0000-0000-0000DA260000}"/>
    <cellStyle name="Normal 2 4 2 4 4_SSL" xfId="17849" xr:uid="{00000000-0005-0000-0000-0000DB260000}"/>
    <cellStyle name="Normal 2 4 2 4 5" xfId="2367" xr:uid="{00000000-0005-0000-0000-0000DC260000}"/>
    <cellStyle name="Normal 2 4 2 4 5 2" xfId="9015" xr:uid="{00000000-0005-0000-0000-0000DD260000}"/>
    <cellStyle name="Normal 2 4 2 4 5_SSL" xfId="15580" xr:uid="{00000000-0005-0000-0000-0000DE260000}"/>
    <cellStyle name="Normal 2 4 2 4 6" xfId="3186" xr:uid="{00000000-0005-0000-0000-0000DF260000}"/>
    <cellStyle name="Normal 2 4 2 4 6 2" xfId="9831" xr:uid="{00000000-0005-0000-0000-0000E0260000}"/>
    <cellStyle name="Normal 2 4 2 4 6_SSL" xfId="17461" xr:uid="{00000000-0005-0000-0000-0000E1260000}"/>
    <cellStyle name="Normal 2 4 2 4 7" xfId="4007" xr:uid="{00000000-0005-0000-0000-0000E2260000}"/>
    <cellStyle name="Normal 2 4 2 4 7 2" xfId="10647" xr:uid="{00000000-0005-0000-0000-0000E3260000}"/>
    <cellStyle name="Normal 2 4 2 4 7_SSL" xfId="17119" xr:uid="{00000000-0005-0000-0000-0000E4260000}"/>
    <cellStyle name="Normal 2 4 2 4 8" xfId="4818" xr:uid="{00000000-0005-0000-0000-0000E5260000}"/>
    <cellStyle name="Normal 2 4 2 4 8 2" xfId="11457" xr:uid="{00000000-0005-0000-0000-0000E6260000}"/>
    <cellStyle name="Normal 2 4 2 4 8_SSL" xfId="13458" xr:uid="{00000000-0005-0000-0000-0000E7260000}"/>
    <cellStyle name="Normal 2 4 2 4 9" xfId="5628" xr:uid="{00000000-0005-0000-0000-0000E8260000}"/>
    <cellStyle name="Normal 2 4 2 4 9 2" xfId="12266" xr:uid="{00000000-0005-0000-0000-0000E9260000}"/>
    <cellStyle name="Normal 2 4 2 4 9_SSL" xfId="16067" xr:uid="{00000000-0005-0000-0000-0000EA260000}"/>
    <cellStyle name="Normal 2 4 2 4_SSL" xfId="16487" xr:uid="{00000000-0005-0000-0000-0000EB260000}"/>
    <cellStyle name="Normal 2 4 2 5" xfId="171" xr:uid="{00000000-0005-0000-0000-0000EC260000}"/>
    <cellStyle name="Normal 2 4 2 5 10" xfId="7048" xr:uid="{00000000-0005-0000-0000-0000ED260000}"/>
    <cellStyle name="Normal 2 4 2 5 11" xfId="6549" xr:uid="{00000000-0005-0000-0000-0000EE260000}"/>
    <cellStyle name="Normal 2 4 2 5 2" xfId="374" xr:uid="{00000000-0005-0000-0000-0000EF260000}"/>
    <cellStyle name="Normal 2 4 2 5 2 10" xfId="6550" xr:uid="{00000000-0005-0000-0000-0000F0260000}"/>
    <cellStyle name="Normal 2 4 2 5 2 2" xfId="762" xr:uid="{00000000-0005-0000-0000-0000F1260000}"/>
    <cellStyle name="Normal 2 4 2 5 2 2 2" xfId="1553" xr:uid="{00000000-0005-0000-0000-0000F2260000}"/>
    <cellStyle name="Normal 2 4 2 5 2 2 2 2" xfId="8208" xr:uid="{00000000-0005-0000-0000-0000F3260000}"/>
    <cellStyle name="Normal 2 4 2 5 2 2 2_SSL" xfId="16361" xr:uid="{00000000-0005-0000-0000-0000F4260000}"/>
    <cellStyle name="Normal 2 4 2 5 2 2 3" xfId="2373" xr:uid="{00000000-0005-0000-0000-0000F5260000}"/>
    <cellStyle name="Normal 2 4 2 5 2 2 3 2" xfId="9021" xr:uid="{00000000-0005-0000-0000-0000F6260000}"/>
    <cellStyle name="Normal 2 4 2 5 2 2 3_SSL" xfId="17435" xr:uid="{00000000-0005-0000-0000-0000F7260000}"/>
    <cellStyle name="Normal 2 4 2 5 2 2 4" xfId="3192" xr:uid="{00000000-0005-0000-0000-0000F8260000}"/>
    <cellStyle name="Normal 2 4 2 5 2 2 4 2" xfId="9837" xr:uid="{00000000-0005-0000-0000-0000F9260000}"/>
    <cellStyle name="Normal 2 4 2 5 2 2 4_SSL" xfId="16400" xr:uid="{00000000-0005-0000-0000-0000FA260000}"/>
    <cellStyle name="Normal 2 4 2 5 2 2 5" xfId="4013" xr:uid="{00000000-0005-0000-0000-0000FB260000}"/>
    <cellStyle name="Normal 2 4 2 5 2 2 5 2" xfId="10653" xr:uid="{00000000-0005-0000-0000-0000FC260000}"/>
    <cellStyle name="Normal 2 4 2 5 2 2 5_SSL" xfId="16243" xr:uid="{00000000-0005-0000-0000-0000FD260000}"/>
    <cellStyle name="Normal 2 4 2 5 2 2 6" xfId="4824" xr:uid="{00000000-0005-0000-0000-0000FE260000}"/>
    <cellStyle name="Normal 2 4 2 5 2 2 6 2" xfId="11463" xr:uid="{00000000-0005-0000-0000-0000FF260000}"/>
    <cellStyle name="Normal 2 4 2 5 2 2 6_SSL" xfId="13191" xr:uid="{00000000-0005-0000-0000-000000270000}"/>
    <cellStyle name="Normal 2 4 2 5 2 2 7" xfId="5634" xr:uid="{00000000-0005-0000-0000-000001270000}"/>
    <cellStyle name="Normal 2 4 2 5 2 2 7 2" xfId="12272" xr:uid="{00000000-0005-0000-0000-000002270000}"/>
    <cellStyle name="Normal 2 4 2 5 2 2 7_SSL" xfId="14470" xr:uid="{00000000-0005-0000-0000-000003270000}"/>
    <cellStyle name="Normal 2 4 2 5 2 2 8" xfId="7618" xr:uid="{00000000-0005-0000-0000-000004270000}"/>
    <cellStyle name="Normal 2 4 2 5 2 2 9" xfId="6551" xr:uid="{00000000-0005-0000-0000-000005270000}"/>
    <cellStyle name="Normal 2 4 2 5 2 2_SSL" xfId="17330" xr:uid="{00000000-0005-0000-0000-000006270000}"/>
    <cellStyle name="Normal 2 4 2 5 2 3" xfId="1552" xr:uid="{00000000-0005-0000-0000-000007270000}"/>
    <cellStyle name="Normal 2 4 2 5 2 3 2" xfId="8207" xr:uid="{00000000-0005-0000-0000-000008270000}"/>
    <cellStyle name="Normal 2 4 2 5 2 3_SSL" xfId="17410" xr:uid="{00000000-0005-0000-0000-000009270000}"/>
    <cellStyle name="Normal 2 4 2 5 2 4" xfId="2372" xr:uid="{00000000-0005-0000-0000-00000A270000}"/>
    <cellStyle name="Normal 2 4 2 5 2 4 2" xfId="9020" xr:uid="{00000000-0005-0000-0000-00000B270000}"/>
    <cellStyle name="Normal 2 4 2 5 2 4_SSL" xfId="16325" xr:uid="{00000000-0005-0000-0000-00000C270000}"/>
    <cellStyle name="Normal 2 4 2 5 2 5" xfId="3191" xr:uid="{00000000-0005-0000-0000-00000D270000}"/>
    <cellStyle name="Normal 2 4 2 5 2 5 2" xfId="9836" xr:uid="{00000000-0005-0000-0000-00000E270000}"/>
    <cellStyle name="Normal 2 4 2 5 2 5_SSL" xfId="16696" xr:uid="{00000000-0005-0000-0000-00000F270000}"/>
    <cellStyle name="Normal 2 4 2 5 2 6" xfId="4012" xr:uid="{00000000-0005-0000-0000-000010270000}"/>
    <cellStyle name="Normal 2 4 2 5 2 6 2" xfId="10652" xr:uid="{00000000-0005-0000-0000-000011270000}"/>
    <cellStyle name="Normal 2 4 2 5 2 6_SSL" xfId="13984" xr:uid="{00000000-0005-0000-0000-000012270000}"/>
    <cellStyle name="Normal 2 4 2 5 2 7" xfId="4823" xr:uid="{00000000-0005-0000-0000-000013270000}"/>
    <cellStyle name="Normal 2 4 2 5 2 7 2" xfId="11462" xr:uid="{00000000-0005-0000-0000-000014270000}"/>
    <cellStyle name="Normal 2 4 2 5 2 7_SSL" xfId="17142" xr:uid="{00000000-0005-0000-0000-000015270000}"/>
    <cellStyle name="Normal 2 4 2 5 2 8" xfId="5633" xr:uid="{00000000-0005-0000-0000-000016270000}"/>
    <cellStyle name="Normal 2 4 2 5 2 8 2" xfId="12271" xr:uid="{00000000-0005-0000-0000-000017270000}"/>
    <cellStyle name="Normal 2 4 2 5 2 8_SSL" xfId="14319" xr:uid="{00000000-0005-0000-0000-000018270000}"/>
    <cellStyle name="Normal 2 4 2 5 2 9" xfId="7234" xr:uid="{00000000-0005-0000-0000-000019270000}"/>
    <cellStyle name="Normal 2 4 2 5 2_SSL" xfId="13629" xr:uid="{00000000-0005-0000-0000-00001A270000}"/>
    <cellStyle name="Normal 2 4 2 5 3" xfId="576" xr:uid="{00000000-0005-0000-0000-00001B270000}"/>
    <cellStyle name="Normal 2 4 2 5 3 2" xfId="1554" xr:uid="{00000000-0005-0000-0000-00001C270000}"/>
    <cellStyle name="Normal 2 4 2 5 3 2 2" xfId="8209" xr:uid="{00000000-0005-0000-0000-00001D270000}"/>
    <cellStyle name="Normal 2 4 2 5 3 2_SSL" xfId="15976" xr:uid="{00000000-0005-0000-0000-00001E270000}"/>
    <cellStyle name="Normal 2 4 2 5 3 3" xfId="2374" xr:uid="{00000000-0005-0000-0000-00001F270000}"/>
    <cellStyle name="Normal 2 4 2 5 3 3 2" xfId="9022" xr:uid="{00000000-0005-0000-0000-000020270000}"/>
    <cellStyle name="Normal 2 4 2 5 3 3_SSL" xfId="13160" xr:uid="{00000000-0005-0000-0000-000021270000}"/>
    <cellStyle name="Normal 2 4 2 5 3 4" xfId="3193" xr:uid="{00000000-0005-0000-0000-000022270000}"/>
    <cellStyle name="Normal 2 4 2 5 3 4 2" xfId="9838" xr:uid="{00000000-0005-0000-0000-000023270000}"/>
    <cellStyle name="Normal 2 4 2 5 3 4_SSL" xfId="17727" xr:uid="{00000000-0005-0000-0000-000024270000}"/>
    <cellStyle name="Normal 2 4 2 5 3 5" xfId="4014" xr:uid="{00000000-0005-0000-0000-000025270000}"/>
    <cellStyle name="Normal 2 4 2 5 3 5 2" xfId="10654" xr:uid="{00000000-0005-0000-0000-000026270000}"/>
    <cellStyle name="Normal 2 4 2 5 3 5_SSL" xfId="15235" xr:uid="{00000000-0005-0000-0000-000027270000}"/>
    <cellStyle name="Normal 2 4 2 5 3 6" xfId="4825" xr:uid="{00000000-0005-0000-0000-000028270000}"/>
    <cellStyle name="Normal 2 4 2 5 3 6 2" xfId="11464" xr:uid="{00000000-0005-0000-0000-000029270000}"/>
    <cellStyle name="Normal 2 4 2 5 3 6_SSL" xfId="13185" xr:uid="{00000000-0005-0000-0000-00002A270000}"/>
    <cellStyle name="Normal 2 4 2 5 3 7" xfId="5635" xr:uid="{00000000-0005-0000-0000-00002B270000}"/>
    <cellStyle name="Normal 2 4 2 5 3 7 2" xfId="12273" xr:uid="{00000000-0005-0000-0000-00002C270000}"/>
    <cellStyle name="Normal 2 4 2 5 3 7_SSL" xfId="15169" xr:uid="{00000000-0005-0000-0000-00002D270000}"/>
    <cellStyle name="Normal 2 4 2 5 3 8" xfId="7432" xr:uid="{00000000-0005-0000-0000-00002E270000}"/>
    <cellStyle name="Normal 2 4 2 5 3 9" xfId="6552" xr:uid="{00000000-0005-0000-0000-00002F270000}"/>
    <cellStyle name="Normal 2 4 2 5 3_SSL" xfId="16365" xr:uid="{00000000-0005-0000-0000-000030270000}"/>
    <cellStyle name="Normal 2 4 2 5 4" xfId="1551" xr:uid="{00000000-0005-0000-0000-000031270000}"/>
    <cellStyle name="Normal 2 4 2 5 4 2" xfId="8206" xr:uid="{00000000-0005-0000-0000-000032270000}"/>
    <cellStyle name="Normal 2 4 2 5 4_SSL" xfId="14221" xr:uid="{00000000-0005-0000-0000-000033270000}"/>
    <cellStyle name="Normal 2 4 2 5 5" xfId="2371" xr:uid="{00000000-0005-0000-0000-000034270000}"/>
    <cellStyle name="Normal 2 4 2 5 5 2" xfId="9019" xr:uid="{00000000-0005-0000-0000-000035270000}"/>
    <cellStyle name="Normal 2 4 2 5 5_SSL" xfId="12990" xr:uid="{00000000-0005-0000-0000-000036270000}"/>
    <cellStyle name="Normal 2 4 2 5 6" xfId="3190" xr:uid="{00000000-0005-0000-0000-000037270000}"/>
    <cellStyle name="Normal 2 4 2 5 6 2" xfId="9835" xr:uid="{00000000-0005-0000-0000-000038270000}"/>
    <cellStyle name="Normal 2 4 2 5 6_SSL" xfId="16948" xr:uid="{00000000-0005-0000-0000-000039270000}"/>
    <cellStyle name="Normal 2 4 2 5 7" xfId="4011" xr:uid="{00000000-0005-0000-0000-00003A270000}"/>
    <cellStyle name="Normal 2 4 2 5 7 2" xfId="10651" xr:uid="{00000000-0005-0000-0000-00003B270000}"/>
    <cellStyle name="Normal 2 4 2 5 7_SSL" xfId="16607" xr:uid="{00000000-0005-0000-0000-00003C270000}"/>
    <cellStyle name="Normal 2 4 2 5 8" xfId="4822" xr:uid="{00000000-0005-0000-0000-00003D270000}"/>
    <cellStyle name="Normal 2 4 2 5 8 2" xfId="11461" xr:uid="{00000000-0005-0000-0000-00003E270000}"/>
    <cellStyle name="Normal 2 4 2 5 8_SSL" xfId="16286" xr:uid="{00000000-0005-0000-0000-00003F270000}"/>
    <cellStyle name="Normal 2 4 2 5 9" xfId="5632" xr:uid="{00000000-0005-0000-0000-000040270000}"/>
    <cellStyle name="Normal 2 4 2 5 9 2" xfId="12270" xr:uid="{00000000-0005-0000-0000-000041270000}"/>
    <cellStyle name="Normal 2 4 2 5 9_SSL" xfId="16524" xr:uid="{00000000-0005-0000-0000-000042270000}"/>
    <cellStyle name="Normal 2 4 2 5_SSL" xfId="17960" xr:uid="{00000000-0005-0000-0000-000043270000}"/>
    <cellStyle name="Normal 2 4 2 6" xfId="242" xr:uid="{00000000-0005-0000-0000-000044270000}"/>
    <cellStyle name="Normal 2 4 2 6 10" xfId="7119" xr:uid="{00000000-0005-0000-0000-000045270000}"/>
    <cellStyle name="Normal 2 4 2 6 11" xfId="6553" xr:uid="{00000000-0005-0000-0000-000046270000}"/>
    <cellStyle name="Normal 2 4 2 6 2" xfId="375" xr:uid="{00000000-0005-0000-0000-000047270000}"/>
    <cellStyle name="Normal 2 4 2 6 2 10" xfId="6554" xr:uid="{00000000-0005-0000-0000-000048270000}"/>
    <cellStyle name="Normal 2 4 2 6 2 2" xfId="763" xr:uid="{00000000-0005-0000-0000-000049270000}"/>
    <cellStyle name="Normal 2 4 2 6 2 2 2" xfId="1557" xr:uid="{00000000-0005-0000-0000-00004A270000}"/>
    <cellStyle name="Normal 2 4 2 6 2 2 2 2" xfId="8212" xr:uid="{00000000-0005-0000-0000-00004B270000}"/>
    <cellStyle name="Normal 2 4 2 6 2 2 2_SSL" xfId="14933" xr:uid="{00000000-0005-0000-0000-00004C270000}"/>
    <cellStyle name="Normal 2 4 2 6 2 2 3" xfId="2377" xr:uid="{00000000-0005-0000-0000-00004D270000}"/>
    <cellStyle name="Normal 2 4 2 6 2 2 3 2" xfId="9025" xr:uid="{00000000-0005-0000-0000-00004E270000}"/>
    <cellStyle name="Normal 2 4 2 6 2 2 3_SSL" xfId="13379" xr:uid="{00000000-0005-0000-0000-00004F270000}"/>
    <cellStyle name="Normal 2 4 2 6 2 2 4" xfId="3196" xr:uid="{00000000-0005-0000-0000-000050270000}"/>
    <cellStyle name="Normal 2 4 2 6 2 2 4 2" xfId="9841" xr:uid="{00000000-0005-0000-0000-000051270000}"/>
    <cellStyle name="Normal 2 4 2 6 2 2 4_SSL" xfId="15540" xr:uid="{00000000-0005-0000-0000-000052270000}"/>
    <cellStyle name="Normal 2 4 2 6 2 2 5" xfId="4017" xr:uid="{00000000-0005-0000-0000-000053270000}"/>
    <cellStyle name="Normal 2 4 2 6 2 2 5 2" xfId="10657" xr:uid="{00000000-0005-0000-0000-000054270000}"/>
    <cellStyle name="Normal 2 4 2 6 2 2 5_SSL" xfId="6914" xr:uid="{00000000-0005-0000-0000-000055270000}"/>
    <cellStyle name="Normal 2 4 2 6 2 2 6" xfId="4828" xr:uid="{00000000-0005-0000-0000-000056270000}"/>
    <cellStyle name="Normal 2 4 2 6 2 2 6 2" xfId="11467" xr:uid="{00000000-0005-0000-0000-000057270000}"/>
    <cellStyle name="Normal 2 4 2 6 2 2 6_SSL" xfId="15534" xr:uid="{00000000-0005-0000-0000-000058270000}"/>
    <cellStyle name="Normal 2 4 2 6 2 2 7" xfId="5638" xr:uid="{00000000-0005-0000-0000-000059270000}"/>
    <cellStyle name="Normal 2 4 2 6 2 2 7 2" xfId="12276" xr:uid="{00000000-0005-0000-0000-00005A270000}"/>
    <cellStyle name="Normal 2 4 2 6 2 2 7_SSL" xfId="15720" xr:uid="{00000000-0005-0000-0000-00005B270000}"/>
    <cellStyle name="Normal 2 4 2 6 2 2 8" xfId="7619" xr:uid="{00000000-0005-0000-0000-00005C270000}"/>
    <cellStyle name="Normal 2 4 2 6 2 2 9" xfId="6555" xr:uid="{00000000-0005-0000-0000-00005D270000}"/>
    <cellStyle name="Normal 2 4 2 6 2 2_SSL" xfId="15091" xr:uid="{00000000-0005-0000-0000-00005E270000}"/>
    <cellStyle name="Normal 2 4 2 6 2 3" xfId="1556" xr:uid="{00000000-0005-0000-0000-00005F270000}"/>
    <cellStyle name="Normal 2 4 2 6 2 3 2" xfId="8211" xr:uid="{00000000-0005-0000-0000-000060270000}"/>
    <cellStyle name="Normal 2 4 2 6 2 3_SSL" xfId="15780" xr:uid="{00000000-0005-0000-0000-000061270000}"/>
    <cellStyle name="Normal 2 4 2 6 2 4" xfId="2376" xr:uid="{00000000-0005-0000-0000-000062270000}"/>
    <cellStyle name="Normal 2 4 2 6 2 4 2" xfId="9024" xr:uid="{00000000-0005-0000-0000-000063270000}"/>
    <cellStyle name="Normal 2 4 2 6 2 4_SSL" xfId="17628" xr:uid="{00000000-0005-0000-0000-000064270000}"/>
    <cellStyle name="Normal 2 4 2 6 2 5" xfId="3195" xr:uid="{00000000-0005-0000-0000-000065270000}"/>
    <cellStyle name="Normal 2 4 2 6 2 5 2" xfId="9840" xr:uid="{00000000-0005-0000-0000-000066270000}"/>
    <cellStyle name="Normal 2 4 2 6 2 5_SSL" xfId="12650" xr:uid="{00000000-0005-0000-0000-000067270000}"/>
    <cellStyle name="Normal 2 4 2 6 2 6" xfId="4016" xr:uid="{00000000-0005-0000-0000-000068270000}"/>
    <cellStyle name="Normal 2 4 2 6 2 6 2" xfId="10656" xr:uid="{00000000-0005-0000-0000-000069270000}"/>
    <cellStyle name="Normal 2 4 2 6 2 6_SSL" xfId="14203" xr:uid="{00000000-0005-0000-0000-00006A270000}"/>
    <cellStyle name="Normal 2 4 2 6 2 7" xfId="4827" xr:uid="{00000000-0005-0000-0000-00006B270000}"/>
    <cellStyle name="Normal 2 4 2 6 2 7 2" xfId="11466" xr:uid="{00000000-0005-0000-0000-00006C270000}"/>
    <cellStyle name="Normal 2 4 2 6 2 7_SSL" xfId="15533" xr:uid="{00000000-0005-0000-0000-00006D270000}"/>
    <cellStyle name="Normal 2 4 2 6 2 8" xfId="5637" xr:uid="{00000000-0005-0000-0000-00006E270000}"/>
    <cellStyle name="Normal 2 4 2 6 2 8 2" xfId="12275" xr:uid="{00000000-0005-0000-0000-00006F270000}"/>
    <cellStyle name="Normal 2 4 2 6 2 8_SSL" xfId="14823" xr:uid="{00000000-0005-0000-0000-000070270000}"/>
    <cellStyle name="Normal 2 4 2 6 2 9" xfId="7235" xr:uid="{00000000-0005-0000-0000-000071270000}"/>
    <cellStyle name="Normal 2 4 2 6 2_SSL" xfId="13313" xr:uid="{00000000-0005-0000-0000-000072270000}"/>
    <cellStyle name="Normal 2 4 2 6 3" xfId="647" xr:uid="{00000000-0005-0000-0000-000073270000}"/>
    <cellStyle name="Normal 2 4 2 6 3 2" xfId="1558" xr:uid="{00000000-0005-0000-0000-000074270000}"/>
    <cellStyle name="Normal 2 4 2 6 3 2 2" xfId="8213" xr:uid="{00000000-0005-0000-0000-000075270000}"/>
    <cellStyle name="Normal 2 4 2 6 3 2_SSL" xfId="17140" xr:uid="{00000000-0005-0000-0000-000076270000}"/>
    <cellStyle name="Normal 2 4 2 6 3 3" xfId="2378" xr:uid="{00000000-0005-0000-0000-000077270000}"/>
    <cellStyle name="Normal 2 4 2 6 3 3 2" xfId="9026" xr:uid="{00000000-0005-0000-0000-000078270000}"/>
    <cellStyle name="Normal 2 4 2 6 3 3_SSL" xfId="16291" xr:uid="{00000000-0005-0000-0000-000079270000}"/>
    <cellStyle name="Normal 2 4 2 6 3 4" xfId="3197" xr:uid="{00000000-0005-0000-0000-00007A270000}"/>
    <cellStyle name="Normal 2 4 2 6 3 4 2" xfId="9842" xr:uid="{00000000-0005-0000-0000-00007B270000}"/>
    <cellStyle name="Normal 2 4 2 6 3 4_SSL" xfId="17996" xr:uid="{00000000-0005-0000-0000-00007C270000}"/>
    <cellStyle name="Normal 2 4 2 6 3 5" xfId="4018" xr:uid="{00000000-0005-0000-0000-00007D270000}"/>
    <cellStyle name="Normal 2 4 2 6 3 5 2" xfId="10658" xr:uid="{00000000-0005-0000-0000-00007E270000}"/>
    <cellStyle name="Normal 2 4 2 6 3 5_SSL" xfId="14507" xr:uid="{00000000-0005-0000-0000-00007F270000}"/>
    <cellStyle name="Normal 2 4 2 6 3 6" xfId="4829" xr:uid="{00000000-0005-0000-0000-000080270000}"/>
    <cellStyle name="Normal 2 4 2 6 3 6 2" xfId="11468" xr:uid="{00000000-0005-0000-0000-000081270000}"/>
    <cellStyle name="Normal 2 4 2 6 3 6_SSL" xfId="15721" xr:uid="{00000000-0005-0000-0000-000082270000}"/>
    <cellStyle name="Normal 2 4 2 6 3 7" xfId="5639" xr:uid="{00000000-0005-0000-0000-000083270000}"/>
    <cellStyle name="Normal 2 4 2 6 3 7 2" xfId="12277" xr:uid="{00000000-0005-0000-0000-000084270000}"/>
    <cellStyle name="Normal 2 4 2 6 3 7_SSL" xfId="15354" xr:uid="{00000000-0005-0000-0000-000085270000}"/>
    <cellStyle name="Normal 2 4 2 6 3 8" xfId="7503" xr:uid="{00000000-0005-0000-0000-000086270000}"/>
    <cellStyle name="Normal 2 4 2 6 3 9" xfId="6556" xr:uid="{00000000-0005-0000-0000-000087270000}"/>
    <cellStyle name="Normal 2 4 2 6 3_SSL" xfId="17481" xr:uid="{00000000-0005-0000-0000-000088270000}"/>
    <cellStyle name="Normal 2 4 2 6 4" xfId="1555" xr:uid="{00000000-0005-0000-0000-000089270000}"/>
    <cellStyle name="Normal 2 4 2 6 4 2" xfId="8210" xr:uid="{00000000-0005-0000-0000-00008A270000}"/>
    <cellStyle name="Normal 2 4 2 6 4_SSL" xfId="14292" xr:uid="{00000000-0005-0000-0000-00008B270000}"/>
    <cellStyle name="Normal 2 4 2 6 5" xfId="2375" xr:uid="{00000000-0005-0000-0000-00008C270000}"/>
    <cellStyle name="Normal 2 4 2 6 5 2" xfId="9023" xr:uid="{00000000-0005-0000-0000-00008D270000}"/>
    <cellStyle name="Normal 2 4 2 6 5_SSL" xfId="13766" xr:uid="{00000000-0005-0000-0000-00008E270000}"/>
    <cellStyle name="Normal 2 4 2 6 6" xfId="3194" xr:uid="{00000000-0005-0000-0000-00008F270000}"/>
    <cellStyle name="Normal 2 4 2 6 6 2" xfId="9839" xr:uid="{00000000-0005-0000-0000-000090270000}"/>
    <cellStyle name="Normal 2 4 2 6 6_SSL" xfId="16133" xr:uid="{00000000-0005-0000-0000-000091270000}"/>
    <cellStyle name="Normal 2 4 2 6 7" xfId="4015" xr:uid="{00000000-0005-0000-0000-000092270000}"/>
    <cellStyle name="Normal 2 4 2 6 7 2" xfId="10655" xr:uid="{00000000-0005-0000-0000-000093270000}"/>
    <cellStyle name="Normal 2 4 2 6 7_SSL" xfId="13273" xr:uid="{00000000-0005-0000-0000-000094270000}"/>
    <cellStyle name="Normal 2 4 2 6 8" xfId="4826" xr:uid="{00000000-0005-0000-0000-000095270000}"/>
    <cellStyle name="Normal 2 4 2 6 8 2" xfId="11465" xr:uid="{00000000-0005-0000-0000-000096270000}"/>
    <cellStyle name="Normal 2 4 2 6 8_SSL" xfId="17597" xr:uid="{00000000-0005-0000-0000-000097270000}"/>
    <cellStyle name="Normal 2 4 2 6 9" xfId="5636" xr:uid="{00000000-0005-0000-0000-000098270000}"/>
    <cellStyle name="Normal 2 4 2 6 9 2" xfId="12274" xr:uid="{00000000-0005-0000-0000-000099270000}"/>
    <cellStyle name="Normal 2 4 2 6 9_SSL" xfId="14164" xr:uid="{00000000-0005-0000-0000-00009A270000}"/>
    <cellStyle name="Normal 2 4 2 6_SSL" xfId="12967" xr:uid="{00000000-0005-0000-0000-00009B270000}"/>
    <cellStyle name="Normal 2 4 2 7" xfId="368" xr:uid="{00000000-0005-0000-0000-00009C270000}"/>
    <cellStyle name="Normal 2 4 2 7 10" xfId="6557" xr:uid="{00000000-0005-0000-0000-00009D270000}"/>
    <cellStyle name="Normal 2 4 2 7 2" xfId="756" xr:uid="{00000000-0005-0000-0000-00009E270000}"/>
    <cellStyle name="Normal 2 4 2 7 2 2" xfId="1560" xr:uid="{00000000-0005-0000-0000-00009F270000}"/>
    <cellStyle name="Normal 2 4 2 7 2 2 2" xfId="8215" xr:uid="{00000000-0005-0000-0000-0000A0270000}"/>
    <cellStyle name="Normal 2 4 2 7 2 2_SSL" xfId="16295" xr:uid="{00000000-0005-0000-0000-0000A1270000}"/>
    <cellStyle name="Normal 2 4 2 7 2 3" xfId="2380" xr:uid="{00000000-0005-0000-0000-0000A2270000}"/>
    <cellStyle name="Normal 2 4 2 7 2 3 2" xfId="9028" xr:uid="{00000000-0005-0000-0000-0000A3270000}"/>
    <cellStyle name="Normal 2 4 2 7 2 3_SSL" xfId="12752" xr:uid="{00000000-0005-0000-0000-0000A4270000}"/>
    <cellStyle name="Normal 2 4 2 7 2 4" xfId="3199" xr:uid="{00000000-0005-0000-0000-0000A5270000}"/>
    <cellStyle name="Normal 2 4 2 7 2 4 2" xfId="9844" xr:uid="{00000000-0005-0000-0000-0000A6270000}"/>
    <cellStyle name="Normal 2 4 2 7 2 4_SSL" xfId="13195" xr:uid="{00000000-0005-0000-0000-0000A7270000}"/>
    <cellStyle name="Normal 2 4 2 7 2 5" xfId="4020" xr:uid="{00000000-0005-0000-0000-0000A8270000}"/>
    <cellStyle name="Normal 2 4 2 7 2 5 2" xfId="10660" xr:uid="{00000000-0005-0000-0000-0000A9270000}"/>
    <cellStyle name="Normal 2 4 2 7 2 5_SSL" xfId="15047" xr:uid="{00000000-0005-0000-0000-0000AA270000}"/>
    <cellStyle name="Normal 2 4 2 7 2 6" xfId="4831" xr:uid="{00000000-0005-0000-0000-0000AB270000}"/>
    <cellStyle name="Normal 2 4 2 7 2 6 2" xfId="11470" xr:uid="{00000000-0005-0000-0000-0000AC270000}"/>
    <cellStyle name="Normal 2 4 2 7 2 6_SSL" xfId="15714" xr:uid="{00000000-0005-0000-0000-0000AD270000}"/>
    <cellStyle name="Normal 2 4 2 7 2 7" xfId="5641" xr:uid="{00000000-0005-0000-0000-0000AE270000}"/>
    <cellStyle name="Normal 2 4 2 7 2 7 2" xfId="12279" xr:uid="{00000000-0005-0000-0000-0000AF270000}"/>
    <cellStyle name="Normal 2 4 2 7 2 7_SSL" xfId="17638" xr:uid="{00000000-0005-0000-0000-0000B0270000}"/>
    <cellStyle name="Normal 2 4 2 7 2 8" xfId="7612" xr:uid="{00000000-0005-0000-0000-0000B1270000}"/>
    <cellStyle name="Normal 2 4 2 7 2 9" xfId="6558" xr:uid="{00000000-0005-0000-0000-0000B2270000}"/>
    <cellStyle name="Normal 2 4 2 7 2_SSL" xfId="16354" xr:uid="{00000000-0005-0000-0000-0000B3270000}"/>
    <cellStyle name="Normal 2 4 2 7 3" xfId="1559" xr:uid="{00000000-0005-0000-0000-0000B4270000}"/>
    <cellStyle name="Normal 2 4 2 7 3 2" xfId="8214" xr:uid="{00000000-0005-0000-0000-0000B5270000}"/>
    <cellStyle name="Normal 2 4 2 7 3_SSL" xfId="13144" xr:uid="{00000000-0005-0000-0000-0000B6270000}"/>
    <cellStyle name="Normal 2 4 2 7 4" xfId="2379" xr:uid="{00000000-0005-0000-0000-0000B7270000}"/>
    <cellStyle name="Normal 2 4 2 7 4 2" xfId="9027" xr:uid="{00000000-0005-0000-0000-0000B8270000}"/>
    <cellStyle name="Normal 2 4 2 7 4_SSL" xfId="16181" xr:uid="{00000000-0005-0000-0000-0000B9270000}"/>
    <cellStyle name="Normal 2 4 2 7 5" xfId="3198" xr:uid="{00000000-0005-0000-0000-0000BA270000}"/>
    <cellStyle name="Normal 2 4 2 7 5 2" xfId="9843" xr:uid="{00000000-0005-0000-0000-0000BB270000}"/>
    <cellStyle name="Normal 2 4 2 7 5_SSL" xfId="14849" xr:uid="{00000000-0005-0000-0000-0000BC270000}"/>
    <cellStyle name="Normal 2 4 2 7 6" xfId="4019" xr:uid="{00000000-0005-0000-0000-0000BD270000}"/>
    <cellStyle name="Normal 2 4 2 7 6 2" xfId="10659" xr:uid="{00000000-0005-0000-0000-0000BE270000}"/>
    <cellStyle name="Normal 2 4 2 7 6_SSL" xfId="15360" xr:uid="{00000000-0005-0000-0000-0000BF270000}"/>
    <cellStyle name="Normal 2 4 2 7 7" xfId="4830" xr:uid="{00000000-0005-0000-0000-0000C0270000}"/>
    <cellStyle name="Normal 2 4 2 7 7 2" xfId="11469" xr:uid="{00000000-0005-0000-0000-0000C1270000}"/>
    <cellStyle name="Normal 2 4 2 7 7_SSL" xfId="12977" xr:uid="{00000000-0005-0000-0000-0000C2270000}"/>
    <cellStyle name="Normal 2 4 2 7 8" xfId="5640" xr:uid="{00000000-0005-0000-0000-0000C3270000}"/>
    <cellStyle name="Normal 2 4 2 7 8 2" xfId="12278" xr:uid="{00000000-0005-0000-0000-0000C4270000}"/>
    <cellStyle name="Normal 2 4 2 7 8_SSL" xfId="15771" xr:uid="{00000000-0005-0000-0000-0000C5270000}"/>
    <cellStyle name="Normal 2 4 2 7 9" xfId="7228" xr:uid="{00000000-0005-0000-0000-0000C6270000}"/>
    <cellStyle name="Normal 2 4 2 7_SSL" xfId="14961" xr:uid="{00000000-0005-0000-0000-0000C7270000}"/>
    <cellStyle name="Normal 2 4 2 8" xfId="480" xr:uid="{00000000-0005-0000-0000-0000C8270000}"/>
    <cellStyle name="Normal 2 4 2 8 2" xfId="1561" xr:uid="{00000000-0005-0000-0000-0000C9270000}"/>
    <cellStyle name="Normal 2 4 2 8 2 2" xfId="8216" xr:uid="{00000000-0005-0000-0000-0000CA270000}"/>
    <cellStyle name="Normal 2 4 2 8 2_SSL" xfId="15113" xr:uid="{00000000-0005-0000-0000-0000CB270000}"/>
    <cellStyle name="Normal 2 4 2 8 3" xfId="2381" xr:uid="{00000000-0005-0000-0000-0000CC270000}"/>
    <cellStyle name="Normal 2 4 2 8 3 2" xfId="9029" xr:uid="{00000000-0005-0000-0000-0000CD270000}"/>
    <cellStyle name="Normal 2 4 2 8 3_SSL" xfId="13311" xr:uid="{00000000-0005-0000-0000-0000CE270000}"/>
    <cellStyle name="Normal 2 4 2 8 4" xfId="3200" xr:uid="{00000000-0005-0000-0000-0000CF270000}"/>
    <cellStyle name="Normal 2 4 2 8 4 2" xfId="9845" xr:uid="{00000000-0005-0000-0000-0000D0270000}"/>
    <cellStyle name="Normal 2 4 2 8 4_SSL" xfId="17769" xr:uid="{00000000-0005-0000-0000-0000D1270000}"/>
    <cellStyle name="Normal 2 4 2 8 5" xfId="4021" xr:uid="{00000000-0005-0000-0000-0000D2270000}"/>
    <cellStyle name="Normal 2 4 2 8 5 2" xfId="10661" xr:uid="{00000000-0005-0000-0000-0000D3270000}"/>
    <cellStyle name="Normal 2 4 2 8 5_SSL" xfId="13717" xr:uid="{00000000-0005-0000-0000-0000D4270000}"/>
    <cellStyle name="Normal 2 4 2 8 6" xfId="4832" xr:uid="{00000000-0005-0000-0000-0000D5270000}"/>
    <cellStyle name="Normal 2 4 2 8 6 2" xfId="11471" xr:uid="{00000000-0005-0000-0000-0000D6270000}"/>
    <cellStyle name="Normal 2 4 2 8 6_SSL" xfId="13146" xr:uid="{00000000-0005-0000-0000-0000D7270000}"/>
    <cellStyle name="Normal 2 4 2 8 7" xfId="5642" xr:uid="{00000000-0005-0000-0000-0000D8270000}"/>
    <cellStyle name="Normal 2 4 2 8 7 2" xfId="12280" xr:uid="{00000000-0005-0000-0000-0000D9270000}"/>
    <cellStyle name="Normal 2 4 2 8 7_SSL" xfId="17974" xr:uid="{00000000-0005-0000-0000-0000DA270000}"/>
    <cellStyle name="Normal 2 4 2 8 8" xfId="7336" xr:uid="{00000000-0005-0000-0000-0000DB270000}"/>
    <cellStyle name="Normal 2 4 2 8 9" xfId="6559" xr:uid="{00000000-0005-0000-0000-0000DC270000}"/>
    <cellStyle name="Normal 2 4 2 8_SSL" xfId="14271" xr:uid="{00000000-0005-0000-0000-0000DD270000}"/>
    <cellStyle name="Normal 2 4 2 9" xfId="1530" xr:uid="{00000000-0005-0000-0000-0000DE270000}"/>
    <cellStyle name="Normal 2 4 2 9 2" xfId="8185" xr:uid="{00000000-0005-0000-0000-0000DF270000}"/>
    <cellStyle name="Normal 2 4 2 9_SSL" xfId="14015" xr:uid="{00000000-0005-0000-0000-0000E0270000}"/>
    <cellStyle name="Normal 2 4 2_SSL" xfId="16590" xr:uid="{00000000-0005-0000-0000-0000E1270000}"/>
    <cellStyle name="Normal 2 4 3" xfId="82" xr:uid="{00000000-0005-0000-0000-0000E2270000}"/>
    <cellStyle name="Normal 2 4 3 10" xfId="5643" xr:uid="{00000000-0005-0000-0000-0000E3270000}"/>
    <cellStyle name="Normal 2 4 3 10 2" xfId="12281" xr:uid="{00000000-0005-0000-0000-0000E4270000}"/>
    <cellStyle name="Normal 2 4 3 10_SSL" xfId="15835" xr:uid="{00000000-0005-0000-0000-0000E5270000}"/>
    <cellStyle name="Normal 2 4 3 11" xfId="6963" xr:uid="{00000000-0005-0000-0000-0000E6270000}"/>
    <cellStyle name="Normal 2 4 3 12" xfId="6560" xr:uid="{00000000-0005-0000-0000-0000E7270000}"/>
    <cellStyle name="Normal 2 4 3 2" xfId="182" xr:uid="{00000000-0005-0000-0000-0000E8270000}"/>
    <cellStyle name="Normal 2 4 3 2 10" xfId="7059" xr:uid="{00000000-0005-0000-0000-0000E9270000}"/>
    <cellStyle name="Normal 2 4 3 2 11" xfId="6561" xr:uid="{00000000-0005-0000-0000-0000EA270000}"/>
    <cellStyle name="Normal 2 4 3 2 2" xfId="377" xr:uid="{00000000-0005-0000-0000-0000EB270000}"/>
    <cellStyle name="Normal 2 4 3 2 2 10" xfId="6562" xr:uid="{00000000-0005-0000-0000-0000EC270000}"/>
    <cellStyle name="Normal 2 4 3 2 2 2" xfId="765" xr:uid="{00000000-0005-0000-0000-0000ED270000}"/>
    <cellStyle name="Normal 2 4 3 2 2 2 2" xfId="1565" xr:uid="{00000000-0005-0000-0000-0000EE270000}"/>
    <cellStyle name="Normal 2 4 3 2 2 2 2 2" xfId="8220" xr:uid="{00000000-0005-0000-0000-0000EF270000}"/>
    <cellStyle name="Normal 2 4 3 2 2 2 2_SSL" xfId="17907" xr:uid="{00000000-0005-0000-0000-0000F0270000}"/>
    <cellStyle name="Normal 2 4 3 2 2 2 3" xfId="2385" xr:uid="{00000000-0005-0000-0000-0000F1270000}"/>
    <cellStyle name="Normal 2 4 3 2 2 2 3 2" xfId="9033" xr:uid="{00000000-0005-0000-0000-0000F2270000}"/>
    <cellStyle name="Normal 2 4 3 2 2 2 3_SSL" xfId="15948" xr:uid="{00000000-0005-0000-0000-0000F3270000}"/>
    <cellStyle name="Normal 2 4 3 2 2 2 4" xfId="3204" xr:uid="{00000000-0005-0000-0000-0000F4270000}"/>
    <cellStyle name="Normal 2 4 3 2 2 2 4 2" xfId="9849" xr:uid="{00000000-0005-0000-0000-0000F5270000}"/>
    <cellStyle name="Normal 2 4 3 2 2 2 4_SSL" xfId="13847" xr:uid="{00000000-0005-0000-0000-0000F6270000}"/>
    <cellStyle name="Normal 2 4 3 2 2 2 5" xfId="4025" xr:uid="{00000000-0005-0000-0000-0000F7270000}"/>
    <cellStyle name="Normal 2 4 3 2 2 2 5 2" xfId="10665" xr:uid="{00000000-0005-0000-0000-0000F8270000}"/>
    <cellStyle name="Normal 2 4 3 2 2 2 5_SSL" xfId="14967" xr:uid="{00000000-0005-0000-0000-0000F9270000}"/>
    <cellStyle name="Normal 2 4 3 2 2 2 6" xfId="4836" xr:uid="{00000000-0005-0000-0000-0000FA270000}"/>
    <cellStyle name="Normal 2 4 3 2 2 2 6 2" xfId="11475" xr:uid="{00000000-0005-0000-0000-0000FB270000}"/>
    <cellStyle name="Normal 2 4 3 2 2 2 6_SSL" xfId="16905" xr:uid="{00000000-0005-0000-0000-0000FC270000}"/>
    <cellStyle name="Normal 2 4 3 2 2 2 7" xfId="5646" xr:uid="{00000000-0005-0000-0000-0000FD270000}"/>
    <cellStyle name="Normal 2 4 3 2 2 2 7 2" xfId="12284" xr:uid="{00000000-0005-0000-0000-0000FE270000}"/>
    <cellStyle name="Normal 2 4 3 2 2 2 7_SSL" xfId="13323" xr:uid="{00000000-0005-0000-0000-0000FF270000}"/>
    <cellStyle name="Normal 2 4 3 2 2 2 8" xfId="7621" xr:uid="{00000000-0005-0000-0000-000000280000}"/>
    <cellStyle name="Normal 2 4 3 2 2 2 9" xfId="6563" xr:uid="{00000000-0005-0000-0000-000001280000}"/>
    <cellStyle name="Normal 2 4 3 2 2 2_SSL" xfId="13837" xr:uid="{00000000-0005-0000-0000-000002280000}"/>
    <cellStyle name="Normal 2 4 3 2 2 3" xfId="1564" xr:uid="{00000000-0005-0000-0000-000003280000}"/>
    <cellStyle name="Normal 2 4 3 2 2 3 2" xfId="8219" xr:uid="{00000000-0005-0000-0000-000004280000}"/>
    <cellStyle name="Normal 2 4 3 2 2 3_SSL" xfId="12891" xr:uid="{00000000-0005-0000-0000-000005280000}"/>
    <cellStyle name="Normal 2 4 3 2 2 4" xfId="2384" xr:uid="{00000000-0005-0000-0000-000006280000}"/>
    <cellStyle name="Normal 2 4 3 2 2 4 2" xfId="9032" xr:uid="{00000000-0005-0000-0000-000007280000}"/>
    <cellStyle name="Normal 2 4 3 2 2 4_SSL" xfId="15544" xr:uid="{00000000-0005-0000-0000-000008280000}"/>
    <cellStyle name="Normal 2 4 3 2 2 5" xfId="3203" xr:uid="{00000000-0005-0000-0000-000009280000}"/>
    <cellStyle name="Normal 2 4 3 2 2 5 2" xfId="9848" xr:uid="{00000000-0005-0000-0000-00000A280000}"/>
    <cellStyle name="Normal 2 4 3 2 2 5_SSL" xfId="15134" xr:uid="{00000000-0005-0000-0000-00000B280000}"/>
    <cellStyle name="Normal 2 4 3 2 2 6" xfId="4024" xr:uid="{00000000-0005-0000-0000-00000C280000}"/>
    <cellStyle name="Normal 2 4 3 2 2 6 2" xfId="10664" xr:uid="{00000000-0005-0000-0000-00000D280000}"/>
    <cellStyle name="Normal 2 4 3 2 2 6_SSL" xfId="13913" xr:uid="{00000000-0005-0000-0000-00000E280000}"/>
    <cellStyle name="Normal 2 4 3 2 2 7" xfId="4835" xr:uid="{00000000-0005-0000-0000-00000F280000}"/>
    <cellStyle name="Normal 2 4 3 2 2 7 2" xfId="11474" xr:uid="{00000000-0005-0000-0000-000010280000}"/>
    <cellStyle name="Normal 2 4 3 2 2 7_SSL" xfId="16034" xr:uid="{00000000-0005-0000-0000-000011280000}"/>
    <cellStyle name="Normal 2 4 3 2 2 8" xfId="5645" xr:uid="{00000000-0005-0000-0000-000012280000}"/>
    <cellStyle name="Normal 2 4 3 2 2 8 2" xfId="12283" xr:uid="{00000000-0005-0000-0000-000013280000}"/>
    <cellStyle name="Normal 2 4 3 2 2 8_SSL" xfId="13425" xr:uid="{00000000-0005-0000-0000-000014280000}"/>
    <cellStyle name="Normal 2 4 3 2 2 9" xfId="7237" xr:uid="{00000000-0005-0000-0000-000015280000}"/>
    <cellStyle name="Normal 2 4 3 2 2_SSL" xfId="15628" xr:uid="{00000000-0005-0000-0000-000016280000}"/>
    <cellStyle name="Normal 2 4 3 2 3" xfId="587" xr:uid="{00000000-0005-0000-0000-000017280000}"/>
    <cellStyle name="Normal 2 4 3 2 3 2" xfId="1566" xr:uid="{00000000-0005-0000-0000-000018280000}"/>
    <cellStyle name="Normal 2 4 3 2 3 2 2" xfId="8221" xr:uid="{00000000-0005-0000-0000-000019280000}"/>
    <cellStyle name="Normal 2 4 3 2 3 2_SSL" xfId="16929" xr:uid="{00000000-0005-0000-0000-00001A280000}"/>
    <cellStyle name="Normal 2 4 3 2 3 3" xfId="2386" xr:uid="{00000000-0005-0000-0000-00001B280000}"/>
    <cellStyle name="Normal 2 4 3 2 3 3 2" xfId="9034" xr:uid="{00000000-0005-0000-0000-00001C280000}"/>
    <cellStyle name="Normal 2 4 3 2 3 3_SSL" xfId="17637" xr:uid="{00000000-0005-0000-0000-00001D280000}"/>
    <cellStyle name="Normal 2 4 3 2 3 4" xfId="3205" xr:uid="{00000000-0005-0000-0000-00001E280000}"/>
    <cellStyle name="Normal 2 4 3 2 3 4 2" xfId="9850" xr:uid="{00000000-0005-0000-0000-00001F280000}"/>
    <cellStyle name="Normal 2 4 3 2 3 4_SSL" xfId="15608" xr:uid="{00000000-0005-0000-0000-000020280000}"/>
    <cellStyle name="Normal 2 4 3 2 3 5" xfId="4026" xr:uid="{00000000-0005-0000-0000-000021280000}"/>
    <cellStyle name="Normal 2 4 3 2 3 5 2" xfId="10666" xr:uid="{00000000-0005-0000-0000-000022280000}"/>
    <cellStyle name="Normal 2 4 3 2 3 5_SSL" xfId="15465" xr:uid="{00000000-0005-0000-0000-000023280000}"/>
    <cellStyle name="Normal 2 4 3 2 3 6" xfId="4837" xr:uid="{00000000-0005-0000-0000-000024280000}"/>
    <cellStyle name="Normal 2 4 3 2 3 6 2" xfId="11476" xr:uid="{00000000-0005-0000-0000-000025280000}"/>
    <cellStyle name="Normal 2 4 3 2 3 6_SSL" xfId="14646" xr:uid="{00000000-0005-0000-0000-000026280000}"/>
    <cellStyle name="Normal 2 4 3 2 3 7" xfId="5647" xr:uid="{00000000-0005-0000-0000-000027280000}"/>
    <cellStyle name="Normal 2 4 3 2 3 7 2" xfId="12285" xr:uid="{00000000-0005-0000-0000-000028280000}"/>
    <cellStyle name="Normal 2 4 3 2 3 7_SSL" xfId="13888" xr:uid="{00000000-0005-0000-0000-000029280000}"/>
    <cellStyle name="Normal 2 4 3 2 3 8" xfId="7443" xr:uid="{00000000-0005-0000-0000-00002A280000}"/>
    <cellStyle name="Normal 2 4 3 2 3 9" xfId="6564" xr:uid="{00000000-0005-0000-0000-00002B280000}"/>
    <cellStyle name="Normal 2 4 3 2 3_SSL" xfId="14842" xr:uid="{00000000-0005-0000-0000-00002C280000}"/>
    <cellStyle name="Normal 2 4 3 2 4" xfId="1563" xr:uid="{00000000-0005-0000-0000-00002D280000}"/>
    <cellStyle name="Normal 2 4 3 2 4 2" xfId="8218" xr:uid="{00000000-0005-0000-0000-00002E280000}"/>
    <cellStyle name="Normal 2 4 3 2 4_SSL" xfId="17070" xr:uid="{00000000-0005-0000-0000-00002F280000}"/>
    <cellStyle name="Normal 2 4 3 2 5" xfId="2383" xr:uid="{00000000-0005-0000-0000-000030280000}"/>
    <cellStyle name="Normal 2 4 3 2 5 2" xfId="9031" xr:uid="{00000000-0005-0000-0000-000031280000}"/>
    <cellStyle name="Normal 2 4 3 2 5_SSL" xfId="16394" xr:uid="{00000000-0005-0000-0000-000032280000}"/>
    <cellStyle name="Normal 2 4 3 2 6" xfId="3202" xr:uid="{00000000-0005-0000-0000-000033280000}"/>
    <cellStyle name="Normal 2 4 3 2 6 2" xfId="9847" xr:uid="{00000000-0005-0000-0000-000034280000}"/>
    <cellStyle name="Normal 2 4 3 2 6_SSL" xfId="13284" xr:uid="{00000000-0005-0000-0000-000035280000}"/>
    <cellStyle name="Normal 2 4 3 2 7" xfId="4023" xr:uid="{00000000-0005-0000-0000-000036280000}"/>
    <cellStyle name="Normal 2 4 3 2 7 2" xfId="10663" xr:uid="{00000000-0005-0000-0000-000037280000}"/>
    <cellStyle name="Normal 2 4 3 2 7_SSL" xfId="16378" xr:uid="{00000000-0005-0000-0000-000038280000}"/>
    <cellStyle name="Normal 2 4 3 2 8" xfId="4834" xr:uid="{00000000-0005-0000-0000-000039280000}"/>
    <cellStyle name="Normal 2 4 3 2 8 2" xfId="11473" xr:uid="{00000000-0005-0000-0000-00003A280000}"/>
    <cellStyle name="Normal 2 4 3 2 8_SSL" xfId="13100" xr:uid="{00000000-0005-0000-0000-00003B280000}"/>
    <cellStyle name="Normal 2 4 3 2 9" xfId="5644" xr:uid="{00000000-0005-0000-0000-00003C280000}"/>
    <cellStyle name="Normal 2 4 3 2 9 2" xfId="12282" xr:uid="{00000000-0005-0000-0000-00003D280000}"/>
    <cellStyle name="Normal 2 4 3 2 9_SSL" xfId="13943" xr:uid="{00000000-0005-0000-0000-00003E280000}"/>
    <cellStyle name="Normal 2 4 3 2_SSL" xfId="13479" xr:uid="{00000000-0005-0000-0000-00003F280000}"/>
    <cellStyle name="Normal 2 4 3 3" xfId="376" xr:uid="{00000000-0005-0000-0000-000040280000}"/>
    <cellStyle name="Normal 2 4 3 3 10" xfId="6565" xr:uid="{00000000-0005-0000-0000-000041280000}"/>
    <cellStyle name="Normal 2 4 3 3 2" xfId="764" xr:uid="{00000000-0005-0000-0000-000042280000}"/>
    <cellStyle name="Normal 2 4 3 3 2 2" xfId="1568" xr:uid="{00000000-0005-0000-0000-000043280000}"/>
    <cellStyle name="Normal 2 4 3 3 2 2 2" xfId="8223" xr:uid="{00000000-0005-0000-0000-000044280000}"/>
    <cellStyle name="Normal 2 4 3 3 2 2_SSL" xfId="12760" xr:uid="{00000000-0005-0000-0000-000045280000}"/>
    <cellStyle name="Normal 2 4 3 3 2 3" xfId="2388" xr:uid="{00000000-0005-0000-0000-000046280000}"/>
    <cellStyle name="Normal 2 4 3 3 2 3 2" xfId="9036" xr:uid="{00000000-0005-0000-0000-000047280000}"/>
    <cellStyle name="Normal 2 4 3 3 2 3_SSL" xfId="16819" xr:uid="{00000000-0005-0000-0000-000048280000}"/>
    <cellStyle name="Normal 2 4 3 3 2 4" xfId="3207" xr:uid="{00000000-0005-0000-0000-000049280000}"/>
    <cellStyle name="Normal 2 4 3 3 2 4 2" xfId="9852" xr:uid="{00000000-0005-0000-0000-00004A280000}"/>
    <cellStyle name="Normal 2 4 3 3 2 4_SSL" xfId="17509" xr:uid="{00000000-0005-0000-0000-00004B280000}"/>
    <cellStyle name="Normal 2 4 3 3 2 5" xfId="4028" xr:uid="{00000000-0005-0000-0000-00004C280000}"/>
    <cellStyle name="Normal 2 4 3 3 2 5 2" xfId="10668" xr:uid="{00000000-0005-0000-0000-00004D280000}"/>
    <cellStyle name="Normal 2 4 3 3 2 5_SSL" xfId="14585" xr:uid="{00000000-0005-0000-0000-00004E280000}"/>
    <cellStyle name="Normal 2 4 3 3 2 6" xfId="4839" xr:uid="{00000000-0005-0000-0000-00004F280000}"/>
    <cellStyle name="Normal 2 4 3 3 2 6 2" xfId="11478" xr:uid="{00000000-0005-0000-0000-000050280000}"/>
    <cellStyle name="Normal 2 4 3 3 2 6_SSL" xfId="17279" xr:uid="{00000000-0005-0000-0000-000051280000}"/>
    <cellStyle name="Normal 2 4 3 3 2 7" xfId="5649" xr:uid="{00000000-0005-0000-0000-000052280000}"/>
    <cellStyle name="Normal 2 4 3 3 2 7 2" xfId="12287" xr:uid="{00000000-0005-0000-0000-000053280000}"/>
    <cellStyle name="Normal 2 4 3 3 2 7_SSL" xfId="17570" xr:uid="{00000000-0005-0000-0000-000054280000}"/>
    <cellStyle name="Normal 2 4 3 3 2 8" xfId="7620" xr:uid="{00000000-0005-0000-0000-000055280000}"/>
    <cellStyle name="Normal 2 4 3 3 2 9" xfId="6566" xr:uid="{00000000-0005-0000-0000-000056280000}"/>
    <cellStyle name="Normal 2 4 3 3 2_SSL" xfId="13180" xr:uid="{00000000-0005-0000-0000-000057280000}"/>
    <cellStyle name="Normal 2 4 3 3 3" xfId="1567" xr:uid="{00000000-0005-0000-0000-000058280000}"/>
    <cellStyle name="Normal 2 4 3 3 3 2" xfId="8222" xr:uid="{00000000-0005-0000-0000-000059280000}"/>
    <cellStyle name="Normal 2 4 3 3 3_SSL" xfId="15636" xr:uid="{00000000-0005-0000-0000-00005A280000}"/>
    <cellStyle name="Normal 2 4 3 3 4" xfId="2387" xr:uid="{00000000-0005-0000-0000-00005B280000}"/>
    <cellStyle name="Normal 2 4 3 3 4 2" xfId="9035" xr:uid="{00000000-0005-0000-0000-00005C280000}"/>
    <cellStyle name="Normal 2 4 3 3 4_SSL" xfId="16901" xr:uid="{00000000-0005-0000-0000-00005D280000}"/>
    <cellStyle name="Normal 2 4 3 3 5" xfId="3206" xr:uid="{00000000-0005-0000-0000-00005E280000}"/>
    <cellStyle name="Normal 2 4 3 3 5 2" xfId="9851" xr:uid="{00000000-0005-0000-0000-00005F280000}"/>
    <cellStyle name="Normal 2 4 3 3 5_SSL" xfId="14543" xr:uid="{00000000-0005-0000-0000-000060280000}"/>
    <cellStyle name="Normal 2 4 3 3 6" xfId="4027" xr:uid="{00000000-0005-0000-0000-000061280000}"/>
    <cellStyle name="Normal 2 4 3 3 6 2" xfId="10667" xr:uid="{00000000-0005-0000-0000-000062280000}"/>
    <cellStyle name="Normal 2 4 3 3 6_SSL" xfId="15231" xr:uid="{00000000-0005-0000-0000-000063280000}"/>
    <cellStyle name="Normal 2 4 3 3 7" xfId="4838" xr:uid="{00000000-0005-0000-0000-000064280000}"/>
    <cellStyle name="Normal 2 4 3 3 7 2" xfId="11477" xr:uid="{00000000-0005-0000-0000-000065280000}"/>
    <cellStyle name="Normal 2 4 3 3 7_SSL" xfId="15410" xr:uid="{00000000-0005-0000-0000-000066280000}"/>
    <cellStyle name="Normal 2 4 3 3 8" xfId="5648" xr:uid="{00000000-0005-0000-0000-000067280000}"/>
    <cellStyle name="Normal 2 4 3 3 8 2" xfId="12286" xr:uid="{00000000-0005-0000-0000-000068280000}"/>
    <cellStyle name="Normal 2 4 3 3 8_SSL" xfId="17314" xr:uid="{00000000-0005-0000-0000-000069280000}"/>
    <cellStyle name="Normal 2 4 3 3 9" xfId="7236" xr:uid="{00000000-0005-0000-0000-00006A280000}"/>
    <cellStyle name="Normal 2 4 3 3_SSL" xfId="16532" xr:uid="{00000000-0005-0000-0000-00006B280000}"/>
    <cellStyle name="Normal 2 4 3 4" xfId="491" xr:uid="{00000000-0005-0000-0000-00006C280000}"/>
    <cellStyle name="Normal 2 4 3 4 2" xfId="1569" xr:uid="{00000000-0005-0000-0000-00006D280000}"/>
    <cellStyle name="Normal 2 4 3 4 2 2" xfId="8224" xr:uid="{00000000-0005-0000-0000-00006E280000}"/>
    <cellStyle name="Normal 2 4 3 4 2_SSL" xfId="16172" xr:uid="{00000000-0005-0000-0000-00006F280000}"/>
    <cellStyle name="Normal 2 4 3 4 3" xfId="2389" xr:uid="{00000000-0005-0000-0000-000070280000}"/>
    <cellStyle name="Normal 2 4 3 4 3 2" xfId="9037" xr:uid="{00000000-0005-0000-0000-000071280000}"/>
    <cellStyle name="Normal 2 4 3 4 3_SSL" xfId="16417" xr:uid="{00000000-0005-0000-0000-000072280000}"/>
    <cellStyle name="Normal 2 4 3 4 4" xfId="3208" xr:uid="{00000000-0005-0000-0000-000073280000}"/>
    <cellStyle name="Normal 2 4 3 4 4 2" xfId="9853" xr:uid="{00000000-0005-0000-0000-000074280000}"/>
    <cellStyle name="Normal 2 4 3 4 4_SSL" xfId="16621" xr:uid="{00000000-0005-0000-0000-000075280000}"/>
    <cellStyle name="Normal 2 4 3 4 5" xfId="4029" xr:uid="{00000000-0005-0000-0000-000076280000}"/>
    <cellStyle name="Normal 2 4 3 4 5 2" xfId="10669" xr:uid="{00000000-0005-0000-0000-000077280000}"/>
    <cellStyle name="Normal 2 4 3 4 5_SSL" xfId="16927" xr:uid="{00000000-0005-0000-0000-000078280000}"/>
    <cellStyle name="Normal 2 4 3 4 6" xfId="4840" xr:uid="{00000000-0005-0000-0000-000079280000}"/>
    <cellStyle name="Normal 2 4 3 4 6 2" xfId="11479" xr:uid="{00000000-0005-0000-0000-00007A280000}"/>
    <cellStyle name="Normal 2 4 3 4 6_SSL" xfId="13408" xr:uid="{00000000-0005-0000-0000-00007B280000}"/>
    <cellStyle name="Normal 2 4 3 4 7" xfId="5650" xr:uid="{00000000-0005-0000-0000-00007C280000}"/>
    <cellStyle name="Normal 2 4 3 4 7 2" xfId="12288" xr:uid="{00000000-0005-0000-0000-00007D280000}"/>
    <cellStyle name="Normal 2 4 3 4 7_SSL" xfId="17179" xr:uid="{00000000-0005-0000-0000-00007E280000}"/>
    <cellStyle name="Normal 2 4 3 4 8" xfId="7347" xr:uid="{00000000-0005-0000-0000-00007F280000}"/>
    <cellStyle name="Normal 2 4 3 4 9" xfId="6567" xr:uid="{00000000-0005-0000-0000-000080280000}"/>
    <cellStyle name="Normal 2 4 3 4_SSL" xfId="17799" xr:uid="{00000000-0005-0000-0000-000081280000}"/>
    <cellStyle name="Normal 2 4 3 5" xfId="1562" xr:uid="{00000000-0005-0000-0000-000082280000}"/>
    <cellStyle name="Normal 2 4 3 5 2" xfId="8217" xr:uid="{00000000-0005-0000-0000-000083280000}"/>
    <cellStyle name="Normal 2 4 3 5_SSL" xfId="12929" xr:uid="{00000000-0005-0000-0000-000084280000}"/>
    <cellStyle name="Normal 2 4 3 6" xfId="2382" xr:uid="{00000000-0005-0000-0000-000085280000}"/>
    <cellStyle name="Normal 2 4 3 6 2" xfId="9030" xr:uid="{00000000-0005-0000-0000-000086280000}"/>
    <cellStyle name="Normal 2 4 3 6_SSL" xfId="15980" xr:uid="{00000000-0005-0000-0000-000087280000}"/>
    <cellStyle name="Normal 2 4 3 7" xfId="3201" xr:uid="{00000000-0005-0000-0000-000088280000}"/>
    <cellStyle name="Normal 2 4 3 7 2" xfId="9846" xr:uid="{00000000-0005-0000-0000-000089280000}"/>
    <cellStyle name="Normal 2 4 3 7_SSL" xfId="14488" xr:uid="{00000000-0005-0000-0000-00008A280000}"/>
    <cellStyle name="Normal 2 4 3 8" xfId="4022" xr:uid="{00000000-0005-0000-0000-00008B280000}"/>
    <cellStyle name="Normal 2 4 3 8 2" xfId="10662" xr:uid="{00000000-0005-0000-0000-00008C280000}"/>
    <cellStyle name="Normal 2 4 3 8_SSL" xfId="16939" xr:uid="{00000000-0005-0000-0000-00008D280000}"/>
    <cellStyle name="Normal 2 4 3 9" xfId="4833" xr:uid="{00000000-0005-0000-0000-00008E280000}"/>
    <cellStyle name="Normal 2 4 3 9 2" xfId="11472" xr:uid="{00000000-0005-0000-0000-00008F280000}"/>
    <cellStyle name="Normal 2 4 3 9_SSL" xfId="16604" xr:uid="{00000000-0005-0000-0000-000090280000}"/>
    <cellStyle name="Normal 2 4 3_SSL" xfId="13670" xr:uid="{00000000-0005-0000-0000-000091280000}"/>
    <cellStyle name="Normal 2 4 4" xfId="109" xr:uid="{00000000-0005-0000-0000-000092280000}"/>
    <cellStyle name="Normal 2 4 4 10" xfId="5651" xr:uid="{00000000-0005-0000-0000-000093280000}"/>
    <cellStyle name="Normal 2 4 4 10 2" xfId="12289" xr:uid="{00000000-0005-0000-0000-000094280000}"/>
    <cellStyle name="Normal 2 4 4 10_SSL" xfId="14218" xr:uid="{00000000-0005-0000-0000-000095280000}"/>
    <cellStyle name="Normal 2 4 4 11" xfId="6986" xr:uid="{00000000-0005-0000-0000-000096280000}"/>
    <cellStyle name="Normal 2 4 4 12" xfId="6568" xr:uid="{00000000-0005-0000-0000-000097280000}"/>
    <cellStyle name="Normal 2 4 4 2" xfId="205" xr:uid="{00000000-0005-0000-0000-000098280000}"/>
    <cellStyle name="Normal 2 4 4 2 10" xfId="7082" xr:uid="{00000000-0005-0000-0000-000099280000}"/>
    <cellStyle name="Normal 2 4 4 2 11" xfId="6569" xr:uid="{00000000-0005-0000-0000-00009A280000}"/>
    <cellStyle name="Normal 2 4 4 2 2" xfId="379" xr:uid="{00000000-0005-0000-0000-00009B280000}"/>
    <cellStyle name="Normal 2 4 4 2 2 10" xfId="6570" xr:uid="{00000000-0005-0000-0000-00009C280000}"/>
    <cellStyle name="Normal 2 4 4 2 2 2" xfId="767" xr:uid="{00000000-0005-0000-0000-00009D280000}"/>
    <cellStyle name="Normal 2 4 4 2 2 2 2" xfId="1573" xr:uid="{00000000-0005-0000-0000-00009E280000}"/>
    <cellStyle name="Normal 2 4 4 2 2 2 2 2" xfId="8228" xr:uid="{00000000-0005-0000-0000-00009F280000}"/>
    <cellStyle name="Normal 2 4 4 2 2 2 2_SSL" xfId="16550" xr:uid="{00000000-0005-0000-0000-0000A0280000}"/>
    <cellStyle name="Normal 2 4 4 2 2 2 3" xfId="2393" xr:uid="{00000000-0005-0000-0000-0000A1280000}"/>
    <cellStyle name="Normal 2 4 4 2 2 2 3 2" xfId="9041" xr:uid="{00000000-0005-0000-0000-0000A2280000}"/>
    <cellStyle name="Normal 2 4 4 2 2 2 3_SSL" xfId="16091" xr:uid="{00000000-0005-0000-0000-0000A3280000}"/>
    <cellStyle name="Normal 2 4 4 2 2 2 4" xfId="3212" xr:uid="{00000000-0005-0000-0000-0000A4280000}"/>
    <cellStyle name="Normal 2 4 4 2 2 2 4 2" xfId="9857" xr:uid="{00000000-0005-0000-0000-0000A5280000}"/>
    <cellStyle name="Normal 2 4 4 2 2 2 4_SSL" xfId="17655" xr:uid="{00000000-0005-0000-0000-0000A6280000}"/>
    <cellStyle name="Normal 2 4 4 2 2 2 5" xfId="4033" xr:uid="{00000000-0005-0000-0000-0000A7280000}"/>
    <cellStyle name="Normal 2 4 4 2 2 2 5 2" xfId="10673" xr:uid="{00000000-0005-0000-0000-0000A8280000}"/>
    <cellStyle name="Normal 2 4 4 2 2 2 5_SSL" xfId="14858" xr:uid="{00000000-0005-0000-0000-0000A9280000}"/>
    <cellStyle name="Normal 2 4 4 2 2 2 6" xfId="4844" xr:uid="{00000000-0005-0000-0000-0000AA280000}"/>
    <cellStyle name="Normal 2 4 4 2 2 2 6 2" xfId="11483" xr:uid="{00000000-0005-0000-0000-0000AB280000}"/>
    <cellStyle name="Normal 2 4 4 2 2 2 6_SSL" xfId="14700" xr:uid="{00000000-0005-0000-0000-0000AC280000}"/>
    <cellStyle name="Normal 2 4 4 2 2 2 7" xfId="5654" xr:uid="{00000000-0005-0000-0000-0000AD280000}"/>
    <cellStyle name="Normal 2 4 4 2 2 2 7 2" xfId="12292" xr:uid="{00000000-0005-0000-0000-0000AE280000}"/>
    <cellStyle name="Normal 2 4 4 2 2 2 7_SSL" xfId="16479" xr:uid="{00000000-0005-0000-0000-0000AF280000}"/>
    <cellStyle name="Normal 2 4 4 2 2 2 8" xfId="7623" xr:uid="{00000000-0005-0000-0000-0000B0280000}"/>
    <cellStyle name="Normal 2 4 4 2 2 2 9" xfId="6571" xr:uid="{00000000-0005-0000-0000-0000B1280000}"/>
    <cellStyle name="Normal 2 4 4 2 2 2_SSL" xfId="17294" xr:uid="{00000000-0005-0000-0000-0000B2280000}"/>
    <cellStyle name="Normal 2 4 4 2 2 3" xfId="1572" xr:uid="{00000000-0005-0000-0000-0000B3280000}"/>
    <cellStyle name="Normal 2 4 4 2 2 3 2" xfId="8227" xr:uid="{00000000-0005-0000-0000-0000B4280000}"/>
    <cellStyle name="Normal 2 4 4 2 2 3_SSL" xfId="14422" xr:uid="{00000000-0005-0000-0000-0000B5280000}"/>
    <cellStyle name="Normal 2 4 4 2 2 4" xfId="2392" xr:uid="{00000000-0005-0000-0000-0000B6280000}"/>
    <cellStyle name="Normal 2 4 4 2 2 4 2" xfId="9040" xr:uid="{00000000-0005-0000-0000-0000B7280000}"/>
    <cellStyle name="Normal 2 4 4 2 2 4_SSL" xfId="13319" xr:uid="{00000000-0005-0000-0000-0000B8280000}"/>
    <cellStyle name="Normal 2 4 4 2 2 5" xfId="3211" xr:uid="{00000000-0005-0000-0000-0000B9280000}"/>
    <cellStyle name="Normal 2 4 4 2 2 5 2" xfId="9856" xr:uid="{00000000-0005-0000-0000-0000BA280000}"/>
    <cellStyle name="Normal 2 4 4 2 2 5_SSL" xfId="15529" xr:uid="{00000000-0005-0000-0000-0000BB280000}"/>
    <cellStyle name="Normal 2 4 4 2 2 6" xfId="4032" xr:uid="{00000000-0005-0000-0000-0000BC280000}"/>
    <cellStyle name="Normal 2 4 4 2 2 6 2" xfId="10672" xr:uid="{00000000-0005-0000-0000-0000BD280000}"/>
    <cellStyle name="Normal 2 4 4 2 2 6_SSL" xfId="12840" xr:uid="{00000000-0005-0000-0000-0000BE280000}"/>
    <cellStyle name="Normal 2 4 4 2 2 7" xfId="4843" xr:uid="{00000000-0005-0000-0000-0000BF280000}"/>
    <cellStyle name="Normal 2 4 4 2 2 7 2" xfId="11482" xr:uid="{00000000-0005-0000-0000-0000C0280000}"/>
    <cellStyle name="Normal 2 4 4 2 2 7_SSL" xfId="15324" xr:uid="{00000000-0005-0000-0000-0000C1280000}"/>
    <cellStyle name="Normal 2 4 4 2 2 8" xfId="5653" xr:uid="{00000000-0005-0000-0000-0000C2280000}"/>
    <cellStyle name="Normal 2 4 4 2 2 8 2" xfId="12291" xr:uid="{00000000-0005-0000-0000-0000C3280000}"/>
    <cellStyle name="Normal 2 4 4 2 2 8_SSL" xfId="15787" xr:uid="{00000000-0005-0000-0000-0000C4280000}"/>
    <cellStyle name="Normal 2 4 4 2 2 9" xfId="7239" xr:uid="{00000000-0005-0000-0000-0000C5280000}"/>
    <cellStyle name="Normal 2 4 4 2 2_SSL" xfId="14776" xr:uid="{00000000-0005-0000-0000-0000C6280000}"/>
    <cellStyle name="Normal 2 4 4 2 3" xfId="610" xr:uid="{00000000-0005-0000-0000-0000C7280000}"/>
    <cellStyle name="Normal 2 4 4 2 3 2" xfId="1574" xr:uid="{00000000-0005-0000-0000-0000C8280000}"/>
    <cellStyle name="Normal 2 4 4 2 3 2 2" xfId="8229" xr:uid="{00000000-0005-0000-0000-0000C9280000}"/>
    <cellStyle name="Normal 2 4 4 2 3 2_SSL" xfId="17690" xr:uid="{00000000-0005-0000-0000-0000CA280000}"/>
    <cellStyle name="Normal 2 4 4 2 3 3" xfId="2394" xr:uid="{00000000-0005-0000-0000-0000CB280000}"/>
    <cellStyle name="Normal 2 4 4 2 3 3 2" xfId="9042" xr:uid="{00000000-0005-0000-0000-0000CC280000}"/>
    <cellStyle name="Normal 2 4 4 2 3 3_SSL" xfId="16036" xr:uid="{00000000-0005-0000-0000-0000CD280000}"/>
    <cellStyle name="Normal 2 4 4 2 3 4" xfId="3213" xr:uid="{00000000-0005-0000-0000-0000CE280000}"/>
    <cellStyle name="Normal 2 4 4 2 3 4 2" xfId="9858" xr:uid="{00000000-0005-0000-0000-0000CF280000}"/>
    <cellStyle name="Normal 2 4 4 2 3 4_SSL" xfId="16570" xr:uid="{00000000-0005-0000-0000-0000D0280000}"/>
    <cellStyle name="Normal 2 4 4 2 3 5" xfId="4034" xr:uid="{00000000-0005-0000-0000-0000D1280000}"/>
    <cellStyle name="Normal 2 4 4 2 3 5 2" xfId="10674" xr:uid="{00000000-0005-0000-0000-0000D2280000}"/>
    <cellStyle name="Normal 2 4 4 2 3 5_SSL" xfId="16111" xr:uid="{00000000-0005-0000-0000-0000D3280000}"/>
    <cellStyle name="Normal 2 4 4 2 3 6" xfId="4845" xr:uid="{00000000-0005-0000-0000-0000D4280000}"/>
    <cellStyle name="Normal 2 4 4 2 3 6 2" xfId="11484" xr:uid="{00000000-0005-0000-0000-0000D5280000}"/>
    <cellStyle name="Normal 2 4 4 2 3 6_SSL" xfId="12971" xr:uid="{00000000-0005-0000-0000-0000D6280000}"/>
    <cellStyle name="Normal 2 4 4 2 3 7" xfId="5655" xr:uid="{00000000-0005-0000-0000-0000D7280000}"/>
    <cellStyle name="Normal 2 4 4 2 3 7 2" xfId="12293" xr:uid="{00000000-0005-0000-0000-0000D8280000}"/>
    <cellStyle name="Normal 2 4 4 2 3 7_SSL" xfId="15897" xr:uid="{00000000-0005-0000-0000-0000D9280000}"/>
    <cellStyle name="Normal 2 4 4 2 3 8" xfId="7466" xr:uid="{00000000-0005-0000-0000-0000DA280000}"/>
    <cellStyle name="Normal 2 4 4 2 3 9" xfId="6572" xr:uid="{00000000-0005-0000-0000-0000DB280000}"/>
    <cellStyle name="Normal 2 4 4 2 3_SSL" xfId="15575" xr:uid="{00000000-0005-0000-0000-0000DC280000}"/>
    <cellStyle name="Normal 2 4 4 2 4" xfId="1571" xr:uid="{00000000-0005-0000-0000-0000DD280000}"/>
    <cellStyle name="Normal 2 4 4 2 4 2" xfId="8226" xr:uid="{00000000-0005-0000-0000-0000DE280000}"/>
    <cellStyle name="Normal 2 4 4 2 4_SSL" xfId="14288" xr:uid="{00000000-0005-0000-0000-0000DF280000}"/>
    <cellStyle name="Normal 2 4 4 2 5" xfId="2391" xr:uid="{00000000-0005-0000-0000-0000E0280000}"/>
    <cellStyle name="Normal 2 4 4 2 5 2" xfId="9039" xr:uid="{00000000-0005-0000-0000-0000E1280000}"/>
    <cellStyle name="Normal 2 4 4 2 5_SSL" xfId="14599" xr:uid="{00000000-0005-0000-0000-0000E2280000}"/>
    <cellStyle name="Normal 2 4 4 2 6" xfId="3210" xr:uid="{00000000-0005-0000-0000-0000E3280000}"/>
    <cellStyle name="Normal 2 4 4 2 6 2" xfId="9855" xr:uid="{00000000-0005-0000-0000-0000E4280000}"/>
    <cellStyle name="Normal 2 4 4 2 6_SSL" xfId="15682" xr:uid="{00000000-0005-0000-0000-0000E5280000}"/>
    <cellStyle name="Normal 2 4 4 2 7" xfId="4031" xr:uid="{00000000-0005-0000-0000-0000E6280000}"/>
    <cellStyle name="Normal 2 4 4 2 7 2" xfId="10671" xr:uid="{00000000-0005-0000-0000-0000E7280000}"/>
    <cellStyle name="Normal 2 4 4 2 7_SSL" xfId="13835" xr:uid="{00000000-0005-0000-0000-0000E8280000}"/>
    <cellStyle name="Normal 2 4 4 2 8" xfId="4842" xr:uid="{00000000-0005-0000-0000-0000E9280000}"/>
    <cellStyle name="Normal 2 4 4 2 8 2" xfId="11481" xr:uid="{00000000-0005-0000-0000-0000EA280000}"/>
    <cellStyle name="Normal 2 4 4 2 8_SSL" xfId="16721" xr:uid="{00000000-0005-0000-0000-0000EB280000}"/>
    <cellStyle name="Normal 2 4 4 2 9" xfId="5652" xr:uid="{00000000-0005-0000-0000-0000EC280000}"/>
    <cellStyle name="Normal 2 4 4 2 9 2" xfId="12290" xr:uid="{00000000-0005-0000-0000-0000ED280000}"/>
    <cellStyle name="Normal 2 4 4 2 9_SSL" xfId="13546" xr:uid="{00000000-0005-0000-0000-0000EE280000}"/>
    <cellStyle name="Normal 2 4 4 2_SSL" xfId="17305" xr:uid="{00000000-0005-0000-0000-0000EF280000}"/>
    <cellStyle name="Normal 2 4 4 3" xfId="378" xr:uid="{00000000-0005-0000-0000-0000F0280000}"/>
    <cellStyle name="Normal 2 4 4 3 10" xfId="6573" xr:uid="{00000000-0005-0000-0000-0000F1280000}"/>
    <cellStyle name="Normal 2 4 4 3 2" xfId="766" xr:uid="{00000000-0005-0000-0000-0000F2280000}"/>
    <cellStyle name="Normal 2 4 4 3 2 2" xfId="1576" xr:uid="{00000000-0005-0000-0000-0000F3280000}"/>
    <cellStyle name="Normal 2 4 4 3 2 2 2" xfId="8231" xr:uid="{00000000-0005-0000-0000-0000F4280000}"/>
    <cellStyle name="Normal 2 4 4 3 2 2_SSL" xfId="16399" xr:uid="{00000000-0005-0000-0000-0000F5280000}"/>
    <cellStyle name="Normal 2 4 4 3 2 3" xfId="2396" xr:uid="{00000000-0005-0000-0000-0000F6280000}"/>
    <cellStyle name="Normal 2 4 4 3 2 3 2" xfId="9044" xr:uid="{00000000-0005-0000-0000-0000F7280000}"/>
    <cellStyle name="Normal 2 4 4 3 2 3_SSL" xfId="13811" xr:uid="{00000000-0005-0000-0000-0000F8280000}"/>
    <cellStyle name="Normal 2 4 4 3 2 4" xfId="3215" xr:uid="{00000000-0005-0000-0000-0000F9280000}"/>
    <cellStyle name="Normal 2 4 4 3 2 4 2" xfId="9860" xr:uid="{00000000-0005-0000-0000-0000FA280000}"/>
    <cellStyle name="Normal 2 4 4 3 2 4_SSL" xfId="15767" xr:uid="{00000000-0005-0000-0000-0000FB280000}"/>
    <cellStyle name="Normal 2 4 4 3 2 5" xfId="4036" xr:uid="{00000000-0005-0000-0000-0000FC280000}"/>
    <cellStyle name="Normal 2 4 4 3 2 5 2" xfId="10676" xr:uid="{00000000-0005-0000-0000-0000FD280000}"/>
    <cellStyle name="Normal 2 4 4 3 2 5_SSL" xfId="16053" xr:uid="{00000000-0005-0000-0000-0000FE280000}"/>
    <cellStyle name="Normal 2 4 4 3 2 6" xfId="4847" xr:uid="{00000000-0005-0000-0000-0000FF280000}"/>
    <cellStyle name="Normal 2 4 4 3 2 6 2" xfId="11486" xr:uid="{00000000-0005-0000-0000-000000290000}"/>
    <cellStyle name="Normal 2 4 4 3 2 6_SSL" xfId="12870" xr:uid="{00000000-0005-0000-0000-000001290000}"/>
    <cellStyle name="Normal 2 4 4 3 2 7" xfId="5657" xr:uid="{00000000-0005-0000-0000-000002290000}"/>
    <cellStyle name="Normal 2 4 4 3 2 7 2" xfId="12295" xr:uid="{00000000-0005-0000-0000-000003290000}"/>
    <cellStyle name="Normal 2 4 4 3 2 7_SSL" xfId="17432" xr:uid="{00000000-0005-0000-0000-000004290000}"/>
    <cellStyle name="Normal 2 4 4 3 2 8" xfId="7622" xr:uid="{00000000-0005-0000-0000-000005290000}"/>
    <cellStyle name="Normal 2 4 4 3 2 9" xfId="6574" xr:uid="{00000000-0005-0000-0000-000006290000}"/>
    <cellStyle name="Normal 2 4 4 3 2_SSL" xfId="14633" xr:uid="{00000000-0005-0000-0000-000007290000}"/>
    <cellStyle name="Normal 2 4 4 3 3" xfId="1575" xr:uid="{00000000-0005-0000-0000-000008290000}"/>
    <cellStyle name="Normal 2 4 4 3 3 2" xfId="8230" xr:uid="{00000000-0005-0000-0000-000009290000}"/>
    <cellStyle name="Normal 2 4 4 3 3_SSL" xfId="13472" xr:uid="{00000000-0005-0000-0000-00000A290000}"/>
    <cellStyle name="Normal 2 4 4 3 4" xfId="2395" xr:uid="{00000000-0005-0000-0000-00000B290000}"/>
    <cellStyle name="Normal 2 4 4 3 4 2" xfId="9043" xr:uid="{00000000-0005-0000-0000-00000C290000}"/>
    <cellStyle name="Normal 2 4 4 3 4_SSL" xfId="17031" xr:uid="{00000000-0005-0000-0000-00000D290000}"/>
    <cellStyle name="Normal 2 4 4 3 5" xfId="3214" xr:uid="{00000000-0005-0000-0000-00000E290000}"/>
    <cellStyle name="Normal 2 4 4 3 5 2" xfId="9859" xr:uid="{00000000-0005-0000-0000-00000F290000}"/>
    <cellStyle name="Normal 2 4 4 3 5_SSL" xfId="14461" xr:uid="{00000000-0005-0000-0000-000010290000}"/>
    <cellStyle name="Normal 2 4 4 3 6" xfId="4035" xr:uid="{00000000-0005-0000-0000-000011290000}"/>
    <cellStyle name="Normal 2 4 4 3 6 2" xfId="10675" xr:uid="{00000000-0005-0000-0000-000012290000}"/>
    <cellStyle name="Normal 2 4 4 3 6_SSL" xfId="15435" xr:uid="{00000000-0005-0000-0000-000013290000}"/>
    <cellStyle name="Normal 2 4 4 3 7" xfId="4846" xr:uid="{00000000-0005-0000-0000-000014290000}"/>
    <cellStyle name="Normal 2 4 4 3 7 2" xfId="11485" xr:uid="{00000000-0005-0000-0000-000015290000}"/>
    <cellStyle name="Normal 2 4 4 3 7_SSL" xfId="17268" xr:uid="{00000000-0005-0000-0000-000016290000}"/>
    <cellStyle name="Normal 2 4 4 3 8" xfId="5656" xr:uid="{00000000-0005-0000-0000-000017290000}"/>
    <cellStyle name="Normal 2 4 4 3 8 2" xfId="12294" xr:uid="{00000000-0005-0000-0000-000018290000}"/>
    <cellStyle name="Normal 2 4 4 3 8_SSL" xfId="13080" xr:uid="{00000000-0005-0000-0000-000019290000}"/>
    <cellStyle name="Normal 2 4 4 3 9" xfId="7238" xr:uid="{00000000-0005-0000-0000-00001A290000}"/>
    <cellStyle name="Normal 2 4 4 3_SSL" xfId="13391" xr:uid="{00000000-0005-0000-0000-00001B290000}"/>
    <cellStyle name="Normal 2 4 4 4" xfId="514" xr:uid="{00000000-0005-0000-0000-00001C290000}"/>
    <cellStyle name="Normal 2 4 4 4 2" xfId="1577" xr:uid="{00000000-0005-0000-0000-00001D290000}"/>
    <cellStyle name="Normal 2 4 4 4 2 2" xfId="8232" xr:uid="{00000000-0005-0000-0000-00001E290000}"/>
    <cellStyle name="Normal 2 4 4 4 2_SSL" xfId="15411" xr:uid="{00000000-0005-0000-0000-00001F290000}"/>
    <cellStyle name="Normal 2 4 4 4 3" xfId="2397" xr:uid="{00000000-0005-0000-0000-000020290000}"/>
    <cellStyle name="Normal 2 4 4 4 3 2" xfId="9045" xr:uid="{00000000-0005-0000-0000-000021290000}"/>
    <cellStyle name="Normal 2 4 4 4 3_SSL" xfId="17323" xr:uid="{00000000-0005-0000-0000-000022290000}"/>
    <cellStyle name="Normal 2 4 4 4 4" xfId="3216" xr:uid="{00000000-0005-0000-0000-000023290000}"/>
    <cellStyle name="Normal 2 4 4 4 4 2" xfId="9861" xr:uid="{00000000-0005-0000-0000-000024290000}"/>
    <cellStyle name="Normal 2 4 4 4 4_SSL" xfId="6122" xr:uid="{00000000-0005-0000-0000-000025290000}"/>
    <cellStyle name="Normal 2 4 4 4 5" xfId="4037" xr:uid="{00000000-0005-0000-0000-000026290000}"/>
    <cellStyle name="Normal 2 4 4 4 5 2" xfId="10677" xr:uid="{00000000-0005-0000-0000-000027290000}"/>
    <cellStyle name="Normal 2 4 4 4 5_SSL" xfId="16622" xr:uid="{00000000-0005-0000-0000-000028290000}"/>
    <cellStyle name="Normal 2 4 4 4 6" xfId="4848" xr:uid="{00000000-0005-0000-0000-000029290000}"/>
    <cellStyle name="Normal 2 4 4 4 6 2" xfId="11487" xr:uid="{00000000-0005-0000-0000-00002A290000}"/>
    <cellStyle name="Normal 2 4 4 4 6_SSL" xfId="13720" xr:uid="{00000000-0005-0000-0000-00002B290000}"/>
    <cellStyle name="Normal 2 4 4 4 7" xfId="5658" xr:uid="{00000000-0005-0000-0000-00002C290000}"/>
    <cellStyle name="Normal 2 4 4 4 7 2" xfId="12296" xr:uid="{00000000-0005-0000-0000-00002D290000}"/>
    <cellStyle name="Normal 2 4 4 4 7_SSL" xfId="15673" xr:uid="{00000000-0005-0000-0000-00002E290000}"/>
    <cellStyle name="Normal 2 4 4 4 8" xfId="7370" xr:uid="{00000000-0005-0000-0000-00002F290000}"/>
    <cellStyle name="Normal 2 4 4 4 9" xfId="6575" xr:uid="{00000000-0005-0000-0000-000030290000}"/>
    <cellStyle name="Normal 2 4 4 4_SSL" xfId="15808" xr:uid="{00000000-0005-0000-0000-000031290000}"/>
    <cellStyle name="Normal 2 4 4 5" xfId="1570" xr:uid="{00000000-0005-0000-0000-000032290000}"/>
    <cellStyle name="Normal 2 4 4 5 2" xfId="8225" xr:uid="{00000000-0005-0000-0000-000033290000}"/>
    <cellStyle name="Normal 2 4 4 5_SSL" xfId="16304" xr:uid="{00000000-0005-0000-0000-000034290000}"/>
    <cellStyle name="Normal 2 4 4 6" xfId="2390" xr:uid="{00000000-0005-0000-0000-000035290000}"/>
    <cellStyle name="Normal 2 4 4 6 2" xfId="9038" xr:uid="{00000000-0005-0000-0000-000036290000}"/>
    <cellStyle name="Normal 2 4 4 6_SSL" xfId="17986" xr:uid="{00000000-0005-0000-0000-000037290000}"/>
    <cellStyle name="Normal 2 4 4 7" xfId="3209" xr:uid="{00000000-0005-0000-0000-000038290000}"/>
    <cellStyle name="Normal 2 4 4 7 2" xfId="9854" xr:uid="{00000000-0005-0000-0000-000039290000}"/>
    <cellStyle name="Normal 2 4 4 7_SSL" xfId="14129" xr:uid="{00000000-0005-0000-0000-00003A290000}"/>
    <cellStyle name="Normal 2 4 4 8" xfId="4030" xr:uid="{00000000-0005-0000-0000-00003B290000}"/>
    <cellStyle name="Normal 2 4 4 8 2" xfId="10670" xr:uid="{00000000-0005-0000-0000-00003C290000}"/>
    <cellStyle name="Normal 2 4 4 8_SSL" xfId="15680" xr:uid="{00000000-0005-0000-0000-00003D290000}"/>
    <cellStyle name="Normal 2 4 4 9" xfId="4841" xr:uid="{00000000-0005-0000-0000-00003E290000}"/>
    <cellStyle name="Normal 2 4 4 9 2" xfId="11480" xr:uid="{00000000-0005-0000-0000-00003F290000}"/>
    <cellStyle name="Normal 2 4 4 9_SSL" xfId="12948" xr:uid="{00000000-0005-0000-0000-000040290000}"/>
    <cellStyle name="Normal 2 4 4_SSL" xfId="16239" xr:uid="{00000000-0005-0000-0000-000041290000}"/>
    <cellStyle name="Normal 2 4 5" xfId="134" xr:uid="{00000000-0005-0000-0000-000042290000}"/>
    <cellStyle name="Normal 2 4 5 10" xfId="7011" xr:uid="{00000000-0005-0000-0000-000043290000}"/>
    <cellStyle name="Normal 2 4 5 11" xfId="6576" xr:uid="{00000000-0005-0000-0000-000044290000}"/>
    <cellStyle name="Normal 2 4 5 2" xfId="380" xr:uid="{00000000-0005-0000-0000-000045290000}"/>
    <cellStyle name="Normal 2 4 5 2 10" xfId="6577" xr:uid="{00000000-0005-0000-0000-000046290000}"/>
    <cellStyle name="Normal 2 4 5 2 2" xfId="768" xr:uid="{00000000-0005-0000-0000-000047290000}"/>
    <cellStyle name="Normal 2 4 5 2 2 2" xfId="1580" xr:uid="{00000000-0005-0000-0000-000048290000}"/>
    <cellStyle name="Normal 2 4 5 2 2 2 2" xfId="8235" xr:uid="{00000000-0005-0000-0000-000049290000}"/>
    <cellStyle name="Normal 2 4 5 2 2 2_SSL" xfId="13567" xr:uid="{00000000-0005-0000-0000-00004A290000}"/>
    <cellStyle name="Normal 2 4 5 2 2 3" xfId="2400" xr:uid="{00000000-0005-0000-0000-00004B290000}"/>
    <cellStyle name="Normal 2 4 5 2 2 3 2" xfId="9048" xr:uid="{00000000-0005-0000-0000-00004C290000}"/>
    <cellStyle name="Normal 2 4 5 2 2 3_SSL" xfId="13782" xr:uid="{00000000-0005-0000-0000-00004D290000}"/>
    <cellStyle name="Normal 2 4 5 2 2 4" xfId="3219" xr:uid="{00000000-0005-0000-0000-00004E290000}"/>
    <cellStyle name="Normal 2 4 5 2 2 4 2" xfId="9864" xr:uid="{00000000-0005-0000-0000-00004F290000}"/>
    <cellStyle name="Normal 2 4 5 2 2 4_SSL" xfId="15747" xr:uid="{00000000-0005-0000-0000-000050290000}"/>
    <cellStyle name="Normal 2 4 5 2 2 5" xfId="4040" xr:uid="{00000000-0005-0000-0000-000051290000}"/>
    <cellStyle name="Normal 2 4 5 2 2 5 2" xfId="10680" xr:uid="{00000000-0005-0000-0000-000052290000}"/>
    <cellStyle name="Normal 2 4 5 2 2 5_SSL" xfId="15917" xr:uid="{00000000-0005-0000-0000-000053290000}"/>
    <cellStyle name="Normal 2 4 5 2 2 6" xfId="4851" xr:uid="{00000000-0005-0000-0000-000054290000}"/>
    <cellStyle name="Normal 2 4 5 2 2 6 2" xfId="11490" xr:uid="{00000000-0005-0000-0000-000055290000}"/>
    <cellStyle name="Normal 2 4 5 2 2 6_SSL" xfId="13423" xr:uid="{00000000-0005-0000-0000-000056290000}"/>
    <cellStyle name="Normal 2 4 5 2 2 7" xfId="5661" xr:uid="{00000000-0005-0000-0000-000057290000}"/>
    <cellStyle name="Normal 2 4 5 2 2 7 2" xfId="12299" xr:uid="{00000000-0005-0000-0000-000058290000}"/>
    <cellStyle name="Normal 2 4 5 2 2 7_SSL" xfId="16418" xr:uid="{00000000-0005-0000-0000-000059290000}"/>
    <cellStyle name="Normal 2 4 5 2 2 8" xfId="7624" xr:uid="{00000000-0005-0000-0000-00005A290000}"/>
    <cellStyle name="Normal 2 4 5 2 2 9" xfId="6578" xr:uid="{00000000-0005-0000-0000-00005B290000}"/>
    <cellStyle name="Normal 2 4 5 2 2_SSL" xfId="14024" xr:uid="{00000000-0005-0000-0000-00005C290000}"/>
    <cellStyle name="Normal 2 4 5 2 3" xfId="1579" xr:uid="{00000000-0005-0000-0000-00005D290000}"/>
    <cellStyle name="Normal 2 4 5 2 3 2" xfId="8234" xr:uid="{00000000-0005-0000-0000-00005E290000}"/>
    <cellStyle name="Normal 2 4 5 2 3_SSL" xfId="17489" xr:uid="{00000000-0005-0000-0000-00005F290000}"/>
    <cellStyle name="Normal 2 4 5 2 4" xfId="2399" xr:uid="{00000000-0005-0000-0000-000060290000}"/>
    <cellStyle name="Normal 2 4 5 2 4 2" xfId="9047" xr:uid="{00000000-0005-0000-0000-000061290000}"/>
    <cellStyle name="Normal 2 4 5 2 4_SSL" xfId="15168" xr:uid="{00000000-0005-0000-0000-000062290000}"/>
    <cellStyle name="Normal 2 4 5 2 5" xfId="3218" xr:uid="{00000000-0005-0000-0000-000063290000}"/>
    <cellStyle name="Normal 2 4 5 2 5 2" xfId="9863" xr:uid="{00000000-0005-0000-0000-000064290000}"/>
    <cellStyle name="Normal 2 4 5 2 5_SSL" xfId="15372" xr:uid="{00000000-0005-0000-0000-000065290000}"/>
    <cellStyle name="Normal 2 4 5 2 6" xfId="4039" xr:uid="{00000000-0005-0000-0000-000066290000}"/>
    <cellStyle name="Normal 2 4 5 2 6 2" xfId="10679" xr:uid="{00000000-0005-0000-0000-000067290000}"/>
    <cellStyle name="Normal 2 4 5 2 6_SSL" xfId="16135" xr:uid="{00000000-0005-0000-0000-000068290000}"/>
    <cellStyle name="Normal 2 4 5 2 7" xfId="4850" xr:uid="{00000000-0005-0000-0000-000069290000}"/>
    <cellStyle name="Normal 2 4 5 2 7 2" xfId="11489" xr:uid="{00000000-0005-0000-0000-00006A290000}"/>
    <cellStyle name="Normal 2 4 5 2 7_SSL" xfId="16247" xr:uid="{00000000-0005-0000-0000-00006B290000}"/>
    <cellStyle name="Normal 2 4 5 2 8" xfId="5660" xr:uid="{00000000-0005-0000-0000-00006C290000}"/>
    <cellStyle name="Normal 2 4 5 2 8 2" xfId="12298" xr:uid="{00000000-0005-0000-0000-00006D290000}"/>
    <cellStyle name="Normal 2 4 5 2 8_SSL" xfId="17174" xr:uid="{00000000-0005-0000-0000-00006E290000}"/>
    <cellStyle name="Normal 2 4 5 2 9" xfId="7240" xr:uid="{00000000-0005-0000-0000-00006F290000}"/>
    <cellStyle name="Normal 2 4 5 2_SSL" xfId="15801" xr:uid="{00000000-0005-0000-0000-000070290000}"/>
    <cellStyle name="Normal 2 4 5 3" xfId="539" xr:uid="{00000000-0005-0000-0000-000071290000}"/>
    <cellStyle name="Normal 2 4 5 3 2" xfId="1581" xr:uid="{00000000-0005-0000-0000-000072290000}"/>
    <cellStyle name="Normal 2 4 5 3 2 2" xfId="8236" xr:uid="{00000000-0005-0000-0000-000073290000}"/>
    <cellStyle name="Normal 2 4 5 3 2_SSL" xfId="16692" xr:uid="{00000000-0005-0000-0000-000074290000}"/>
    <cellStyle name="Normal 2 4 5 3 3" xfId="2401" xr:uid="{00000000-0005-0000-0000-000075290000}"/>
    <cellStyle name="Normal 2 4 5 3 3 2" xfId="9049" xr:uid="{00000000-0005-0000-0000-000076290000}"/>
    <cellStyle name="Normal 2 4 5 3 3_SSL" xfId="6090" xr:uid="{00000000-0005-0000-0000-000077290000}"/>
    <cellStyle name="Normal 2 4 5 3 4" xfId="3220" xr:uid="{00000000-0005-0000-0000-000078290000}"/>
    <cellStyle name="Normal 2 4 5 3 4 2" xfId="9865" xr:uid="{00000000-0005-0000-0000-000079290000}"/>
    <cellStyle name="Normal 2 4 5 3 4_SSL" xfId="12662" xr:uid="{00000000-0005-0000-0000-00007A290000}"/>
    <cellStyle name="Normal 2 4 5 3 5" xfId="4041" xr:uid="{00000000-0005-0000-0000-00007B290000}"/>
    <cellStyle name="Normal 2 4 5 3 5 2" xfId="10681" xr:uid="{00000000-0005-0000-0000-00007C290000}"/>
    <cellStyle name="Normal 2 4 5 3 5_SSL" xfId="15330" xr:uid="{00000000-0005-0000-0000-00007D290000}"/>
    <cellStyle name="Normal 2 4 5 3 6" xfId="4852" xr:uid="{00000000-0005-0000-0000-00007E290000}"/>
    <cellStyle name="Normal 2 4 5 3 6 2" xfId="11491" xr:uid="{00000000-0005-0000-0000-00007F290000}"/>
    <cellStyle name="Normal 2 4 5 3 6_SSL" xfId="17530" xr:uid="{00000000-0005-0000-0000-000080290000}"/>
    <cellStyle name="Normal 2 4 5 3 7" xfId="5662" xr:uid="{00000000-0005-0000-0000-000081290000}"/>
    <cellStyle name="Normal 2 4 5 3 7 2" xfId="12300" xr:uid="{00000000-0005-0000-0000-000082290000}"/>
    <cellStyle name="Normal 2 4 5 3 7_SSL" xfId="15786" xr:uid="{00000000-0005-0000-0000-000083290000}"/>
    <cellStyle name="Normal 2 4 5 3 8" xfId="7395" xr:uid="{00000000-0005-0000-0000-000084290000}"/>
    <cellStyle name="Normal 2 4 5 3 9" xfId="6579" xr:uid="{00000000-0005-0000-0000-000085290000}"/>
    <cellStyle name="Normal 2 4 5 3_SSL" xfId="17688" xr:uid="{00000000-0005-0000-0000-000086290000}"/>
    <cellStyle name="Normal 2 4 5 4" xfId="1578" xr:uid="{00000000-0005-0000-0000-000087290000}"/>
    <cellStyle name="Normal 2 4 5 4 2" xfId="8233" xr:uid="{00000000-0005-0000-0000-000088290000}"/>
    <cellStyle name="Normal 2 4 5 4_SSL" xfId="14781" xr:uid="{00000000-0005-0000-0000-000089290000}"/>
    <cellStyle name="Normal 2 4 5 5" xfId="2398" xr:uid="{00000000-0005-0000-0000-00008A290000}"/>
    <cellStyle name="Normal 2 4 5 5 2" xfId="9046" xr:uid="{00000000-0005-0000-0000-00008B290000}"/>
    <cellStyle name="Normal 2 4 5 5_SSL" xfId="16625" xr:uid="{00000000-0005-0000-0000-00008C290000}"/>
    <cellStyle name="Normal 2 4 5 6" xfId="3217" xr:uid="{00000000-0005-0000-0000-00008D290000}"/>
    <cellStyle name="Normal 2 4 5 6 2" xfId="9862" xr:uid="{00000000-0005-0000-0000-00008E290000}"/>
    <cellStyle name="Normal 2 4 5 6_SSL" xfId="17552" xr:uid="{00000000-0005-0000-0000-00008F290000}"/>
    <cellStyle name="Normal 2 4 5 7" xfId="4038" xr:uid="{00000000-0005-0000-0000-000090290000}"/>
    <cellStyle name="Normal 2 4 5 7 2" xfId="10678" xr:uid="{00000000-0005-0000-0000-000091290000}"/>
    <cellStyle name="Normal 2 4 5 7_SSL" xfId="13251" xr:uid="{00000000-0005-0000-0000-000092290000}"/>
    <cellStyle name="Normal 2 4 5 8" xfId="4849" xr:uid="{00000000-0005-0000-0000-000093290000}"/>
    <cellStyle name="Normal 2 4 5 8 2" xfId="11488" xr:uid="{00000000-0005-0000-0000-000094290000}"/>
    <cellStyle name="Normal 2 4 5 8_SSL" xfId="16736" xr:uid="{00000000-0005-0000-0000-000095290000}"/>
    <cellStyle name="Normal 2 4 5 9" xfId="5659" xr:uid="{00000000-0005-0000-0000-000096290000}"/>
    <cellStyle name="Normal 2 4 5 9 2" xfId="12297" xr:uid="{00000000-0005-0000-0000-000097290000}"/>
    <cellStyle name="Normal 2 4 5 9_SSL" xfId="17961" xr:uid="{00000000-0005-0000-0000-000098290000}"/>
    <cellStyle name="Normal 2 4 5_SSL" xfId="15863" xr:uid="{00000000-0005-0000-0000-000099290000}"/>
    <cellStyle name="Normal 2 4 6" xfId="159" xr:uid="{00000000-0005-0000-0000-00009A290000}"/>
    <cellStyle name="Normal 2 4 6 10" xfId="7036" xr:uid="{00000000-0005-0000-0000-00009B290000}"/>
    <cellStyle name="Normal 2 4 6 11" xfId="6580" xr:uid="{00000000-0005-0000-0000-00009C290000}"/>
    <cellStyle name="Normal 2 4 6 2" xfId="381" xr:uid="{00000000-0005-0000-0000-00009D290000}"/>
    <cellStyle name="Normal 2 4 6 2 10" xfId="6581" xr:uid="{00000000-0005-0000-0000-00009E290000}"/>
    <cellStyle name="Normal 2 4 6 2 2" xfId="769" xr:uid="{00000000-0005-0000-0000-00009F290000}"/>
    <cellStyle name="Normal 2 4 6 2 2 2" xfId="1584" xr:uid="{00000000-0005-0000-0000-0000A0290000}"/>
    <cellStyle name="Normal 2 4 6 2 2 2 2" xfId="8239" xr:uid="{00000000-0005-0000-0000-0000A1290000}"/>
    <cellStyle name="Normal 2 4 6 2 2 2_SSL" xfId="15579" xr:uid="{00000000-0005-0000-0000-0000A2290000}"/>
    <cellStyle name="Normal 2 4 6 2 2 3" xfId="2404" xr:uid="{00000000-0005-0000-0000-0000A3290000}"/>
    <cellStyle name="Normal 2 4 6 2 2 3 2" xfId="9052" xr:uid="{00000000-0005-0000-0000-0000A4290000}"/>
    <cellStyle name="Normal 2 4 6 2 2 3_SSL" xfId="16287" xr:uid="{00000000-0005-0000-0000-0000A5290000}"/>
    <cellStyle name="Normal 2 4 6 2 2 4" xfId="3223" xr:uid="{00000000-0005-0000-0000-0000A6290000}"/>
    <cellStyle name="Normal 2 4 6 2 2 4 2" xfId="9868" xr:uid="{00000000-0005-0000-0000-0000A7290000}"/>
    <cellStyle name="Normal 2 4 6 2 2 4_SSL" xfId="13162" xr:uid="{00000000-0005-0000-0000-0000A8290000}"/>
    <cellStyle name="Normal 2 4 6 2 2 5" xfId="4044" xr:uid="{00000000-0005-0000-0000-0000A9290000}"/>
    <cellStyle name="Normal 2 4 6 2 2 5 2" xfId="10684" xr:uid="{00000000-0005-0000-0000-0000AA290000}"/>
    <cellStyle name="Normal 2 4 6 2 2 5_SSL" xfId="16945" xr:uid="{00000000-0005-0000-0000-0000AB290000}"/>
    <cellStyle name="Normal 2 4 6 2 2 6" xfId="4855" xr:uid="{00000000-0005-0000-0000-0000AC290000}"/>
    <cellStyle name="Normal 2 4 6 2 2 6 2" xfId="11494" xr:uid="{00000000-0005-0000-0000-0000AD290000}"/>
    <cellStyle name="Normal 2 4 6 2 2 6_SSL" xfId="15339" xr:uid="{00000000-0005-0000-0000-0000AE290000}"/>
    <cellStyle name="Normal 2 4 6 2 2 7" xfId="5665" xr:uid="{00000000-0005-0000-0000-0000AF290000}"/>
    <cellStyle name="Normal 2 4 6 2 2 7 2" xfId="12303" xr:uid="{00000000-0005-0000-0000-0000B0290000}"/>
    <cellStyle name="Normal 2 4 6 2 2 7_SSL" xfId="16512" xr:uid="{00000000-0005-0000-0000-0000B1290000}"/>
    <cellStyle name="Normal 2 4 6 2 2 8" xfId="7625" xr:uid="{00000000-0005-0000-0000-0000B2290000}"/>
    <cellStyle name="Normal 2 4 6 2 2 9" xfId="6582" xr:uid="{00000000-0005-0000-0000-0000B3290000}"/>
    <cellStyle name="Normal 2 4 6 2 2_SSL" xfId="17593" xr:uid="{00000000-0005-0000-0000-0000B4290000}"/>
    <cellStyle name="Normal 2 4 6 2 3" xfId="1583" xr:uid="{00000000-0005-0000-0000-0000B5290000}"/>
    <cellStyle name="Normal 2 4 6 2 3 2" xfId="8238" xr:uid="{00000000-0005-0000-0000-0000B6290000}"/>
    <cellStyle name="Normal 2 4 6 2 3_SSL" xfId="13214" xr:uid="{00000000-0005-0000-0000-0000B7290000}"/>
    <cellStyle name="Normal 2 4 6 2 4" xfId="2403" xr:uid="{00000000-0005-0000-0000-0000B8290000}"/>
    <cellStyle name="Normal 2 4 6 2 4 2" xfId="9051" xr:uid="{00000000-0005-0000-0000-0000B9290000}"/>
    <cellStyle name="Normal 2 4 6 2 4_SSL" xfId="15400" xr:uid="{00000000-0005-0000-0000-0000BA290000}"/>
    <cellStyle name="Normal 2 4 6 2 5" xfId="3222" xr:uid="{00000000-0005-0000-0000-0000BB290000}"/>
    <cellStyle name="Normal 2 4 6 2 5 2" xfId="9867" xr:uid="{00000000-0005-0000-0000-0000BC290000}"/>
    <cellStyle name="Normal 2 4 6 2 5_SSL" xfId="14979" xr:uid="{00000000-0005-0000-0000-0000BD290000}"/>
    <cellStyle name="Normal 2 4 6 2 6" xfId="4043" xr:uid="{00000000-0005-0000-0000-0000BE290000}"/>
    <cellStyle name="Normal 2 4 6 2 6 2" xfId="10683" xr:uid="{00000000-0005-0000-0000-0000BF290000}"/>
    <cellStyle name="Normal 2 4 6 2 6_SSL" xfId="13242" xr:uid="{00000000-0005-0000-0000-0000C0290000}"/>
    <cellStyle name="Normal 2 4 6 2 7" xfId="4854" xr:uid="{00000000-0005-0000-0000-0000C1290000}"/>
    <cellStyle name="Normal 2 4 6 2 7 2" xfId="11493" xr:uid="{00000000-0005-0000-0000-0000C2290000}"/>
    <cellStyle name="Normal 2 4 6 2 7_SSL" xfId="13911" xr:uid="{00000000-0005-0000-0000-0000C3290000}"/>
    <cellStyle name="Normal 2 4 6 2 8" xfId="5664" xr:uid="{00000000-0005-0000-0000-0000C4290000}"/>
    <cellStyle name="Normal 2 4 6 2 8 2" xfId="12302" xr:uid="{00000000-0005-0000-0000-0000C5290000}"/>
    <cellStyle name="Normal 2 4 6 2 8_SSL" xfId="12627" xr:uid="{00000000-0005-0000-0000-0000C6290000}"/>
    <cellStyle name="Normal 2 4 6 2 9" xfId="7241" xr:uid="{00000000-0005-0000-0000-0000C7290000}"/>
    <cellStyle name="Normal 2 4 6 2_SSL" xfId="13413" xr:uid="{00000000-0005-0000-0000-0000C8290000}"/>
    <cellStyle name="Normal 2 4 6 3" xfId="564" xr:uid="{00000000-0005-0000-0000-0000C9290000}"/>
    <cellStyle name="Normal 2 4 6 3 2" xfId="1585" xr:uid="{00000000-0005-0000-0000-0000CA290000}"/>
    <cellStyle name="Normal 2 4 6 3 2 2" xfId="8240" xr:uid="{00000000-0005-0000-0000-0000CB290000}"/>
    <cellStyle name="Normal 2 4 6 3 2_SSL" xfId="16619" xr:uid="{00000000-0005-0000-0000-0000CC290000}"/>
    <cellStyle name="Normal 2 4 6 3 3" xfId="2405" xr:uid="{00000000-0005-0000-0000-0000CD290000}"/>
    <cellStyle name="Normal 2 4 6 3 3 2" xfId="9053" xr:uid="{00000000-0005-0000-0000-0000CE290000}"/>
    <cellStyle name="Normal 2 4 6 3 3_SSL" xfId="6024" xr:uid="{00000000-0005-0000-0000-0000CF290000}"/>
    <cellStyle name="Normal 2 4 6 3 4" xfId="3224" xr:uid="{00000000-0005-0000-0000-0000D0290000}"/>
    <cellStyle name="Normal 2 4 6 3 4 2" xfId="9869" xr:uid="{00000000-0005-0000-0000-0000D1290000}"/>
    <cellStyle name="Normal 2 4 6 3 4_SSL" xfId="17766" xr:uid="{00000000-0005-0000-0000-0000D2290000}"/>
    <cellStyle name="Normal 2 4 6 3 5" xfId="4045" xr:uid="{00000000-0005-0000-0000-0000D3290000}"/>
    <cellStyle name="Normal 2 4 6 3 5 2" xfId="10685" xr:uid="{00000000-0005-0000-0000-0000D4290000}"/>
    <cellStyle name="Normal 2 4 6 3 5_SSL" xfId="17444" xr:uid="{00000000-0005-0000-0000-0000D5290000}"/>
    <cellStyle name="Normal 2 4 6 3 6" xfId="4856" xr:uid="{00000000-0005-0000-0000-0000D6290000}"/>
    <cellStyle name="Normal 2 4 6 3 6 2" xfId="11495" xr:uid="{00000000-0005-0000-0000-0000D7290000}"/>
    <cellStyle name="Normal 2 4 6 3 6_SSL" xfId="13555" xr:uid="{00000000-0005-0000-0000-0000D8290000}"/>
    <cellStyle name="Normal 2 4 6 3 7" xfId="5666" xr:uid="{00000000-0005-0000-0000-0000D9290000}"/>
    <cellStyle name="Normal 2 4 6 3 7 2" xfId="12304" xr:uid="{00000000-0005-0000-0000-0000DA290000}"/>
    <cellStyle name="Normal 2 4 6 3 7_SSL" xfId="13083" xr:uid="{00000000-0005-0000-0000-0000DB290000}"/>
    <cellStyle name="Normal 2 4 6 3 8" xfId="7420" xr:uid="{00000000-0005-0000-0000-0000DC290000}"/>
    <cellStyle name="Normal 2 4 6 3 9" xfId="6583" xr:uid="{00000000-0005-0000-0000-0000DD290000}"/>
    <cellStyle name="Normal 2 4 6 3_SSL" xfId="15365" xr:uid="{00000000-0005-0000-0000-0000DE290000}"/>
    <cellStyle name="Normal 2 4 6 4" xfId="1582" xr:uid="{00000000-0005-0000-0000-0000DF290000}"/>
    <cellStyle name="Normal 2 4 6 4 2" xfId="8237" xr:uid="{00000000-0005-0000-0000-0000E0290000}"/>
    <cellStyle name="Normal 2 4 6 4_SSL" xfId="14076" xr:uid="{00000000-0005-0000-0000-0000E1290000}"/>
    <cellStyle name="Normal 2 4 6 5" xfId="2402" xr:uid="{00000000-0005-0000-0000-0000E2290000}"/>
    <cellStyle name="Normal 2 4 6 5 2" xfId="9050" xr:uid="{00000000-0005-0000-0000-0000E3290000}"/>
    <cellStyle name="Normal 2 4 6 5_SSL" xfId="12824" xr:uid="{00000000-0005-0000-0000-0000E4290000}"/>
    <cellStyle name="Normal 2 4 6 6" xfId="3221" xr:uid="{00000000-0005-0000-0000-0000E5290000}"/>
    <cellStyle name="Normal 2 4 6 6 2" xfId="9866" xr:uid="{00000000-0005-0000-0000-0000E6290000}"/>
    <cellStyle name="Normal 2 4 6 6_SSL" xfId="12637" xr:uid="{00000000-0005-0000-0000-0000E7290000}"/>
    <cellStyle name="Normal 2 4 6 7" xfId="4042" xr:uid="{00000000-0005-0000-0000-0000E8290000}"/>
    <cellStyle name="Normal 2 4 6 7 2" xfId="10682" xr:uid="{00000000-0005-0000-0000-0000E9290000}"/>
    <cellStyle name="Normal 2 4 6 7_SSL" xfId="14552" xr:uid="{00000000-0005-0000-0000-0000EA290000}"/>
    <cellStyle name="Normal 2 4 6 8" xfId="4853" xr:uid="{00000000-0005-0000-0000-0000EB290000}"/>
    <cellStyle name="Normal 2 4 6 8 2" xfId="11492" xr:uid="{00000000-0005-0000-0000-0000EC290000}"/>
    <cellStyle name="Normal 2 4 6 8_SSL" xfId="17752" xr:uid="{00000000-0005-0000-0000-0000ED290000}"/>
    <cellStyle name="Normal 2 4 6 9" xfId="5663" xr:uid="{00000000-0005-0000-0000-0000EE290000}"/>
    <cellStyle name="Normal 2 4 6 9 2" xfId="12301" xr:uid="{00000000-0005-0000-0000-0000EF290000}"/>
    <cellStyle name="Normal 2 4 6 9_SSL" xfId="15165" xr:uid="{00000000-0005-0000-0000-0000F0290000}"/>
    <cellStyle name="Normal 2 4 6_SSL" xfId="14674" xr:uid="{00000000-0005-0000-0000-0000F1290000}"/>
    <cellStyle name="Normal 2 4 7" xfId="230" xr:uid="{00000000-0005-0000-0000-0000F2290000}"/>
    <cellStyle name="Normal 2 4 7 10" xfId="7107" xr:uid="{00000000-0005-0000-0000-0000F3290000}"/>
    <cellStyle name="Normal 2 4 7 11" xfId="6584" xr:uid="{00000000-0005-0000-0000-0000F4290000}"/>
    <cellStyle name="Normal 2 4 7 2" xfId="382" xr:uid="{00000000-0005-0000-0000-0000F5290000}"/>
    <cellStyle name="Normal 2 4 7 2 10" xfId="6585" xr:uid="{00000000-0005-0000-0000-0000F6290000}"/>
    <cellStyle name="Normal 2 4 7 2 2" xfId="770" xr:uid="{00000000-0005-0000-0000-0000F7290000}"/>
    <cellStyle name="Normal 2 4 7 2 2 2" xfId="1588" xr:uid="{00000000-0005-0000-0000-0000F8290000}"/>
    <cellStyle name="Normal 2 4 7 2 2 2 2" xfId="8243" xr:uid="{00000000-0005-0000-0000-0000F9290000}"/>
    <cellStyle name="Normal 2 4 7 2 2 2_SSL" xfId="15684" xr:uid="{00000000-0005-0000-0000-0000FA290000}"/>
    <cellStyle name="Normal 2 4 7 2 2 3" xfId="2408" xr:uid="{00000000-0005-0000-0000-0000FB290000}"/>
    <cellStyle name="Normal 2 4 7 2 2 3 2" xfId="9056" xr:uid="{00000000-0005-0000-0000-0000FC290000}"/>
    <cellStyle name="Normal 2 4 7 2 2 3_SSL" xfId="6104" xr:uid="{00000000-0005-0000-0000-0000FD290000}"/>
    <cellStyle name="Normal 2 4 7 2 2 4" xfId="3227" xr:uid="{00000000-0005-0000-0000-0000FE290000}"/>
    <cellStyle name="Normal 2 4 7 2 2 4 2" xfId="9872" xr:uid="{00000000-0005-0000-0000-0000FF290000}"/>
    <cellStyle name="Normal 2 4 7 2 2 4_SSL" xfId="16219" xr:uid="{00000000-0005-0000-0000-0000002A0000}"/>
    <cellStyle name="Normal 2 4 7 2 2 5" xfId="4048" xr:uid="{00000000-0005-0000-0000-0000012A0000}"/>
    <cellStyle name="Normal 2 4 7 2 2 5 2" xfId="10688" xr:uid="{00000000-0005-0000-0000-0000022A0000}"/>
    <cellStyle name="Normal 2 4 7 2 2 5_SSL" xfId="16077" xr:uid="{00000000-0005-0000-0000-0000032A0000}"/>
    <cellStyle name="Normal 2 4 7 2 2 6" xfId="4859" xr:uid="{00000000-0005-0000-0000-0000042A0000}"/>
    <cellStyle name="Normal 2 4 7 2 2 6 2" xfId="11498" xr:uid="{00000000-0005-0000-0000-0000052A0000}"/>
    <cellStyle name="Normal 2 4 7 2 2 6_SSL" xfId="13085" xr:uid="{00000000-0005-0000-0000-0000062A0000}"/>
    <cellStyle name="Normal 2 4 7 2 2 7" xfId="5669" xr:uid="{00000000-0005-0000-0000-0000072A0000}"/>
    <cellStyle name="Normal 2 4 7 2 2 7 2" xfId="12307" xr:uid="{00000000-0005-0000-0000-0000082A0000}"/>
    <cellStyle name="Normal 2 4 7 2 2 7_SSL" xfId="18005" xr:uid="{00000000-0005-0000-0000-0000092A0000}"/>
    <cellStyle name="Normal 2 4 7 2 2 8" xfId="7626" xr:uid="{00000000-0005-0000-0000-00000A2A0000}"/>
    <cellStyle name="Normal 2 4 7 2 2 9" xfId="6586" xr:uid="{00000000-0005-0000-0000-00000B2A0000}"/>
    <cellStyle name="Normal 2 4 7 2 2_SSL" xfId="14324" xr:uid="{00000000-0005-0000-0000-00000C2A0000}"/>
    <cellStyle name="Normal 2 4 7 2 3" xfId="1587" xr:uid="{00000000-0005-0000-0000-00000D2A0000}"/>
    <cellStyle name="Normal 2 4 7 2 3 2" xfId="8242" xr:uid="{00000000-0005-0000-0000-00000E2A0000}"/>
    <cellStyle name="Normal 2 4 7 2 3_SSL" xfId="13588" xr:uid="{00000000-0005-0000-0000-00000F2A0000}"/>
    <cellStyle name="Normal 2 4 7 2 4" xfId="2407" xr:uid="{00000000-0005-0000-0000-0000102A0000}"/>
    <cellStyle name="Normal 2 4 7 2 4 2" xfId="9055" xr:uid="{00000000-0005-0000-0000-0000112A0000}"/>
    <cellStyle name="Normal 2 4 7 2 4_SSL" xfId="16369" xr:uid="{00000000-0005-0000-0000-0000122A0000}"/>
    <cellStyle name="Normal 2 4 7 2 5" xfId="3226" xr:uid="{00000000-0005-0000-0000-0000132A0000}"/>
    <cellStyle name="Normal 2 4 7 2 5 2" xfId="9871" xr:uid="{00000000-0005-0000-0000-0000142A0000}"/>
    <cellStyle name="Normal 2 4 7 2 5_SSL" xfId="17763" xr:uid="{00000000-0005-0000-0000-0000152A0000}"/>
    <cellStyle name="Normal 2 4 7 2 6" xfId="4047" xr:uid="{00000000-0005-0000-0000-0000162A0000}"/>
    <cellStyle name="Normal 2 4 7 2 6 2" xfId="10687" xr:uid="{00000000-0005-0000-0000-0000172A0000}"/>
    <cellStyle name="Normal 2 4 7 2 6_SSL" xfId="14017" xr:uid="{00000000-0005-0000-0000-0000182A0000}"/>
    <cellStyle name="Normal 2 4 7 2 7" xfId="4858" xr:uid="{00000000-0005-0000-0000-0000192A0000}"/>
    <cellStyle name="Normal 2 4 7 2 7 2" xfId="11497" xr:uid="{00000000-0005-0000-0000-00001A2A0000}"/>
    <cellStyle name="Normal 2 4 7 2 7_SSL" xfId="14224" xr:uid="{00000000-0005-0000-0000-00001B2A0000}"/>
    <cellStyle name="Normal 2 4 7 2 8" xfId="5668" xr:uid="{00000000-0005-0000-0000-00001C2A0000}"/>
    <cellStyle name="Normal 2 4 7 2 8 2" xfId="12306" xr:uid="{00000000-0005-0000-0000-00001D2A0000}"/>
    <cellStyle name="Normal 2 4 7 2 8_SSL" xfId="14281" xr:uid="{00000000-0005-0000-0000-00001E2A0000}"/>
    <cellStyle name="Normal 2 4 7 2 9" xfId="7242" xr:uid="{00000000-0005-0000-0000-00001F2A0000}"/>
    <cellStyle name="Normal 2 4 7 2_SSL" xfId="17378" xr:uid="{00000000-0005-0000-0000-0000202A0000}"/>
    <cellStyle name="Normal 2 4 7 3" xfId="635" xr:uid="{00000000-0005-0000-0000-0000212A0000}"/>
    <cellStyle name="Normal 2 4 7 3 2" xfId="1589" xr:uid="{00000000-0005-0000-0000-0000222A0000}"/>
    <cellStyle name="Normal 2 4 7 3 2 2" xfId="8244" xr:uid="{00000000-0005-0000-0000-0000232A0000}"/>
    <cellStyle name="Normal 2 4 7 3 2_SSL" xfId="13055" xr:uid="{00000000-0005-0000-0000-0000242A0000}"/>
    <cellStyle name="Normal 2 4 7 3 3" xfId="2409" xr:uid="{00000000-0005-0000-0000-0000252A0000}"/>
    <cellStyle name="Normal 2 4 7 3 3 2" xfId="9057" xr:uid="{00000000-0005-0000-0000-0000262A0000}"/>
    <cellStyle name="Normal 2 4 7 3 3_SSL" xfId="13814" xr:uid="{00000000-0005-0000-0000-0000272A0000}"/>
    <cellStyle name="Normal 2 4 7 3 4" xfId="3228" xr:uid="{00000000-0005-0000-0000-0000282A0000}"/>
    <cellStyle name="Normal 2 4 7 3 4 2" xfId="9873" xr:uid="{00000000-0005-0000-0000-0000292A0000}"/>
    <cellStyle name="Normal 2 4 7 3 4_SSL" xfId="13495" xr:uid="{00000000-0005-0000-0000-00002A2A0000}"/>
    <cellStyle name="Normal 2 4 7 3 5" xfId="4049" xr:uid="{00000000-0005-0000-0000-00002B2A0000}"/>
    <cellStyle name="Normal 2 4 7 3 5 2" xfId="10689" xr:uid="{00000000-0005-0000-0000-00002C2A0000}"/>
    <cellStyle name="Normal 2 4 7 3 5_SSL" xfId="12800" xr:uid="{00000000-0005-0000-0000-00002D2A0000}"/>
    <cellStyle name="Normal 2 4 7 3 6" xfId="4860" xr:uid="{00000000-0005-0000-0000-00002E2A0000}"/>
    <cellStyle name="Normal 2 4 7 3 6 2" xfId="11499" xr:uid="{00000000-0005-0000-0000-00002F2A0000}"/>
    <cellStyle name="Normal 2 4 7 3 6_SSL" xfId="17894" xr:uid="{00000000-0005-0000-0000-0000302A0000}"/>
    <cellStyle name="Normal 2 4 7 3 7" xfId="5670" xr:uid="{00000000-0005-0000-0000-0000312A0000}"/>
    <cellStyle name="Normal 2 4 7 3 7 2" xfId="12308" xr:uid="{00000000-0005-0000-0000-0000322A0000}"/>
    <cellStyle name="Normal 2 4 7 3 7_SSL" xfId="17089" xr:uid="{00000000-0005-0000-0000-0000332A0000}"/>
    <cellStyle name="Normal 2 4 7 3 8" xfId="7491" xr:uid="{00000000-0005-0000-0000-0000342A0000}"/>
    <cellStyle name="Normal 2 4 7 3 9" xfId="6587" xr:uid="{00000000-0005-0000-0000-0000352A0000}"/>
    <cellStyle name="Normal 2 4 7 3_SSL" xfId="14475" xr:uid="{00000000-0005-0000-0000-0000362A0000}"/>
    <cellStyle name="Normal 2 4 7 4" xfId="1586" xr:uid="{00000000-0005-0000-0000-0000372A0000}"/>
    <cellStyle name="Normal 2 4 7 4 2" xfId="8241" xr:uid="{00000000-0005-0000-0000-0000382A0000}"/>
    <cellStyle name="Normal 2 4 7 4_SSL" xfId="16483" xr:uid="{00000000-0005-0000-0000-0000392A0000}"/>
    <cellStyle name="Normal 2 4 7 5" xfId="2406" xr:uid="{00000000-0005-0000-0000-00003A2A0000}"/>
    <cellStyle name="Normal 2 4 7 5 2" xfId="9054" xr:uid="{00000000-0005-0000-0000-00003B2A0000}"/>
    <cellStyle name="Normal 2 4 7 5_SSL" xfId="14814" xr:uid="{00000000-0005-0000-0000-00003C2A0000}"/>
    <cellStyle name="Normal 2 4 7 6" xfId="3225" xr:uid="{00000000-0005-0000-0000-00003D2A0000}"/>
    <cellStyle name="Normal 2 4 7 6 2" xfId="9870" xr:uid="{00000000-0005-0000-0000-00003E2A0000}"/>
    <cellStyle name="Normal 2 4 7 6_SSL" xfId="15772" xr:uid="{00000000-0005-0000-0000-00003F2A0000}"/>
    <cellStyle name="Normal 2 4 7 7" xfId="4046" xr:uid="{00000000-0005-0000-0000-0000402A0000}"/>
    <cellStyle name="Normal 2 4 7 7 2" xfId="10686" xr:uid="{00000000-0005-0000-0000-0000412A0000}"/>
    <cellStyle name="Normal 2 4 7 7_SSL" xfId="17564" xr:uid="{00000000-0005-0000-0000-0000422A0000}"/>
    <cellStyle name="Normal 2 4 7 8" xfId="4857" xr:uid="{00000000-0005-0000-0000-0000432A0000}"/>
    <cellStyle name="Normal 2 4 7 8 2" xfId="11496" xr:uid="{00000000-0005-0000-0000-0000442A0000}"/>
    <cellStyle name="Normal 2 4 7 8_SSL" xfId="15945" xr:uid="{00000000-0005-0000-0000-0000452A0000}"/>
    <cellStyle name="Normal 2 4 7 9" xfId="5667" xr:uid="{00000000-0005-0000-0000-0000462A0000}"/>
    <cellStyle name="Normal 2 4 7 9 2" xfId="12305" xr:uid="{00000000-0005-0000-0000-0000472A0000}"/>
    <cellStyle name="Normal 2 4 7 9_SSL" xfId="13207" xr:uid="{00000000-0005-0000-0000-0000482A0000}"/>
    <cellStyle name="Normal 2 4 7_SSL" xfId="15241" xr:uid="{00000000-0005-0000-0000-0000492A0000}"/>
    <cellStyle name="Normal 2 4 8" xfId="367" xr:uid="{00000000-0005-0000-0000-00004A2A0000}"/>
    <cellStyle name="Normal 2 4 8 10" xfId="6588" xr:uid="{00000000-0005-0000-0000-00004B2A0000}"/>
    <cellStyle name="Normal 2 4 8 2" xfId="755" xr:uid="{00000000-0005-0000-0000-00004C2A0000}"/>
    <cellStyle name="Normal 2 4 8 2 2" xfId="1591" xr:uid="{00000000-0005-0000-0000-00004D2A0000}"/>
    <cellStyle name="Normal 2 4 8 2 2 2" xfId="8246" xr:uid="{00000000-0005-0000-0000-00004E2A0000}"/>
    <cellStyle name="Normal 2 4 8 2 2_SSL" xfId="14272" xr:uid="{00000000-0005-0000-0000-00004F2A0000}"/>
    <cellStyle name="Normal 2 4 8 2 3" xfId="2411" xr:uid="{00000000-0005-0000-0000-0000502A0000}"/>
    <cellStyle name="Normal 2 4 8 2 3 2" xfId="9059" xr:uid="{00000000-0005-0000-0000-0000512A0000}"/>
    <cellStyle name="Normal 2 4 8 2 3_SSL" xfId="12881" xr:uid="{00000000-0005-0000-0000-0000522A0000}"/>
    <cellStyle name="Normal 2 4 8 2 4" xfId="3230" xr:uid="{00000000-0005-0000-0000-0000532A0000}"/>
    <cellStyle name="Normal 2 4 8 2 4 2" xfId="9875" xr:uid="{00000000-0005-0000-0000-0000542A0000}"/>
    <cellStyle name="Normal 2 4 8 2 4_SSL" xfId="17354" xr:uid="{00000000-0005-0000-0000-0000552A0000}"/>
    <cellStyle name="Normal 2 4 8 2 5" xfId="4051" xr:uid="{00000000-0005-0000-0000-0000562A0000}"/>
    <cellStyle name="Normal 2 4 8 2 5 2" xfId="10691" xr:uid="{00000000-0005-0000-0000-0000572A0000}"/>
    <cellStyle name="Normal 2 4 8 2 5_SSL" xfId="17366" xr:uid="{00000000-0005-0000-0000-0000582A0000}"/>
    <cellStyle name="Normal 2 4 8 2 6" xfId="4862" xr:uid="{00000000-0005-0000-0000-0000592A0000}"/>
    <cellStyle name="Normal 2 4 8 2 6 2" xfId="11501" xr:uid="{00000000-0005-0000-0000-00005A2A0000}"/>
    <cellStyle name="Normal 2 4 8 2 6_SSL" xfId="12976" xr:uid="{00000000-0005-0000-0000-00005B2A0000}"/>
    <cellStyle name="Normal 2 4 8 2 7" xfId="5672" xr:uid="{00000000-0005-0000-0000-00005C2A0000}"/>
    <cellStyle name="Normal 2 4 8 2 7 2" xfId="12310" xr:uid="{00000000-0005-0000-0000-00005D2A0000}"/>
    <cellStyle name="Normal 2 4 8 2 7_SSL" xfId="13820" xr:uid="{00000000-0005-0000-0000-00005E2A0000}"/>
    <cellStyle name="Normal 2 4 8 2 8" xfId="7611" xr:uid="{00000000-0005-0000-0000-00005F2A0000}"/>
    <cellStyle name="Normal 2 4 8 2 9" xfId="6589" xr:uid="{00000000-0005-0000-0000-0000602A0000}"/>
    <cellStyle name="Normal 2 4 8 2_SSL" xfId="13292" xr:uid="{00000000-0005-0000-0000-0000612A0000}"/>
    <cellStyle name="Normal 2 4 8 3" xfId="1590" xr:uid="{00000000-0005-0000-0000-0000622A0000}"/>
    <cellStyle name="Normal 2 4 8 3 2" xfId="8245" xr:uid="{00000000-0005-0000-0000-0000632A0000}"/>
    <cellStyle name="Normal 2 4 8 3_SSL" xfId="15375" xr:uid="{00000000-0005-0000-0000-0000642A0000}"/>
    <cellStyle name="Normal 2 4 8 4" xfId="2410" xr:uid="{00000000-0005-0000-0000-0000652A0000}"/>
    <cellStyle name="Normal 2 4 8 4 2" xfId="9058" xr:uid="{00000000-0005-0000-0000-0000662A0000}"/>
    <cellStyle name="Normal 2 4 8 4_SSL" xfId="14059" xr:uid="{00000000-0005-0000-0000-0000672A0000}"/>
    <cellStyle name="Normal 2 4 8 5" xfId="3229" xr:uid="{00000000-0005-0000-0000-0000682A0000}"/>
    <cellStyle name="Normal 2 4 8 5 2" xfId="9874" xr:uid="{00000000-0005-0000-0000-0000692A0000}"/>
    <cellStyle name="Normal 2 4 8 5_SSL" xfId="17486" xr:uid="{00000000-0005-0000-0000-00006A2A0000}"/>
    <cellStyle name="Normal 2 4 8 6" xfId="4050" xr:uid="{00000000-0005-0000-0000-00006B2A0000}"/>
    <cellStyle name="Normal 2 4 8 6 2" xfId="10690" xr:uid="{00000000-0005-0000-0000-00006C2A0000}"/>
    <cellStyle name="Normal 2 4 8 6_SSL" xfId="13182" xr:uid="{00000000-0005-0000-0000-00006D2A0000}"/>
    <cellStyle name="Normal 2 4 8 7" xfId="4861" xr:uid="{00000000-0005-0000-0000-00006E2A0000}"/>
    <cellStyle name="Normal 2 4 8 7 2" xfId="11500" xr:uid="{00000000-0005-0000-0000-00006F2A0000}"/>
    <cellStyle name="Normal 2 4 8 7_SSL" xfId="13569" xr:uid="{00000000-0005-0000-0000-0000702A0000}"/>
    <cellStyle name="Normal 2 4 8 8" xfId="5671" xr:uid="{00000000-0005-0000-0000-0000712A0000}"/>
    <cellStyle name="Normal 2 4 8 8 2" xfId="12309" xr:uid="{00000000-0005-0000-0000-0000722A0000}"/>
    <cellStyle name="Normal 2 4 8 8_SSL" xfId="17161" xr:uid="{00000000-0005-0000-0000-0000732A0000}"/>
    <cellStyle name="Normal 2 4 8 9" xfId="7227" xr:uid="{00000000-0005-0000-0000-0000742A0000}"/>
    <cellStyle name="Normal 2 4 8_SSL" xfId="16107" xr:uid="{00000000-0005-0000-0000-0000752A0000}"/>
    <cellStyle name="Normal 2 4 9" xfId="468" xr:uid="{00000000-0005-0000-0000-0000762A0000}"/>
    <cellStyle name="Normal 2 4 9 2" xfId="1592" xr:uid="{00000000-0005-0000-0000-0000772A0000}"/>
    <cellStyle name="Normal 2 4 9 2 2" xfId="8247" xr:uid="{00000000-0005-0000-0000-0000782A0000}"/>
    <cellStyle name="Normal 2 4 9 2_SSL" xfId="12895" xr:uid="{00000000-0005-0000-0000-0000792A0000}"/>
    <cellStyle name="Normal 2 4 9 3" xfId="2412" xr:uid="{00000000-0005-0000-0000-00007A2A0000}"/>
    <cellStyle name="Normal 2 4 9 3 2" xfId="9060" xr:uid="{00000000-0005-0000-0000-00007B2A0000}"/>
    <cellStyle name="Normal 2 4 9 3_SSL" xfId="17983" xr:uid="{00000000-0005-0000-0000-00007C2A0000}"/>
    <cellStyle name="Normal 2 4 9 4" xfId="3231" xr:uid="{00000000-0005-0000-0000-00007D2A0000}"/>
    <cellStyle name="Normal 2 4 9 4 2" xfId="9876" xr:uid="{00000000-0005-0000-0000-00007E2A0000}"/>
    <cellStyle name="Normal 2 4 9 4_SSL" xfId="15055" xr:uid="{00000000-0005-0000-0000-00007F2A0000}"/>
    <cellStyle name="Normal 2 4 9 5" xfId="4052" xr:uid="{00000000-0005-0000-0000-0000802A0000}"/>
    <cellStyle name="Normal 2 4 9 5 2" xfId="10692" xr:uid="{00000000-0005-0000-0000-0000812A0000}"/>
    <cellStyle name="Normal 2 4 9 5_SSL" xfId="17518" xr:uid="{00000000-0005-0000-0000-0000822A0000}"/>
    <cellStyle name="Normal 2 4 9 6" xfId="4863" xr:uid="{00000000-0005-0000-0000-0000832A0000}"/>
    <cellStyle name="Normal 2 4 9 6 2" xfId="11502" xr:uid="{00000000-0005-0000-0000-0000842A0000}"/>
    <cellStyle name="Normal 2 4 9 6_SSL" xfId="18023" xr:uid="{00000000-0005-0000-0000-0000852A0000}"/>
    <cellStyle name="Normal 2 4 9 7" xfId="5673" xr:uid="{00000000-0005-0000-0000-0000862A0000}"/>
    <cellStyle name="Normal 2 4 9 7 2" xfId="12311" xr:uid="{00000000-0005-0000-0000-0000872A0000}"/>
    <cellStyle name="Normal 2 4 9 7_SSL" xfId="16856" xr:uid="{00000000-0005-0000-0000-0000882A0000}"/>
    <cellStyle name="Normal 2 4 9 8" xfId="7324" xr:uid="{00000000-0005-0000-0000-0000892A0000}"/>
    <cellStyle name="Normal 2 4 9 9" xfId="6590" xr:uid="{00000000-0005-0000-0000-00008A2A0000}"/>
    <cellStyle name="Normal 2 4 9_SSL" xfId="17370" xr:uid="{00000000-0005-0000-0000-00008B2A0000}"/>
    <cellStyle name="Normal 2 4_SSL" xfId="17819" xr:uid="{00000000-0005-0000-0000-00008C2A0000}"/>
    <cellStyle name="Normal 2 5" xfId="48" xr:uid="{00000000-0005-0000-0000-00008D2A0000}"/>
    <cellStyle name="Normal 2 5 10" xfId="1593" xr:uid="{00000000-0005-0000-0000-00008E2A0000}"/>
    <cellStyle name="Normal 2 5 10 2" xfId="8248" xr:uid="{00000000-0005-0000-0000-00008F2A0000}"/>
    <cellStyle name="Normal 2 5 10_SSL" xfId="17375" xr:uid="{00000000-0005-0000-0000-0000902A0000}"/>
    <cellStyle name="Normal 2 5 11" xfId="2413" xr:uid="{00000000-0005-0000-0000-0000912A0000}"/>
    <cellStyle name="Normal 2 5 11 2" xfId="9061" xr:uid="{00000000-0005-0000-0000-0000922A0000}"/>
    <cellStyle name="Normal 2 5 11_SSL" xfId="17377" xr:uid="{00000000-0005-0000-0000-0000932A0000}"/>
    <cellStyle name="Normal 2 5 12" xfId="3232" xr:uid="{00000000-0005-0000-0000-0000942A0000}"/>
    <cellStyle name="Normal 2 5 12 2" xfId="9877" xr:uid="{00000000-0005-0000-0000-0000952A0000}"/>
    <cellStyle name="Normal 2 5 12_SSL" xfId="15964" xr:uid="{00000000-0005-0000-0000-0000962A0000}"/>
    <cellStyle name="Normal 2 5 13" xfId="4053" xr:uid="{00000000-0005-0000-0000-0000972A0000}"/>
    <cellStyle name="Normal 2 5 13 2" xfId="10693" xr:uid="{00000000-0005-0000-0000-0000982A0000}"/>
    <cellStyle name="Normal 2 5 13_SSL" xfId="17615" xr:uid="{00000000-0005-0000-0000-0000992A0000}"/>
    <cellStyle name="Normal 2 5 14" xfId="4864" xr:uid="{00000000-0005-0000-0000-00009A2A0000}"/>
    <cellStyle name="Normal 2 5 14 2" xfId="11503" xr:uid="{00000000-0005-0000-0000-00009B2A0000}"/>
    <cellStyle name="Normal 2 5 14_SSL" xfId="16585" xr:uid="{00000000-0005-0000-0000-00009C2A0000}"/>
    <cellStyle name="Normal 2 5 15" xfId="5674" xr:uid="{00000000-0005-0000-0000-00009D2A0000}"/>
    <cellStyle name="Normal 2 5 15 2" xfId="12312" xr:uid="{00000000-0005-0000-0000-00009E2A0000}"/>
    <cellStyle name="Normal 2 5 15_SSL" xfId="17845" xr:uid="{00000000-0005-0000-0000-00009F2A0000}"/>
    <cellStyle name="Normal 2 5 16" xfId="6944" xr:uid="{00000000-0005-0000-0000-0000A02A0000}"/>
    <cellStyle name="Normal 2 5 17" xfId="6591" xr:uid="{00000000-0005-0000-0000-0000A12A0000}"/>
    <cellStyle name="Normal 2 5 2" xfId="72" xr:uid="{00000000-0005-0000-0000-0000A22A0000}"/>
    <cellStyle name="Normal 2 5 2 10" xfId="2414" xr:uid="{00000000-0005-0000-0000-0000A32A0000}"/>
    <cellStyle name="Normal 2 5 2 10 2" xfId="9062" xr:uid="{00000000-0005-0000-0000-0000A42A0000}"/>
    <cellStyle name="Normal 2 5 2 10_SSL" xfId="15036" xr:uid="{00000000-0005-0000-0000-0000A52A0000}"/>
    <cellStyle name="Normal 2 5 2 11" xfId="3233" xr:uid="{00000000-0005-0000-0000-0000A62A0000}"/>
    <cellStyle name="Normal 2 5 2 11 2" xfId="9878" xr:uid="{00000000-0005-0000-0000-0000A72A0000}"/>
    <cellStyle name="Normal 2 5 2 11_SSL" xfId="16225" xr:uid="{00000000-0005-0000-0000-0000A82A0000}"/>
    <cellStyle name="Normal 2 5 2 12" xfId="4054" xr:uid="{00000000-0005-0000-0000-0000A92A0000}"/>
    <cellStyle name="Normal 2 5 2 12 2" xfId="10694" xr:uid="{00000000-0005-0000-0000-0000AA2A0000}"/>
    <cellStyle name="Normal 2 5 2 12_SSL" xfId="13272" xr:uid="{00000000-0005-0000-0000-0000AB2A0000}"/>
    <cellStyle name="Normal 2 5 2 13" xfId="4865" xr:uid="{00000000-0005-0000-0000-0000AC2A0000}"/>
    <cellStyle name="Normal 2 5 2 13 2" xfId="11504" xr:uid="{00000000-0005-0000-0000-0000AD2A0000}"/>
    <cellStyle name="Normal 2 5 2 13_SSL" xfId="18020" xr:uid="{00000000-0005-0000-0000-0000AE2A0000}"/>
    <cellStyle name="Normal 2 5 2 14" xfId="5675" xr:uid="{00000000-0005-0000-0000-0000AF2A0000}"/>
    <cellStyle name="Normal 2 5 2 14 2" xfId="12313" xr:uid="{00000000-0005-0000-0000-0000B02A0000}"/>
    <cellStyle name="Normal 2 5 2 14_SSL" xfId="13765" xr:uid="{00000000-0005-0000-0000-0000B12A0000}"/>
    <cellStyle name="Normal 2 5 2 15" xfId="6957" xr:uid="{00000000-0005-0000-0000-0000B22A0000}"/>
    <cellStyle name="Normal 2 5 2 16" xfId="6592" xr:uid="{00000000-0005-0000-0000-0000B32A0000}"/>
    <cellStyle name="Normal 2 5 2 2" xfId="101" xr:uid="{00000000-0005-0000-0000-0000B42A0000}"/>
    <cellStyle name="Normal 2 5 2 2 10" xfId="5676" xr:uid="{00000000-0005-0000-0000-0000B52A0000}"/>
    <cellStyle name="Normal 2 5 2 2 10 2" xfId="12314" xr:uid="{00000000-0005-0000-0000-0000B62A0000}"/>
    <cellStyle name="Normal 2 5 2 2 10_SSL" xfId="17984" xr:uid="{00000000-0005-0000-0000-0000B72A0000}"/>
    <cellStyle name="Normal 2 5 2 2 11" xfId="6980" xr:uid="{00000000-0005-0000-0000-0000B82A0000}"/>
    <cellStyle name="Normal 2 5 2 2 12" xfId="6593" xr:uid="{00000000-0005-0000-0000-0000B92A0000}"/>
    <cellStyle name="Normal 2 5 2 2 2" xfId="199" xr:uid="{00000000-0005-0000-0000-0000BA2A0000}"/>
    <cellStyle name="Normal 2 5 2 2 2 10" xfId="7076" xr:uid="{00000000-0005-0000-0000-0000BB2A0000}"/>
    <cellStyle name="Normal 2 5 2 2 2 11" xfId="6594" xr:uid="{00000000-0005-0000-0000-0000BC2A0000}"/>
    <cellStyle name="Normal 2 5 2 2 2 2" xfId="386" xr:uid="{00000000-0005-0000-0000-0000BD2A0000}"/>
    <cellStyle name="Normal 2 5 2 2 2 2 10" xfId="6595" xr:uid="{00000000-0005-0000-0000-0000BE2A0000}"/>
    <cellStyle name="Normal 2 5 2 2 2 2 2" xfId="774" xr:uid="{00000000-0005-0000-0000-0000BF2A0000}"/>
    <cellStyle name="Normal 2 5 2 2 2 2 2 2" xfId="1598" xr:uid="{00000000-0005-0000-0000-0000C02A0000}"/>
    <cellStyle name="Normal 2 5 2 2 2 2 2 2 2" xfId="8253" xr:uid="{00000000-0005-0000-0000-0000C12A0000}"/>
    <cellStyle name="Normal 2 5 2 2 2 2 2 2_SSL" xfId="13111" xr:uid="{00000000-0005-0000-0000-0000C22A0000}"/>
    <cellStyle name="Normal 2 5 2 2 2 2 2 3" xfId="2418" xr:uid="{00000000-0005-0000-0000-0000C32A0000}"/>
    <cellStyle name="Normal 2 5 2 2 2 2 2 3 2" xfId="9066" xr:uid="{00000000-0005-0000-0000-0000C42A0000}"/>
    <cellStyle name="Normal 2 5 2 2 2 2 2 3_SSL" xfId="15226" xr:uid="{00000000-0005-0000-0000-0000C52A0000}"/>
    <cellStyle name="Normal 2 5 2 2 2 2 2 4" xfId="3237" xr:uid="{00000000-0005-0000-0000-0000C62A0000}"/>
    <cellStyle name="Normal 2 5 2 2 2 2 2 4 2" xfId="9882" xr:uid="{00000000-0005-0000-0000-0000C72A0000}"/>
    <cellStyle name="Normal 2 5 2 2 2 2 2 4_SSL" xfId="14356" xr:uid="{00000000-0005-0000-0000-0000C82A0000}"/>
    <cellStyle name="Normal 2 5 2 2 2 2 2 5" xfId="4058" xr:uid="{00000000-0005-0000-0000-0000C92A0000}"/>
    <cellStyle name="Normal 2 5 2 2 2 2 2 5 2" xfId="10698" xr:uid="{00000000-0005-0000-0000-0000CA2A0000}"/>
    <cellStyle name="Normal 2 5 2 2 2 2 2 5_SSL" xfId="17551" xr:uid="{00000000-0005-0000-0000-0000CB2A0000}"/>
    <cellStyle name="Normal 2 5 2 2 2 2 2 6" xfId="4869" xr:uid="{00000000-0005-0000-0000-0000CC2A0000}"/>
    <cellStyle name="Normal 2 5 2 2 2 2 2 6 2" xfId="11508" xr:uid="{00000000-0005-0000-0000-0000CD2A0000}"/>
    <cellStyle name="Normal 2 5 2 2 2 2 2 6_SSL" xfId="15163" xr:uid="{00000000-0005-0000-0000-0000CE2A0000}"/>
    <cellStyle name="Normal 2 5 2 2 2 2 2 7" xfId="5679" xr:uid="{00000000-0005-0000-0000-0000CF2A0000}"/>
    <cellStyle name="Normal 2 5 2 2 2 2 2 7 2" xfId="12317" xr:uid="{00000000-0005-0000-0000-0000D02A0000}"/>
    <cellStyle name="Normal 2 5 2 2 2 2 2 7_SSL" xfId="15001" xr:uid="{00000000-0005-0000-0000-0000D12A0000}"/>
    <cellStyle name="Normal 2 5 2 2 2 2 2 8" xfId="7630" xr:uid="{00000000-0005-0000-0000-0000D22A0000}"/>
    <cellStyle name="Normal 2 5 2 2 2 2 2 9" xfId="6596" xr:uid="{00000000-0005-0000-0000-0000D32A0000}"/>
    <cellStyle name="Normal 2 5 2 2 2 2 2_SSL" xfId="16126" xr:uid="{00000000-0005-0000-0000-0000D42A0000}"/>
    <cellStyle name="Normal 2 5 2 2 2 2 3" xfId="1597" xr:uid="{00000000-0005-0000-0000-0000D52A0000}"/>
    <cellStyle name="Normal 2 5 2 2 2 2 3 2" xfId="8252" xr:uid="{00000000-0005-0000-0000-0000D62A0000}"/>
    <cellStyle name="Normal 2 5 2 2 2 2 3_SSL" xfId="16694" xr:uid="{00000000-0005-0000-0000-0000D72A0000}"/>
    <cellStyle name="Normal 2 5 2 2 2 2 4" xfId="2417" xr:uid="{00000000-0005-0000-0000-0000D82A0000}"/>
    <cellStyle name="Normal 2 5 2 2 2 2 4 2" xfId="9065" xr:uid="{00000000-0005-0000-0000-0000D92A0000}"/>
    <cellStyle name="Normal 2 5 2 2 2 2 4_SSL" xfId="15446" xr:uid="{00000000-0005-0000-0000-0000DA2A0000}"/>
    <cellStyle name="Normal 2 5 2 2 2 2 5" xfId="3236" xr:uid="{00000000-0005-0000-0000-0000DB2A0000}"/>
    <cellStyle name="Normal 2 5 2 2 2 2 5 2" xfId="9881" xr:uid="{00000000-0005-0000-0000-0000DC2A0000}"/>
    <cellStyle name="Normal 2 5 2 2 2 2 5_SSL" xfId="15205" xr:uid="{00000000-0005-0000-0000-0000DD2A0000}"/>
    <cellStyle name="Normal 2 5 2 2 2 2 6" xfId="4057" xr:uid="{00000000-0005-0000-0000-0000DE2A0000}"/>
    <cellStyle name="Normal 2 5 2 2 2 2 6 2" xfId="10697" xr:uid="{00000000-0005-0000-0000-0000DF2A0000}"/>
    <cellStyle name="Normal 2 5 2 2 2 2 6_SSL" xfId="16460" xr:uid="{00000000-0005-0000-0000-0000E02A0000}"/>
    <cellStyle name="Normal 2 5 2 2 2 2 7" xfId="4868" xr:uid="{00000000-0005-0000-0000-0000E12A0000}"/>
    <cellStyle name="Normal 2 5 2 2 2 2 7 2" xfId="11507" xr:uid="{00000000-0005-0000-0000-0000E22A0000}"/>
    <cellStyle name="Normal 2 5 2 2 2 2 7_SSL" xfId="13197" xr:uid="{00000000-0005-0000-0000-0000E32A0000}"/>
    <cellStyle name="Normal 2 5 2 2 2 2 8" xfId="5678" xr:uid="{00000000-0005-0000-0000-0000E42A0000}"/>
    <cellStyle name="Normal 2 5 2 2 2 2 8 2" xfId="12316" xr:uid="{00000000-0005-0000-0000-0000E52A0000}"/>
    <cellStyle name="Normal 2 5 2 2 2 2 8_SSL" xfId="14775" xr:uid="{00000000-0005-0000-0000-0000E62A0000}"/>
    <cellStyle name="Normal 2 5 2 2 2 2 9" xfId="7246" xr:uid="{00000000-0005-0000-0000-0000E72A0000}"/>
    <cellStyle name="Normal 2 5 2 2 2 2_SSL" xfId="17457" xr:uid="{00000000-0005-0000-0000-0000E82A0000}"/>
    <cellStyle name="Normal 2 5 2 2 2 3" xfId="604" xr:uid="{00000000-0005-0000-0000-0000E92A0000}"/>
    <cellStyle name="Normal 2 5 2 2 2 3 2" xfId="1599" xr:uid="{00000000-0005-0000-0000-0000EA2A0000}"/>
    <cellStyle name="Normal 2 5 2 2 2 3 2 2" xfId="8254" xr:uid="{00000000-0005-0000-0000-0000EB2A0000}"/>
    <cellStyle name="Normal 2 5 2 2 2 3 2_SSL" xfId="17747" xr:uid="{00000000-0005-0000-0000-0000EC2A0000}"/>
    <cellStyle name="Normal 2 5 2 2 2 3 3" xfId="2419" xr:uid="{00000000-0005-0000-0000-0000ED2A0000}"/>
    <cellStyle name="Normal 2 5 2 2 2 3 3 2" xfId="9067" xr:uid="{00000000-0005-0000-0000-0000EE2A0000}"/>
    <cellStyle name="Normal 2 5 2 2 2 3 3_SSL" xfId="13334" xr:uid="{00000000-0005-0000-0000-0000EF2A0000}"/>
    <cellStyle name="Normal 2 5 2 2 2 3 4" xfId="3238" xr:uid="{00000000-0005-0000-0000-0000F02A0000}"/>
    <cellStyle name="Normal 2 5 2 2 2 3 4 2" xfId="9883" xr:uid="{00000000-0005-0000-0000-0000F12A0000}"/>
    <cellStyle name="Normal 2 5 2 2 2 3 4_SSL" xfId="15173" xr:uid="{00000000-0005-0000-0000-0000F22A0000}"/>
    <cellStyle name="Normal 2 5 2 2 2 3 5" xfId="4059" xr:uid="{00000000-0005-0000-0000-0000F32A0000}"/>
    <cellStyle name="Normal 2 5 2 2 2 3 5 2" xfId="10699" xr:uid="{00000000-0005-0000-0000-0000F42A0000}"/>
    <cellStyle name="Normal 2 5 2 2 2 3 5_SSL" xfId="13963" xr:uid="{00000000-0005-0000-0000-0000F52A0000}"/>
    <cellStyle name="Normal 2 5 2 2 2 3 6" xfId="4870" xr:uid="{00000000-0005-0000-0000-0000F62A0000}"/>
    <cellStyle name="Normal 2 5 2 2 2 3 6 2" xfId="11509" xr:uid="{00000000-0005-0000-0000-0000F72A0000}"/>
    <cellStyle name="Normal 2 5 2 2 2 3 6_SSL" xfId="14605" xr:uid="{00000000-0005-0000-0000-0000F82A0000}"/>
    <cellStyle name="Normal 2 5 2 2 2 3 7" xfId="5680" xr:uid="{00000000-0005-0000-0000-0000F92A0000}"/>
    <cellStyle name="Normal 2 5 2 2 2 3 7 2" xfId="12318" xr:uid="{00000000-0005-0000-0000-0000FA2A0000}"/>
    <cellStyle name="Normal 2 5 2 2 2 3 7_SSL" xfId="15141" xr:uid="{00000000-0005-0000-0000-0000FB2A0000}"/>
    <cellStyle name="Normal 2 5 2 2 2 3 8" xfId="7460" xr:uid="{00000000-0005-0000-0000-0000FC2A0000}"/>
    <cellStyle name="Normal 2 5 2 2 2 3 9" xfId="6597" xr:uid="{00000000-0005-0000-0000-0000FD2A0000}"/>
    <cellStyle name="Normal 2 5 2 2 2 3_SSL" xfId="16105" xr:uid="{00000000-0005-0000-0000-0000FE2A0000}"/>
    <cellStyle name="Normal 2 5 2 2 2 4" xfId="1596" xr:uid="{00000000-0005-0000-0000-0000FF2A0000}"/>
    <cellStyle name="Normal 2 5 2 2 2 4 2" xfId="8251" xr:uid="{00000000-0005-0000-0000-0000002B0000}"/>
    <cellStyle name="Normal 2 5 2 2 2 4_SSL" xfId="17454" xr:uid="{00000000-0005-0000-0000-0000012B0000}"/>
    <cellStyle name="Normal 2 5 2 2 2 5" xfId="2416" xr:uid="{00000000-0005-0000-0000-0000022B0000}"/>
    <cellStyle name="Normal 2 5 2 2 2 5 2" xfId="9064" xr:uid="{00000000-0005-0000-0000-0000032B0000}"/>
    <cellStyle name="Normal 2 5 2 2 2 5_SSL" xfId="13202" xr:uid="{00000000-0005-0000-0000-0000042B0000}"/>
    <cellStyle name="Normal 2 5 2 2 2 6" xfId="3235" xr:uid="{00000000-0005-0000-0000-0000052B0000}"/>
    <cellStyle name="Normal 2 5 2 2 2 6 2" xfId="9880" xr:uid="{00000000-0005-0000-0000-0000062B0000}"/>
    <cellStyle name="Normal 2 5 2 2 2 6_SSL" xfId="17376" xr:uid="{00000000-0005-0000-0000-0000072B0000}"/>
    <cellStyle name="Normal 2 5 2 2 2 7" xfId="4056" xr:uid="{00000000-0005-0000-0000-0000082B0000}"/>
    <cellStyle name="Normal 2 5 2 2 2 7 2" xfId="10696" xr:uid="{00000000-0005-0000-0000-0000092B0000}"/>
    <cellStyle name="Normal 2 5 2 2 2 7_SSL" xfId="14634" xr:uid="{00000000-0005-0000-0000-00000A2B0000}"/>
    <cellStyle name="Normal 2 5 2 2 2 8" xfId="4867" xr:uid="{00000000-0005-0000-0000-00000B2B0000}"/>
    <cellStyle name="Normal 2 5 2 2 2 8 2" xfId="11506" xr:uid="{00000000-0005-0000-0000-00000C2B0000}"/>
    <cellStyle name="Normal 2 5 2 2 2 8_SSL" xfId="17193" xr:uid="{00000000-0005-0000-0000-00000D2B0000}"/>
    <cellStyle name="Normal 2 5 2 2 2 9" xfId="5677" xr:uid="{00000000-0005-0000-0000-00000E2B0000}"/>
    <cellStyle name="Normal 2 5 2 2 2 9 2" xfId="12315" xr:uid="{00000000-0005-0000-0000-00000F2B0000}"/>
    <cellStyle name="Normal 2 5 2 2 2 9_SSL" xfId="13579" xr:uid="{00000000-0005-0000-0000-0000102B0000}"/>
    <cellStyle name="Normal 2 5 2 2 2_SSL" xfId="15607" xr:uid="{00000000-0005-0000-0000-0000112B0000}"/>
    <cellStyle name="Normal 2 5 2 2 3" xfId="385" xr:uid="{00000000-0005-0000-0000-0000122B0000}"/>
    <cellStyle name="Normal 2 5 2 2 3 10" xfId="6598" xr:uid="{00000000-0005-0000-0000-0000132B0000}"/>
    <cellStyle name="Normal 2 5 2 2 3 2" xfId="773" xr:uid="{00000000-0005-0000-0000-0000142B0000}"/>
    <cellStyle name="Normal 2 5 2 2 3 2 2" xfId="1601" xr:uid="{00000000-0005-0000-0000-0000152B0000}"/>
    <cellStyle name="Normal 2 5 2 2 3 2 2 2" xfId="8256" xr:uid="{00000000-0005-0000-0000-0000162B0000}"/>
    <cellStyle name="Normal 2 5 2 2 3 2 2_SSL" xfId="14013" xr:uid="{00000000-0005-0000-0000-0000172B0000}"/>
    <cellStyle name="Normal 2 5 2 2 3 2 3" xfId="2421" xr:uid="{00000000-0005-0000-0000-0000182B0000}"/>
    <cellStyle name="Normal 2 5 2 2 3 2 3 2" xfId="9069" xr:uid="{00000000-0005-0000-0000-0000192B0000}"/>
    <cellStyle name="Normal 2 5 2 2 3 2 3_SSL" xfId="16293" xr:uid="{00000000-0005-0000-0000-00001A2B0000}"/>
    <cellStyle name="Normal 2 5 2 2 3 2 4" xfId="3240" xr:uid="{00000000-0005-0000-0000-00001B2B0000}"/>
    <cellStyle name="Normal 2 5 2 2 3 2 4 2" xfId="9885" xr:uid="{00000000-0005-0000-0000-00001C2B0000}"/>
    <cellStyle name="Normal 2 5 2 2 3 2 4_SSL" xfId="17531" xr:uid="{00000000-0005-0000-0000-00001D2B0000}"/>
    <cellStyle name="Normal 2 5 2 2 3 2 5" xfId="4061" xr:uid="{00000000-0005-0000-0000-00001E2B0000}"/>
    <cellStyle name="Normal 2 5 2 2 3 2 5 2" xfId="10701" xr:uid="{00000000-0005-0000-0000-00001F2B0000}"/>
    <cellStyle name="Normal 2 5 2 2 3 2 5_SSL" xfId="15810" xr:uid="{00000000-0005-0000-0000-0000202B0000}"/>
    <cellStyle name="Normal 2 5 2 2 3 2 6" xfId="4872" xr:uid="{00000000-0005-0000-0000-0000212B0000}"/>
    <cellStyle name="Normal 2 5 2 2 3 2 6 2" xfId="11511" xr:uid="{00000000-0005-0000-0000-0000222B0000}"/>
    <cellStyle name="Normal 2 5 2 2 3 2 6_SSL" xfId="12889" xr:uid="{00000000-0005-0000-0000-0000232B0000}"/>
    <cellStyle name="Normal 2 5 2 2 3 2 7" xfId="5682" xr:uid="{00000000-0005-0000-0000-0000242B0000}"/>
    <cellStyle name="Normal 2 5 2 2 3 2 7 2" xfId="12320" xr:uid="{00000000-0005-0000-0000-0000252B0000}"/>
    <cellStyle name="Normal 2 5 2 2 3 2 7_SSL" xfId="14807" xr:uid="{00000000-0005-0000-0000-0000262B0000}"/>
    <cellStyle name="Normal 2 5 2 2 3 2 8" xfId="7629" xr:uid="{00000000-0005-0000-0000-0000272B0000}"/>
    <cellStyle name="Normal 2 5 2 2 3 2 9" xfId="6599" xr:uid="{00000000-0005-0000-0000-0000282B0000}"/>
    <cellStyle name="Normal 2 5 2 2 3 2_SSL" xfId="16781" xr:uid="{00000000-0005-0000-0000-0000292B0000}"/>
    <cellStyle name="Normal 2 5 2 2 3 3" xfId="1600" xr:uid="{00000000-0005-0000-0000-00002A2B0000}"/>
    <cellStyle name="Normal 2 5 2 2 3 3 2" xfId="8255" xr:uid="{00000000-0005-0000-0000-00002B2B0000}"/>
    <cellStyle name="Normal 2 5 2 2 3 3_SSL" xfId="16706" xr:uid="{00000000-0005-0000-0000-00002C2B0000}"/>
    <cellStyle name="Normal 2 5 2 2 3 4" xfId="2420" xr:uid="{00000000-0005-0000-0000-00002D2B0000}"/>
    <cellStyle name="Normal 2 5 2 2 3 4 2" xfId="9068" xr:uid="{00000000-0005-0000-0000-00002E2B0000}"/>
    <cellStyle name="Normal 2 5 2 2 3 4_SSL" xfId="15136" xr:uid="{00000000-0005-0000-0000-00002F2B0000}"/>
    <cellStyle name="Normal 2 5 2 2 3 5" xfId="3239" xr:uid="{00000000-0005-0000-0000-0000302B0000}"/>
    <cellStyle name="Normal 2 5 2 2 3 5 2" xfId="9884" xr:uid="{00000000-0005-0000-0000-0000312B0000}"/>
    <cellStyle name="Normal 2 5 2 2 3 5_SSL" xfId="15135" xr:uid="{00000000-0005-0000-0000-0000322B0000}"/>
    <cellStyle name="Normal 2 5 2 2 3 6" xfId="4060" xr:uid="{00000000-0005-0000-0000-0000332B0000}"/>
    <cellStyle name="Normal 2 5 2 2 3 6 2" xfId="10700" xr:uid="{00000000-0005-0000-0000-0000342B0000}"/>
    <cellStyle name="Normal 2 5 2 2 3 6_SSL" xfId="16311" xr:uid="{00000000-0005-0000-0000-0000352B0000}"/>
    <cellStyle name="Normal 2 5 2 2 3 7" xfId="4871" xr:uid="{00000000-0005-0000-0000-0000362B0000}"/>
    <cellStyle name="Normal 2 5 2 2 3 7 2" xfId="11510" xr:uid="{00000000-0005-0000-0000-0000372B0000}"/>
    <cellStyle name="Normal 2 5 2 2 3 7_SSL" xfId="13286" xr:uid="{00000000-0005-0000-0000-0000382B0000}"/>
    <cellStyle name="Normal 2 5 2 2 3 8" xfId="5681" xr:uid="{00000000-0005-0000-0000-0000392B0000}"/>
    <cellStyle name="Normal 2 5 2 2 3 8 2" xfId="12319" xr:uid="{00000000-0005-0000-0000-00003A2B0000}"/>
    <cellStyle name="Normal 2 5 2 2 3 8_SSL" xfId="12727" xr:uid="{00000000-0005-0000-0000-00003B2B0000}"/>
    <cellStyle name="Normal 2 5 2 2 3 9" xfId="7245" xr:uid="{00000000-0005-0000-0000-00003C2B0000}"/>
    <cellStyle name="Normal 2 5 2 2 3_SSL" xfId="17513" xr:uid="{00000000-0005-0000-0000-00003D2B0000}"/>
    <cellStyle name="Normal 2 5 2 2 4" xfId="508" xr:uid="{00000000-0005-0000-0000-00003E2B0000}"/>
    <cellStyle name="Normal 2 5 2 2 4 2" xfId="1602" xr:uid="{00000000-0005-0000-0000-00003F2B0000}"/>
    <cellStyle name="Normal 2 5 2 2 4 2 2" xfId="8257" xr:uid="{00000000-0005-0000-0000-0000402B0000}"/>
    <cellStyle name="Normal 2 5 2 2 4 2_SSL" xfId="13582" xr:uid="{00000000-0005-0000-0000-0000412B0000}"/>
    <cellStyle name="Normal 2 5 2 2 4 3" xfId="2422" xr:uid="{00000000-0005-0000-0000-0000422B0000}"/>
    <cellStyle name="Normal 2 5 2 2 4 3 2" xfId="9070" xr:uid="{00000000-0005-0000-0000-0000432B0000}"/>
    <cellStyle name="Normal 2 5 2 2 4 3_SSL" xfId="13661" xr:uid="{00000000-0005-0000-0000-0000442B0000}"/>
    <cellStyle name="Normal 2 5 2 2 4 4" xfId="3241" xr:uid="{00000000-0005-0000-0000-0000452B0000}"/>
    <cellStyle name="Normal 2 5 2 2 4 4 2" xfId="9886" xr:uid="{00000000-0005-0000-0000-0000462B0000}"/>
    <cellStyle name="Normal 2 5 2 2 4 4_SSL" xfId="15380" xr:uid="{00000000-0005-0000-0000-0000472B0000}"/>
    <cellStyle name="Normal 2 5 2 2 4 5" xfId="4062" xr:uid="{00000000-0005-0000-0000-0000482B0000}"/>
    <cellStyle name="Normal 2 5 2 2 4 5 2" xfId="10702" xr:uid="{00000000-0005-0000-0000-0000492B0000}"/>
    <cellStyle name="Normal 2 5 2 2 4 5_SSL" xfId="16690" xr:uid="{00000000-0005-0000-0000-00004A2B0000}"/>
    <cellStyle name="Normal 2 5 2 2 4 6" xfId="4873" xr:uid="{00000000-0005-0000-0000-00004B2B0000}"/>
    <cellStyle name="Normal 2 5 2 2 4 6 2" xfId="11512" xr:uid="{00000000-0005-0000-0000-00004C2B0000}"/>
    <cellStyle name="Normal 2 5 2 2 4 6_SSL" xfId="15388" xr:uid="{00000000-0005-0000-0000-00004D2B0000}"/>
    <cellStyle name="Normal 2 5 2 2 4 7" xfId="5683" xr:uid="{00000000-0005-0000-0000-00004E2B0000}"/>
    <cellStyle name="Normal 2 5 2 2 4 7 2" xfId="12321" xr:uid="{00000000-0005-0000-0000-00004F2B0000}"/>
    <cellStyle name="Normal 2 5 2 2 4 7_SSL" xfId="13840" xr:uid="{00000000-0005-0000-0000-0000502B0000}"/>
    <cellStyle name="Normal 2 5 2 2 4 8" xfId="7364" xr:uid="{00000000-0005-0000-0000-0000512B0000}"/>
    <cellStyle name="Normal 2 5 2 2 4 9" xfId="6600" xr:uid="{00000000-0005-0000-0000-0000522B0000}"/>
    <cellStyle name="Normal 2 5 2 2 4_SSL" xfId="16675" xr:uid="{00000000-0005-0000-0000-0000532B0000}"/>
    <cellStyle name="Normal 2 5 2 2 5" xfId="1595" xr:uid="{00000000-0005-0000-0000-0000542B0000}"/>
    <cellStyle name="Normal 2 5 2 2 5 2" xfId="8250" xr:uid="{00000000-0005-0000-0000-0000552B0000}"/>
    <cellStyle name="Normal 2 5 2 2 5_SSL" xfId="15742" xr:uid="{00000000-0005-0000-0000-0000562B0000}"/>
    <cellStyle name="Normal 2 5 2 2 6" xfId="2415" xr:uid="{00000000-0005-0000-0000-0000572B0000}"/>
    <cellStyle name="Normal 2 5 2 2 6 2" xfId="9063" xr:uid="{00000000-0005-0000-0000-0000582B0000}"/>
    <cellStyle name="Normal 2 5 2 2 6_SSL" xfId="15475" xr:uid="{00000000-0005-0000-0000-0000592B0000}"/>
    <cellStyle name="Normal 2 5 2 2 7" xfId="3234" xr:uid="{00000000-0005-0000-0000-00005A2B0000}"/>
    <cellStyle name="Normal 2 5 2 2 7 2" xfId="9879" xr:uid="{00000000-0005-0000-0000-00005B2B0000}"/>
    <cellStyle name="Normal 2 5 2 2 7_SSL" xfId="14350" xr:uid="{00000000-0005-0000-0000-00005C2B0000}"/>
    <cellStyle name="Normal 2 5 2 2 8" xfId="4055" xr:uid="{00000000-0005-0000-0000-00005D2B0000}"/>
    <cellStyle name="Normal 2 5 2 2 8 2" xfId="10695" xr:uid="{00000000-0005-0000-0000-00005E2B0000}"/>
    <cellStyle name="Normal 2 5 2 2 8_SSL" xfId="15563" xr:uid="{00000000-0005-0000-0000-00005F2B0000}"/>
    <cellStyle name="Normal 2 5 2 2 9" xfId="4866" xr:uid="{00000000-0005-0000-0000-0000602B0000}"/>
    <cellStyle name="Normal 2 5 2 2 9 2" xfId="11505" xr:uid="{00000000-0005-0000-0000-0000612B0000}"/>
    <cellStyle name="Normal 2 5 2 2 9_SSL" xfId="14883" xr:uid="{00000000-0005-0000-0000-0000622B0000}"/>
    <cellStyle name="Normal 2 5 2 2_SSL" xfId="15450" xr:uid="{00000000-0005-0000-0000-0000632B0000}"/>
    <cellStyle name="Normal 2 5 2 3" xfId="126" xr:uid="{00000000-0005-0000-0000-0000642B0000}"/>
    <cellStyle name="Normal 2 5 2 3 10" xfId="5684" xr:uid="{00000000-0005-0000-0000-0000652B0000}"/>
    <cellStyle name="Normal 2 5 2 3 10 2" xfId="12322" xr:uid="{00000000-0005-0000-0000-0000662B0000}"/>
    <cellStyle name="Normal 2 5 2 3 10_SSL" xfId="15883" xr:uid="{00000000-0005-0000-0000-0000672B0000}"/>
    <cellStyle name="Normal 2 5 2 3 11" xfId="7003" xr:uid="{00000000-0005-0000-0000-0000682B0000}"/>
    <cellStyle name="Normal 2 5 2 3 12" xfId="6601" xr:uid="{00000000-0005-0000-0000-0000692B0000}"/>
    <cellStyle name="Normal 2 5 2 3 2" xfId="222" xr:uid="{00000000-0005-0000-0000-00006A2B0000}"/>
    <cellStyle name="Normal 2 5 2 3 2 10" xfId="7099" xr:uid="{00000000-0005-0000-0000-00006B2B0000}"/>
    <cellStyle name="Normal 2 5 2 3 2 11" xfId="6602" xr:uid="{00000000-0005-0000-0000-00006C2B0000}"/>
    <cellStyle name="Normal 2 5 2 3 2 2" xfId="388" xr:uid="{00000000-0005-0000-0000-00006D2B0000}"/>
    <cellStyle name="Normal 2 5 2 3 2 2 10" xfId="6603" xr:uid="{00000000-0005-0000-0000-00006E2B0000}"/>
    <cellStyle name="Normal 2 5 2 3 2 2 2" xfId="776" xr:uid="{00000000-0005-0000-0000-00006F2B0000}"/>
    <cellStyle name="Normal 2 5 2 3 2 2 2 2" xfId="1606" xr:uid="{00000000-0005-0000-0000-0000702B0000}"/>
    <cellStyle name="Normal 2 5 2 3 2 2 2 2 2" xfId="8261" xr:uid="{00000000-0005-0000-0000-0000712B0000}"/>
    <cellStyle name="Normal 2 5 2 3 2 2 2 2_SSL" xfId="16679" xr:uid="{00000000-0005-0000-0000-0000722B0000}"/>
    <cellStyle name="Normal 2 5 2 3 2 2 2 3" xfId="2426" xr:uid="{00000000-0005-0000-0000-0000732B0000}"/>
    <cellStyle name="Normal 2 5 2 3 2 2 2 3 2" xfId="9074" xr:uid="{00000000-0005-0000-0000-0000742B0000}"/>
    <cellStyle name="Normal 2 5 2 3 2 2 2 3_SSL" xfId="14603" xr:uid="{00000000-0005-0000-0000-0000752B0000}"/>
    <cellStyle name="Normal 2 5 2 3 2 2 2 4" xfId="3245" xr:uid="{00000000-0005-0000-0000-0000762B0000}"/>
    <cellStyle name="Normal 2 5 2 3 2 2 2 4 2" xfId="9890" xr:uid="{00000000-0005-0000-0000-0000772B0000}"/>
    <cellStyle name="Normal 2 5 2 3 2 2 2 4_SSL" xfId="12728" xr:uid="{00000000-0005-0000-0000-0000782B0000}"/>
    <cellStyle name="Normal 2 5 2 3 2 2 2 5" xfId="4066" xr:uid="{00000000-0005-0000-0000-0000792B0000}"/>
    <cellStyle name="Normal 2 5 2 3 2 2 2 5 2" xfId="10706" xr:uid="{00000000-0005-0000-0000-00007A2B0000}"/>
    <cellStyle name="Normal 2 5 2 3 2 2 2 5_SSL" xfId="17019" xr:uid="{00000000-0005-0000-0000-00007B2B0000}"/>
    <cellStyle name="Normal 2 5 2 3 2 2 2 6" xfId="4877" xr:uid="{00000000-0005-0000-0000-00007C2B0000}"/>
    <cellStyle name="Normal 2 5 2 3 2 2 2 6 2" xfId="11516" xr:uid="{00000000-0005-0000-0000-00007D2B0000}"/>
    <cellStyle name="Normal 2 5 2 3 2 2 2 6_SSL" xfId="13870" xr:uid="{00000000-0005-0000-0000-00007E2B0000}"/>
    <cellStyle name="Normal 2 5 2 3 2 2 2 7" xfId="5687" xr:uid="{00000000-0005-0000-0000-00007F2B0000}"/>
    <cellStyle name="Normal 2 5 2 3 2 2 2 7 2" xfId="12325" xr:uid="{00000000-0005-0000-0000-0000802B0000}"/>
    <cellStyle name="Normal 2 5 2 3 2 2 2 7_SSL" xfId="15508" xr:uid="{00000000-0005-0000-0000-0000812B0000}"/>
    <cellStyle name="Normal 2 5 2 3 2 2 2 8" xfId="7632" xr:uid="{00000000-0005-0000-0000-0000822B0000}"/>
    <cellStyle name="Normal 2 5 2 3 2 2 2 9" xfId="6604" xr:uid="{00000000-0005-0000-0000-0000832B0000}"/>
    <cellStyle name="Normal 2 5 2 3 2 2 2_SSL" xfId="16610" xr:uid="{00000000-0005-0000-0000-0000842B0000}"/>
    <cellStyle name="Normal 2 5 2 3 2 2 3" xfId="1605" xr:uid="{00000000-0005-0000-0000-0000852B0000}"/>
    <cellStyle name="Normal 2 5 2 3 2 2 3 2" xfId="8260" xr:uid="{00000000-0005-0000-0000-0000862B0000}"/>
    <cellStyle name="Normal 2 5 2 3 2 2 3_SSL" xfId="14970" xr:uid="{00000000-0005-0000-0000-0000872B0000}"/>
    <cellStyle name="Normal 2 5 2 3 2 2 4" xfId="2425" xr:uid="{00000000-0005-0000-0000-0000882B0000}"/>
    <cellStyle name="Normal 2 5 2 3 2 2 4 2" xfId="9073" xr:uid="{00000000-0005-0000-0000-0000892B0000}"/>
    <cellStyle name="Normal 2 5 2 3 2 2 4_SSL" xfId="13803" xr:uid="{00000000-0005-0000-0000-00008A2B0000}"/>
    <cellStyle name="Normal 2 5 2 3 2 2 5" xfId="3244" xr:uid="{00000000-0005-0000-0000-00008B2B0000}"/>
    <cellStyle name="Normal 2 5 2 3 2 2 5 2" xfId="9889" xr:uid="{00000000-0005-0000-0000-00008C2B0000}"/>
    <cellStyle name="Normal 2 5 2 3 2 2 5_SSL" xfId="13167" xr:uid="{00000000-0005-0000-0000-00008D2B0000}"/>
    <cellStyle name="Normal 2 5 2 3 2 2 6" xfId="4065" xr:uid="{00000000-0005-0000-0000-00008E2B0000}"/>
    <cellStyle name="Normal 2 5 2 3 2 2 6 2" xfId="10705" xr:uid="{00000000-0005-0000-0000-00008F2B0000}"/>
    <cellStyle name="Normal 2 5 2 3 2 2 6_SSL" xfId="15556" xr:uid="{00000000-0005-0000-0000-0000902B0000}"/>
    <cellStyle name="Normal 2 5 2 3 2 2 7" xfId="4876" xr:uid="{00000000-0005-0000-0000-0000912B0000}"/>
    <cellStyle name="Normal 2 5 2 3 2 2 7 2" xfId="11515" xr:uid="{00000000-0005-0000-0000-0000922B0000}"/>
    <cellStyle name="Normal 2 5 2 3 2 2 7_SSL" xfId="17049" xr:uid="{00000000-0005-0000-0000-0000932B0000}"/>
    <cellStyle name="Normal 2 5 2 3 2 2 8" xfId="5686" xr:uid="{00000000-0005-0000-0000-0000942B0000}"/>
    <cellStyle name="Normal 2 5 2 3 2 2 8 2" xfId="12324" xr:uid="{00000000-0005-0000-0000-0000952B0000}"/>
    <cellStyle name="Normal 2 5 2 3 2 2 8_SSL" xfId="13779" xr:uid="{00000000-0005-0000-0000-0000962B0000}"/>
    <cellStyle name="Normal 2 5 2 3 2 2 9" xfId="7248" xr:uid="{00000000-0005-0000-0000-0000972B0000}"/>
    <cellStyle name="Normal 2 5 2 3 2 2_SSL" xfId="13081" xr:uid="{00000000-0005-0000-0000-0000982B0000}"/>
    <cellStyle name="Normal 2 5 2 3 2 3" xfId="627" xr:uid="{00000000-0005-0000-0000-0000992B0000}"/>
    <cellStyle name="Normal 2 5 2 3 2 3 2" xfId="1607" xr:uid="{00000000-0005-0000-0000-00009A2B0000}"/>
    <cellStyle name="Normal 2 5 2 3 2 3 2 2" xfId="8262" xr:uid="{00000000-0005-0000-0000-00009B2B0000}"/>
    <cellStyle name="Normal 2 5 2 3 2 3 2_SSL" xfId="15425" xr:uid="{00000000-0005-0000-0000-00009C2B0000}"/>
    <cellStyle name="Normal 2 5 2 3 2 3 3" xfId="2427" xr:uid="{00000000-0005-0000-0000-00009D2B0000}"/>
    <cellStyle name="Normal 2 5 2 3 2 3 3 2" xfId="9075" xr:uid="{00000000-0005-0000-0000-00009E2B0000}"/>
    <cellStyle name="Normal 2 5 2 3 2 3 3_SSL" xfId="12668" xr:uid="{00000000-0005-0000-0000-00009F2B0000}"/>
    <cellStyle name="Normal 2 5 2 3 2 3 4" xfId="3246" xr:uid="{00000000-0005-0000-0000-0000A02B0000}"/>
    <cellStyle name="Normal 2 5 2 3 2 3 4 2" xfId="9891" xr:uid="{00000000-0005-0000-0000-0000A12B0000}"/>
    <cellStyle name="Normal 2 5 2 3 2 3 4_SSL" xfId="15120" xr:uid="{00000000-0005-0000-0000-0000A22B0000}"/>
    <cellStyle name="Normal 2 5 2 3 2 3 5" xfId="4067" xr:uid="{00000000-0005-0000-0000-0000A32B0000}"/>
    <cellStyle name="Normal 2 5 2 3 2 3 5 2" xfId="10707" xr:uid="{00000000-0005-0000-0000-0000A42B0000}"/>
    <cellStyle name="Normal 2 5 2 3 2 3 5_SSL" xfId="12631" xr:uid="{00000000-0005-0000-0000-0000A52B0000}"/>
    <cellStyle name="Normal 2 5 2 3 2 3 6" xfId="4878" xr:uid="{00000000-0005-0000-0000-0000A62B0000}"/>
    <cellStyle name="Normal 2 5 2 3 2 3 6 2" xfId="11517" xr:uid="{00000000-0005-0000-0000-0000A72B0000}"/>
    <cellStyle name="Normal 2 5 2 3 2 3 6_SSL" xfId="15633" xr:uid="{00000000-0005-0000-0000-0000A82B0000}"/>
    <cellStyle name="Normal 2 5 2 3 2 3 7" xfId="5688" xr:uid="{00000000-0005-0000-0000-0000A92B0000}"/>
    <cellStyle name="Normal 2 5 2 3 2 3 7 2" xfId="12326" xr:uid="{00000000-0005-0000-0000-0000AA2B0000}"/>
    <cellStyle name="Normal 2 5 2 3 2 3 7_SSL" xfId="13257" xr:uid="{00000000-0005-0000-0000-0000AB2B0000}"/>
    <cellStyle name="Normal 2 5 2 3 2 3 8" xfId="7483" xr:uid="{00000000-0005-0000-0000-0000AC2B0000}"/>
    <cellStyle name="Normal 2 5 2 3 2 3 9" xfId="6605" xr:uid="{00000000-0005-0000-0000-0000AD2B0000}"/>
    <cellStyle name="Normal 2 5 2 3 2 3_SSL" xfId="13966" xr:uid="{00000000-0005-0000-0000-0000AE2B0000}"/>
    <cellStyle name="Normal 2 5 2 3 2 4" xfId="1604" xr:uid="{00000000-0005-0000-0000-0000AF2B0000}"/>
    <cellStyle name="Normal 2 5 2 3 2 4 2" xfId="8259" xr:uid="{00000000-0005-0000-0000-0000B02B0000}"/>
    <cellStyle name="Normal 2 5 2 3 2 4_SSL" xfId="12713" xr:uid="{00000000-0005-0000-0000-0000B12B0000}"/>
    <cellStyle name="Normal 2 5 2 3 2 5" xfId="2424" xr:uid="{00000000-0005-0000-0000-0000B22B0000}"/>
    <cellStyle name="Normal 2 5 2 3 2 5 2" xfId="9072" xr:uid="{00000000-0005-0000-0000-0000B32B0000}"/>
    <cellStyle name="Normal 2 5 2 3 2 5_SSL" xfId="17926" xr:uid="{00000000-0005-0000-0000-0000B42B0000}"/>
    <cellStyle name="Normal 2 5 2 3 2 6" xfId="3243" xr:uid="{00000000-0005-0000-0000-0000B52B0000}"/>
    <cellStyle name="Normal 2 5 2 3 2 6 2" xfId="9888" xr:uid="{00000000-0005-0000-0000-0000B62B0000}"/>
    <cellStyle name="Normal 2 5 2 3 2 6_SSL" xfId="15954" xr:uid="{00000000-0005-0000-0000-0000B72B0000}"/>
    <cellStyle name="Normal 2 5 2 3 2 7" xfId="4064" xr:uid="{00000000-0005-0000-0000-0000B82B0000}"/>
    <cellStyle name="Normal 2 5 2 3 2 7 2" xfId="10704" xr:uid="{00000000-0005-0000-0000-0000B92B0000}"/>
    <cellStyle name="Normal 2 5 2 3 2 7_SSL" xfId="16224" xr:uid="{00000000-0005-0000-0000-0000BA2B0000}"/>
    <cellStyle name="Normal 2 5 2 3 2 8" xfId="4875" xr:uid="{00000000-0005-0000-0000-0000BB2B0000}"/>
    <cellStyle name="Normal 2 5 2 3 2 8 2" xfId="11514" xr:uid="{00000000-0005-0000-0000-0000BC2B0000}"/>
    <cellStyle name="Normal 2 5 2 3 2 8_SSL" xfId="17034" xr:uid="{00000000-0005-0000-0000-0000BD2B0000}"/>
    <cellStyle name="Normal 2 5 2 3 2 9" xfId="5685" xr:uid="{00000000-0005-0000-0000-0000BE2B0000}"/>
    <cellStyle name="Normal 2 5 2 3 2 9 2" xfId="12323" xr:uid="{00000000-0005-0000-0000-0000BF2B0000}"/>
    <cellStyle name="Normal 2 5 2 3 2 9_SSL" xfId="17249" xr:uid="{00000000-0005-0000-0000-0000C02B0000}"/>
    <cellStyle name="Normal 2 5 2 3 2_SSL" xfId="14956" xr:uid="{00000000-0005-0000-0000-0000C12B0000}"/>
    <cellStyle name="Normal 2 5 2 3 3" xfId="387" xr:uid="{00000000-0005-0000-0000-0000C22B0000}"/>
    <cellStyle name="Normal 2 5 2 3 3 10" xfId="6606" xr:uid="{00000000-0005-0000-0000-0000C32B0000}"/>
    <cellStyle name="Normal 2 5 2 3 3 2" xfId="775" xr:uid="{00000000-0005-0000-0000-0000C42B0000}"/>
    <cellStyle name="Normal 2 5 2 3 3 2 2" xfId="1609" xr:uid="{00000000-0005-0000-0000-0000C52B0000}"/>
    <cellStyle name="Normal 2 5 2 3 3 2 2 2" xfId="8264" xr:uid="{00000000-0005-0000-0000-0000C62B0000}"/>
    <cellStyle name="Normal 2 5 2 3 3 2 2_SSL" xfId="12629" xr:uid="{00000000-0005-0000-0000-0000C72B0000}"/>
    <cellStyle name="Normal 2 5 2 3 3 2 3" xfId="2429" xr:uid="{00000000-0005-0000-0000-0000C82B0000}"/>
    <cellStyle name="Normal 2 5 2 3 3 2 3 2" xfId="9077" xr:uid="{00000000-0005-0000-0000-0000C92B0000}"/>
    <cellStyle name="Normal 2 5 2 3 3 2 3_SSL" xfId="17498" xr:uid="{00000000-0005-0000-0000-0000CA2B0000}"/>
    <cellStyle name="Normal 2 5 2 3 3 2 4" xfId="3248" xr:uid="{00000000-0005-0000-0000-0000CB2B0000}"/>
    <cellStyle name="Normal 2 5 2 3 3 2 4 2" xfId="9893" xr:uid="{00000000-0005-0000-0000-0000CC2B0000}"/>
    <cellStyle name="Normal 2 5 2 3 3 2 4_SSL" xfId="17178" xr:uid="{00000000-0005-0000-0000-0000CD2B0000}"/>
    <cellStyle name="Normal 2 5 2 3 3 2 5" xfId="4069" xr:uid="{00000000-0005-0000-0000-0000CE2B0000}"/>
    <cellStyle name="Normal 2 5 2 3 3 2 5 2" xfId="10709" xr:uid="{00000000-0005-0000-0000-0000CF2B0000}"/>
    <cellStyle name="Normal 2 5 2 3 3 2 5_SSL" xfId="13990" xr:uid="{00000000-0005-0000-0000-0000D02B0000}"/>
    <cellStyle name="Normal 2 5 2 3 3 2 6" xfId="4880" xr:uid="{00000000-0005-0000-0000-0000D12B0000}"/>
    <cellStyle name="Normal 2 5 2 3 3 2 6 2" xfId="11519" xr:uid="{00000000-0005-0000-0000-0000D22B0000}"/>
    <cellStyle name="Normal 2 5 2 3 3 2 6_SSL" xfId="13088" xr:uid="{00000000-0005-0000-0000-0000D32B0000}"/>
    <cellStyle name="Normal 2 5 2 3 3 2 7" xfId="5690" xr:uid="{00000000-0005-0000-0000-0000D42B0000}"/>
    <cellStyle name="Normal 2 5 2 3 3 2 7 2" xfId="12328" xr:uid="{00000000-0005-0000-0000-0000D52B0000}"/>
    <cellStyle name="Normal 2 5 2 3 3 2 7_SSL" xfId="15376" xr:uid="{00000000-0005-0000-0000-0000D62B0000}"/>
    <cellStyle name="Normal 2 5 2 3 3 2 8" xfId="7631" xr:uid="{00000000-0005-0000-0000-0000D72B0000}"/>
    <cellStyle name="Normal 2 5 2 3 3 2 9" xfId="6607" xr:uid="{00000000-0005-0000-0000-0000D82B0000}"/>
    <cellStyle name="Normal 2 5 2 3 3 2_SSL" xfId="17549" xr:uid="{00000000-0005-0000-0000-0000D92B0000}"/>
    <cellStyle name="Normal 2 5 2 3 3 3" xfId="1608" xr:uid="{00000000-0005-0000-0000-0000DA2B0000}"/>
    <cellStyle name="Normal 2 5 2 3 3 3 2" xfId="8263" xr:uid="{00000000-0005-0000-0000-0000DB2B0000}"/>
    <cellStyle name="Normal 2 5 2 3 3 3_SSL" xfId="13874" xr:uid="{00000000-0005-0000-0000-0000DC2B0000}"/>
    <cellStyle name="Normal 2 5 2 3 3 4" xfId="2428" xr:uid="{00000000-0005-0000-0000-0000DD2B0000}"/>
    <cellStyle name="Normal 2 5 2 3 3 4 2" xfId="9076" xr:uid="{00000000-0005-0000-0000-0000DE2B0000}"/>
    <cellStyle name="Normal 2 5 2 3 3 4_SSL" xfId="12980" xr:uid="{00000000-0005-0000-0000-0000DF2B0000}"/>
    <cellStyle name="Normal 2 5 2 3 3 5" xfId="3247" xr:uid="{00000000-0005-0000-0000-0000E02B0000}"/>
    <cellStyle name="Normal 2 5 2 3 3 5 2" xfId="9892" xr:uid="{00000000-0005-0000-0000-0000E12B0000}"/>
    <cellStyle name="Normal 2 5 2 3 3 5_SSL" xfId="16949" xr:uid="{00000000-0005-0000-0000-0000E22B0000}"/>
    <cellStyle name="Normal 2 5 2 3 3 6" xfId="4068" xr:uid="{00000000-0005-0000-0000-0000E32B0000}"/>
    <cellStyle name="Normal 2 5 2 3 3 6 2" xfId="10708" xr:uid="{00000000-0005-0000-0000-0000E42B0000}"/>
    <cellStyle name="Normal 2 5 2 3 3 6_SSL" xfId="15285" xr:uid="{00000000-0005-0000-0000-0000E52B0000}"/>
    <cellStyle name="Normal 2 5 2 3 3 7" xfId="4879" xr:uid="{00000000-0005-0000-0000-0000E62B0000}"/>
    <cellStyle name="Normal 2 5 2 3 3 7 2" xfId="11518" xr:uid="{00000000-0005-0000-0000-0000E72B0000}"/>
    <cellStyle name="Normal 2 5 2 3 3 7_SSL" xfId="17587" xr:uid="{00000000-0005-0000-0000-0000E82B0000}"/>
    <cellStyle name="Normal 2 5 2 3 3 8" xfId="5689" xr:uid="{00000000-0005-0000-0000-0000E92B0000}"/>
    <cellStyle name="Normal 2 5 2 3 3 8 2" xfId="12327" xr:uid="{00000000-0005-0000-0000-0000EA2B0000}"/>
    <cellStyle name="Normal 2 5 2 3 3 8_SSL" xfId="14586" xr:uid="{00000000-0005-0000-0000-0000EB2B0000}"/>
    <cellStyle name="Normal 2 5 2 3 3 9" xfId="7247" xr:uid="{00000000-0005-0000-0000-0000EC2B0000}"/>
    <cellStyle name="Normal 2 5 2 3 3_SSL" xfId="13216" xr:uid="{00000000-0005-0000-0000-0000ED2B0000}"/>
    <cellStyle name="Normal 2 5 2 3 4" xfId="531" xr:uid="{00000000-0005-0000-0000-0000EE2B0000}"/>
    <cellStyle name="Normal 2 5 2 3 4 2" xfId="1610" xr:uid="{00000000-0005-0000-0000-0000EF2B0000}"/>
    <cellStyle name="Normal 2 5 2 3 4 2 2" xfId="8265" xr:uid="{00000000-0005-0000-0000-0000F02B0000}"/>
    <cellStyle name="Normal 2 5 2 3 4 2_SSL" xfId="16025" xr:uid="{00000000-0005-0000-0000-0000F12B0000}"/>
    <cellStyle name="Normal 2 5 2 3 4 3" xfId="2430" xr:uid="{00000000-0005-0000-0000-0000F22B0000}"/>
    <cellStyle name="Normal 2 5 2 3 4 3 2" xfId="9078" xr:uid="{00000000-0005-0000-0000-0000F32B0000}"/>
    <cellStyle name="Normal 2 5 2 3 4 3_SSL" xfId="17395" xr:uid="{00000000-0005-0000-0000-0000F42B0000}"/>
    <cellStyle name="Normal 2 5 2 3 4 4" xfId="3249" xr:uid="{00000000-0005-0000-0000-0000F52B0000}"/>
    <cellStyle name="Normal 2 5 2 3 4 4 2" xfId="9894" xr:uid="{00000000-0005-0000-0000-0000F62B0000}"/>
    <cellStyle name="Normal 2 5 2 3 4 4_SSL" xfId="14016" xr:uid="{00000000-0005-0000-0000-0000F72B0000}"/>
    <cellStyle name="Normal 2 5 2 3 4 5" xfId="4070" xr:uid="{00000000-0005-0000-0000-0000F82B0000}"/>
    <cellStyle name="Normal 2 5 2 3 4 5 2" xfId="10710" xr:uid="{00000000-0005-0000-0000-0000F92B0000}"/>
    <cellStyle name="Normal 2 5 2 3 4 5_SSL" xfId="17016" xr:uid="{00000000-0005-0000-0000-0000FA2B0000}"/>
    <cellStyle name="Normal 2 5 2 3 4 6" xfId="4881" xr:uid="{00000000-0005-0000-0000-0000FB2B0000}"/>
    <cellStyle name="Normal 2 5 2 3 4 6 2" xfId="11520" xr:uid="{00000000-0005-0000-0000-0000FC2B0000}"/>
    <cellStyle name="Normal 2 5 2 3 4 6_SSL" xfId="5991" xr:uid="{00000000-0005-0000-0000-0000FD2B0000}"/>
    <cellStyle name="Normal 2 5 2 3 4 7" xfId="5691" xr:uid="{00000000-0005-0000-0000-0000FE2B0000}"/>
    <cellStyle name="Normal 2 5 2 3 4 7 2" xfId="12329" xr:uid="{00000000-0005-0000-0000-0000FF2B0000}"/>
    <cellStyle name="Normal 2 5 2 3 4 7_SSL" xfId="16815" xr:uid="{00000000-0005-0000-0000-0000002C0000}"/>
    <cellStyle name="Normal 2 5 2 3 4 8" xfId="7387" xr:uid="{00000000-0005-0000-0000-0000012C0000}"/>
    <cellStyle name="Normal 2 5 2 3 4 9" xfId="6608" xr:uid="{00000000-0005-0000-0000-0000022C0000}"/>
    <cellStyle name="Normal 2 5 2 3 4_SSL" xfId="15521" xr:uid="{00000000-0005-0000-0000-0000032C0000}"/>
    <cellStyle name="Normal 2 5 2 3 5" xfId="1603" xr:uid="{00000000-0005-0000-0000-0000042C0000}"/>
    <cellStyle name="Normal 2 5 2 3 5 2" xfId="8258" xr:uid="{00000000-0005-0000-0000-0000052C0000}"/>
    <cellStyle name="Normal 2 5 2 3 5_SSL" xfId="18019" xr:uid="{00000000-0005-0000-0000-0000062C0000}"/>
    <cellStyle name="Normal 2 5 2 3 6" xfId="2423" xr:uid="{00000000-0005-0000-0000-0000072C0000}"/>
    <cellStyle name="Normal 2 5 2 3 6 2" xfId="9071" xr:uid="{00000000-0005-0000-0000-0000082C0000}"/>
    <cellStyle name="Normal 2 5 2 3 6_SSL" xfId="13114" xr:uid="{00000000-0005-0000-0000-0000092C0000}"/>
    <cellStyle name="Normal 2 5 2 3 7" xfId="3242" xr:uid="{00000000-0005-0000-0000-00000A2C0000}"/>
    <cellStyle name="Normal 2 5 2 3 7 2" xfId="9887" xr:uid="{00000000-0005-0000-0000-00000B2C0000}"/>
    <cellStyle name="Normal 2 5 2 3 7_SSL" xfId="13139" xr:uid="{00000000-0005-0000-0000-00000C2C0000}"/>
    <cellStyle name="Normal 2 5 2 3 8" xfId="4063" xr:uid="{00000000-0005-0000-0000-00000D2C0000}"/>
    <cellStyle name="Normal 2 5 2 3 8 2" xfId="10703" xr:uid="{00000000-0005-0000-0000-00000E2C0000}"/>
    <cellStyle name="Normal 2 5 2 3 8_SSL" xfId="17267" xr:uid="{00000000-0005-0000-0000-00000F2C0000}"/>
    <cellStyle name="Normal 2 5 2 3 9" xfId="4874" xr:uid="{00000000-0005-0000-0000-0000102C0000}"/>
    <cellStyle name="Normal 2 5 2 3 9 2" xfId="11513" xr:uid="{00000000-0005-0000-0000-0000112C0000}"/>
    <cellStyle name="Normal 2 5 2 3 9_SSL" xfId="17157" xr:uid="{00000000-0005-0000-0000-0000122C0000}"/>
    <cellStyle name="Normal 2 5 2 3_SSL" xfId="15695" xr:uid="{00000000-0005-0000-0000-0000132C0000}"/>
    <cellStyle name="Normal 2 5 2 4" xfId="151" xr:uid="{00000000-0005-0000-0000-0000142C0000}"/>
    <cellStyle name="Normal 2 5 2 4 10" xfId="7028" xr:uid="{00000000-0005-0000-0000-0000152C0000}"/>
    <cellStyle name="Normal 2 5 2 4 11" xfId="6609" xr:uid="{00000000-0005-0000-0000-0000162C0000}"/>
    <cellStyle name="Normal 2 5 2 4 2" xfId="389" xr:uid="{00000000-0005-0000-0000-0000172C0000}"/>
    <cellStyle name="Normal 2 5 2 4 2 10" xfId="6610" xr:uid="{00000000-0005-0000-0000-0000182C0000}"/>
    <cellStyle name="Normal 2 5 2 4 2 2" xfId="777" xr:uid="{00000000-0005-0000-0000-0000192C0000}"/>
    <cellStyle name="Normal 2 5 2 4 2 2 2" xfId="1613" xr:uid="{00000000-0005-0000-0000-00001A2C0000}"/>
    <cellStyle name="Normal 2 5 2 4 2 2 2 2" xfId="8268" xr:uid="{00000000-0005-0000-0000-00001B2C0000}"/>
    <cellStyle name="Normal 2 5 2 4 2 2 2_SSL" xfId="13737" xr:uid="{00000000-0005-0000-0000-00001C2C0000}"/>
    <cellStyle name="Normal 2 5 2 4 2 2 3" xfId="2433" xr:uid="{00000000-0005-0000-0000-00001D2C0000}"/>
    <cellStyle name="Normal 2 5 2 4 2 2 3 2" xfId="9081" xr:uid="{00000000-0005-0000-0000-00001E2C0000}"/>
    <cellStyle name="Normal 2 5 2 4 2 2 3_SSL" xfId="13265" xr:uid="{00000000-0005-0000-0000-00001F2C0000}"/>
    <cellStyle name="Normal 2 5 2 4 2 2 4" xfId="3252" xr:uid="{00000000-0005-0000-0000-0000202C0000}"/>
    <cellStyle name="Normal 2 5 2 4 2 2 4 2" xfId="9897" xr:uid="{00000000-0005-0000-0000-0000212C0000}"/>
    <cellStyle name="Normal 2 5 2 4 2 2 4_SSL" xfId="13364" xr:uid="{00000000-0005-0000-0000-0000222C0000}"/>
    <cellStyle name="Normal 2 5 2 4 2 2 5" xfId="4073" xr:uid="{00000000-0005-0000-0000-0000232C0000}"/>
    <cellStyle name="Normal 2 5 2 4 2 2 5 2" xfId="10713" xr:uid="{00000000-0005-0000-0000-0000242C0000}"/>
    <cellStyle name="Normal 2 5 2 4 2 2 5_SSL" xfId="14672" xr:uid="{00000000-0005-0000-0000-0000252C0000}"/>
    <cellStyle name="Normal 2 5 2 4 2 2 6" xfId="4884" xr:uid="{00000000-0005-0000-0000-0000262C0000}"/>
    <cellStyle name="Normal 2 5 2 4 2 2 6 2" xfId="11523" xr:uid="{00000000-0005-0000-0000-0000272C0000}"/>
    <cellStyle name="Normal 2 5 2 4 2 2 6_SSL" xfId="13649" xr:uid="{00000000-0005-0000-0000-0000282C0000}"/>
    <cellStyle name="Normal 2 5 2 4 2 2 7" xfId="5694" xr:uid="{00000000-0005-0000-0000-0000292C0000}"/>
    <cellStyle name="Normal 2 5 2 4 2 2 7 2" xfId="12332" xr:uid="{00000000-0005-0000-0000-00002A2C0000}"/>
    <cellStyle name="Normal 2 5 2 4 2 2 7_SSL" xfId="14130" xr:uid="{00000000-0005-0000-0000-00002B2C0000}"/>
    <cellStyle name="Normal 2 5 2 4 2 2 8" xfId="7633" xr:uid="{00000000-0005-0000-0000-00002C2C0000}"/>
    <cellStyle name="Normal 2 5 2 4 2 2 9" xfId="6611" xr:uid="{00000000-0005-0000-0000-00002D2C0000}"/>
    <cellStyle name="Normal 2 5 2 4 2 2_SSL" xfId="14238" xr:uid="{00000000-0005-0000-0000-00002E2C0000}"/>
    <cellStyle name="Normal 2 5 2 4 2 3" xfId="1612" xr:uid="{00000000-0005-0000-0000-00002F2C0000}"/>
    <cellStyle name="Normal 2 5 2 4 2 3 2" xfId="8267" xr:uid="{00000000-0005-0000-0000-0000302C0000}"/>
    <cellStyle name="Normal 2 5 2 4 2 3_SSL" xfId="17529" xr:uid="{00000000-0005-0000-0000-0000312C0000}"/>
    <cellStyle name="Normal 2 5 2 4 2 4" xfId="2432" xr:uid="{00000000-0005-0000-0000-0000322C0000}"/>
    <cellStyle name="Normal 2 5 2 4 2 4 2" xfId="9080" xr:uid="{00000000-0005-0000-0000-0000332C0000}"/>
    <cellStyle name="Normal 2 5 2 4 2 4_SSL" xfId="13810" xr:uid="{00000000-0005-0000-0000-0000342C0000}"/>
    <cellStyle name="Normal 2 5 2 4 2 5" xfId="3251" xr:uid="{00000000-0005-0000-0000-0000352C0000}"/>
    <cellStyle name="Normal 2 5 2 4 2 5 2" xfId="9896" xr:uid="{00000000-0005-0000-0000-0000362C0000}"/>
    <cellStyle name="Normal 2 5 2 4 2 5_SSL" xfId="13103" xr:uid="{00000000-0005-0000-0000-0000372C0000}"/>
    <cellStyle name="Normal 2 5 2 4 2 6" xfId="4072" xr:uid="{00000000-0005-0000-0000-0000382C0000}"/>
    <cellStyle name="Normal 2 5 2 4 2 6 2" xfId="10712" xr:uid="{00000000-0005-0000-0000-0000392C0000}"/>
    <cellStyle name="Normal 2 5 2 4 2 6_SSL" xfId="16782" xr:uid="{00000000-0005-0000-0000-00003A2C0000}"/>
    <cellStyle name="Normal 2 5 2 4 2 7" xfId="4883" xr:uid="{00000000-0005-0000-0000-00003B2C0000}"/>
    <cellStyle name="Normal 2 5 2 4 2 7 2" xfId="11522" xr:uid="{00000000-0005-0000-0000-00003C2C0000}"/>
    <cellStyle name="Normal 2 5 2 4 2 7_SSL" xfId="13746" xr:uid="{00000000-0005-0000-0000-00003D2C0000}"/>
    <cellStyle name="Normal 2 5 2 4 2 8" xfId="5693" xr:uid="{00000000-0005-0000-0000-00003E2C0000}"/>
    <cellStyle name="Normal 2 5 2 4 2 8 2" xfId="12331" xr:uid="{00000000-0005-0000-0000-00003F2C0000}"/>
    <cellStyle name="Normal 2 5 2 4 2 8_SSL" xfId="17683" xr:uid="{00000000-0005-0000-0000-0000402C0000}"/>
    <cellStyle name="Normal 2 5 2 4 2 9" xfId="7249" xr:uid="{00000000-0005-0000-0000-0000412C0000}"/>
    <cellStyle name="Normal 2 5 2 4 2_SSL" xfId="18027" xr:uid="{00000000-0005-0000-0000-0000422C0000}"/>
    <cellStyle name="Normal 2 5 2 4 3" xfId="556" xr:uid="{00000000-0005-0000-0000-0000432C0000}"/>
    <cellStyle name="Normal 2 5 2 4 3 2" xfId="1614" xr:uid="{00000000-0005-0000-0000-0000442C0000}"/>
    <cellStyle name="Normal 2 5 2 4 3 2 2" xfId="8269" xr:uid="{00000000-0005-0000-0000-0000452C0000}"/>
    <cellStyle name="Normal 2 5 2 4 3 2_SSL" xfId="16254" xr:uid="{00000000-0005-0000-0000-0000462C0000}"/>
    <cellStyle name="Normal 2 5 2 4 3 3" xfId="2434" xr:uid="{00000000-0005-0000-0000-0000472C0000}"/>
    <cellStyle name="Normal 2 5 2 4 3 3 2" xfId="9082" xr:uid="{00000000-0005-0000-0000-0000482C0000}"/>
    <cellStyle name="Normal 2 5 2 4 3 3_SSL" xfId="17455" xr:uid="{00000000-0005-0000-0000-0000492C0000}"/>
    <cellStyle name="Normal 2 5 2 4 3 4" xfId="3253" xr:uid="{00000000-0005-0000-0000-00004A2C0000}"/>
    <cellStyle name="Normal 2 5 2 4 3 4 2" xfId="9898" xr:uid="{00000000-0005-0000-0000-00004B2C0000}"/>
    <cellStyle name="Normal 2 5 2 4 3 4_SSL" xfId="17598" xr:uid="{00000000-0005-0000-0000-00004C2C0000}"/>
    <cellStyle name="Normal 2 5 2 4 3 5" xfId="4074" xr:uid="{00000000-0005-0000-0000-00004D2C0000}"/>
    <cellStyle name="Normal 2 5 2 4 3 5 2" xfId="10714" xr:uid="{00000000-0005-0000-0000-00004E2C0000}"/>
    <cellStyle name="Normal 2 5 2 4 3 5_SSL" xfId="13625" xr:uid="{00000000-0005-0000-0000-00004F2C0000}"/>
    <cellStyle name="Normal 2 5 2 4 3 6" xfId="4885" xr:uid="{00000000-0005-0000-0000-0000502C0000}"/>
    <cellStyle name="Normal 2 5 2 4 3 6 2" xfId="11524" xr:uid="{00000000-0005-0000-0000-0000512C0000}"/>
    <cellStyle name="Normal 2 5 2 4 3 6_SSL" xfId="16881" xr:uid="{00000000-0005-0000-0000-0000522C0000}"/>
    <cellStyle name="Normal 2 5 2 4 3 7" xfId="5695" xr:uid="{00000000-0005-0000-0000-0000532C0000}"/>
    <cellStyle name="Normal 2 5 2 4 3 7 2" xfId="12333" xr:uid="{00000000-0005-0000-0000-0000542C0000}"/>
    <cellStyle name="Normal 2 5 2 4 3 7_SSL" xfId="17073" xr:uid="{00000000-0005-0000-0000-0000552C0000}"/>
    <cellStyle name="Normal 2 5 2 4 3 8" xfId="7412" xr:uid="{00000000-0005-0000-0000-0000562C0000}"/>
    <cellStyle name="Normal 2 5 2 4 3 9" xfId="6612" xr:uid="{00000000-0005-0000-0000-0000572C0000}"/>
    <cellStyle name="Normal 2 5 2 4 3_SSL" xfId="15502" xr:uid="{00000000-0005-0000-0000-0000582C0000}"/>
    <cellStyle name="Normal 2 5 2 4 4" xfId="1611" xr:uid="{00000000-0005-0000-0000-0000592C0000}"/>
    <cellStyle name="Normal 2 5 2 4 4 2" xfId="8266" xr:uid="{00000000-0005-0000-0000-00005A2C0000}"/>
    <cellStyle name="Normal 2 5 2 4 4_SSL" xfId="17646" xr:uid="{00000000-0005-0000-0000-00005B2C0000}"/>
    <cellStyle name="Normal 2 5 2 4 5" xfId="2431" xr:uid="{00000000-0005-0000-0000-00005C2C0000}"/>
    <cellStyle name="Normal 2 5 2 4 5 2" xfId="9079" xr:uid="{00000000-0005-0000-0000-00005D2C0000}"/>
    <cellStyle name="Normal 2 5 2 4 5_SSL" xfId="16268" xr:uid="{00000000-0005-0000-0000-00005E2C0000}"/>
    <cellStyle name="Normal 2 5 2 4 6" xfId="3250" xr:uid="{00000000-0005-0000-0000-00005F2C0000}"/>
    <cellStyle name="Normal 2 5 2 4 6 2" xfId="9895" xr:uid="{00000000-0005-0000-0000-0000602C0000}"/>
    <cellStyle name="Normal 2 5 2 4 6_SSL" xfId="17847" xr:uid="{00000000-0005-0000-0000-0000612C0000}"/>
    <cellStyle name="Normal 2 5 2 4 7" xfId="4071" xr:uid="{00000000-0005-0000-0000-0000622C0000}"/>
    <cellStyle name="Normal 2 5 2 4 7 2" xfId="10711" xr:uid="{00000000-0005-0000-0000-0000632C0000}"/>
    <cellStyle name="Normal 2 5 2 4 7_SSL" xfId="13942" xr:uid="{00000000-0005-0000-0000-0000642C0000}"/>
    <cellStyle name="Normal 2 5 2 4 8" xfId="4882" xr:uid="{00000000-0005-0000-0000-0000652C0000}"/>
    <cellStyle name="Normal 2 5 2 4 8 2" xfId="11521" xr:uid="{00000000-0005-0000-0000-0000662C0000}"/>
    <cellStyle name="Normal 2 5 2 4 8_SSL" xfId="16359" xr:uid="{00000000-0005-0000-0000-0000672C0000}"/>
    <cellStyle name="Normal 2 5 2 4 9" xfId="5692" xr:uid="{00000000-0005-0000-0000-0000682C0000}"/>
    <cellStyle name="Normal 2 5 2 4 9 2" xfId="12330" xr:uid="{00000000-0005-0000-0000-0000692C0000}"/>
    <cellStyle name="Normal 2 5 2 4 9_SSL" xfId="13256" xr:uid="{00000000-0005-0000-0000-00006A2C0000}"/>
    <cellStyle name="Normal 2 5 2 4_SSL" xfId="15751" xr:uid="{00000000-0005-0000-0000-00006B2C0000}"/>
    <cellStyle name="Normal 2 5 2 5" xfId="176" xr:uid="{00000000-0005-0000-0000-00006C2C0000}"/>
    <cellStyle name="Normal 2 5 2 5 10" xfId="7053" xr:uid="{00000000-0005-0000-0000-00006D2C0000}"/>
    <cellStyle name="Normal 2 5 2 5 11" xfId="6613" xr:uid="{00000000-0005-0000-0000-00006E2C0000}"/>
    <cellStyle name="Normal 2 5 2 5 2" xfId="390" xr:uid="{00000000-0005-0000-0000-00006F2C0000}"/>
    <cellStyle name="Normal 2 5 2 5 2 10" xfId="6614" xr:uid="{00000000-0005-0000-0000-0000702C0000}"/>
    <cellStyle name="Normal 2 5 2 5 2 2" xfId="778" xr:uid="{00000000-0005-0000-0000-0000712C0000}"/>
    <cellStyle name="Normal 2 5 2 5 2 2 2" xfId="1617" xr:uid="{00000000-0005-0000-0000-0000722C0000}"/>
    <cellStyle name="Normal 2 5 2 5 2 2 2 2" xfId="8272" xr:uid="{00000000-0005-0000-0000-0000732C0000}"/>
    <cellStyle name="Normal 2 5 2 5 2 2 2_SSL" xfId="17334" xr:uid="{00000000-0005-0000-0000-0000742C0000}"/>
    <cellStyle name="Normal 2 5 2 5 2 2 3" xfId="2437" xr:uid="{00000000-0005-0000-0000-0000752C0000}"/>
    <cellStyle name="Normal 2 5 2 5 2 2 3 2" xfId="9085" xr:uid="{00000000-0005-0000-0000-0000762C0000}"/>
    <cellStyle name="Normal 2 5 2 5 2 2 3_SSL" xfId="17215" xr:uid="{00000000-0005-0000-0000-0000772C0000}"/>
    <cellStyle name="Normal 2 5 2 5 2 2 4" xfId="3256" xr:uid="{00000000-0005-0000-0000-0000782C0000}"/>
    <cellStyle name="Normal 2 5 2 5 2 2 4 2" xfId="9901" xr:uid="{00000000-0005-0000-0000-0000792C0000}"/>
    <cellStyle name="Normal 2 5 2 5 2 2 4_SSL" xfId="14992" xr:uid="{00000000-0005-0000-0000-00007A2C0000}"/>
    <cellStyle name="Normal 2 5 2 5 2 2 5" xfId="4077" xr:uid="{00000000-0005-0000-0000-00007B2C0000}"/>
    <cellStyle name="Normal 2 5 2 5 2 2 5 2" xfId="10717" xr:uid="{00000000-0005-0000-0000-00007C2C0000}"/>
    <cellStyle name="Normal 2 5 2 5 2 2 5_SSL" xfId="14170" xr:uid="{00000000-0005-0000-0000-00007D2C0000}"/>
    <cellStyle name="Normal 2 5 2 5 2 2 6" xfId="4888" xr:uid="{00000000-0005-0000-0000-00007E2C0000}"/>
    <cellStyle name="Normal 2 5 2 5 2 2 6 2" xfId="11527" xr:uid="{00000000-0005-0000-0000-00007F2C0000}"/>
    <cellStyle name="Normal 2 5 2 5 2 2 6_SSL" xfId="14865" xr:uid="{00000000-0005-0000-0000-0000802C0000}"/>
    <cellStyle name="Normal 2 5 2 5 2 2 7" xfId="5698" xr:uid="{00000000-0005-0000-0000-0000812C0000}"/>
    <cellStyle name="Normal 2 5 2 5 2 2 7 2" xfId="12336" xr:uid="{00000000-0005-0000-0000-0000822C0000}"/>
    <cellStyle name="Normal 2 5 2 5 2 2 7_SSL" xfId="14528" xr:uid="{00000000-0005-0000-0000-0000832C0000}"/>
    <cellStyle name="Normal 2 5 2 5 2 2 8" xfId="7634" xr:uid="{00000000-0005-0000-0000-0000842C0000}"/>
    <cellStyle name="Normal 2 5 2 5 2 2 9" xfId="6615" xr:uid="{00000000-0005-0000-0000-0000852C0000}"/>
    <cellStyle name="Normal 2 5 2 5 2 2_SSL" xfId="17114" xr:uid="{00000000-0005-0000-0000-0000862C0000}"/>
    <cellStyle name="Normal 2 5 2 5 2 3" xfId="1616" xr:uid="{00000000-0005-0000-0000-0000872C0000}"/>
    <cellStyle name="Normal 2 5 2 5 2 3 2" xfId="8271" xr:uid="{00000000-0005-0000-0000-0000882C0000}"/>
    <cellStyle name="Normal 2 5 2 5 2 3_SSL" xfId="16403" xr:uid="{00000000-0005-0000-0000-0000892C0000}"/>
    <cellStyle name="Normal 2 5 2 5 2 4" xfId="2436" xr:uid="{00000000-0005-0000-0000-00008A2C0000}"/>
    <cellStyle name="Normal 2 5 2 5 2 4 2" xfId="9084" xr:uid="{00000000-0005-0000-0000-00008B2C0000}"/>
    <cellStyle name="Normal 2 5 2 5 2 4_SSL" xfId="13937" xr:uid="{00000000-0005-0000-0000-00008C2C0000}"/>
    <cellStyle name="Normal 2 5 2 5 2 5" xfId="3255" xr:uid="{00000000-0005-0000-0000-00008D2C0000}"/>
    <cellStyle name="Normal 2 5 2 5 2 5 2" xfId="9900" xr:uid="{00000000-0005-0000-0000-00008E2C0000}"/>
    <cellStyle name="Normal 2 5 2 5 2 5_SSL" xfId="16818" xr:uid="{00000000-0005-0000-0000-00008F2C0000}"/>
    <cellStyle name="Normal 2 5 2 5 2 6" xfId="4076" xr:uid="{00000000-0005-0000-0000-0000902C0000}"/>
    <cellStyle name="Normal 2 5 2 5 2 6 2" xfId="10716" xr:uid="{00000000-0005-0000-0000-0000912C0000}"/>
    <cellStyle name="Normal 2 5 2 5 2 6_SSL" xfId="16029" xr:uid="{00000000-0005-0000-0000-0000922C0000}"/>
    <cellStyle name="Normal 2 5 2 5 2 7" xfId="4887" xr:uid="{00000000-0005-0000-0000-0000932C0000}"/>
    <cellStyle name="Normal 2 5 2 5 2 7 2" xfId="11526" xr:uid="{00000000-0005-0000-0000-0000942C0000}"/>
    <cellStyle name="Normal 2 5 2 5 2 7_SSL" xfId="15893" xr:uid="{00000000-0005-0000-0000-0000952C0000}"/>
    <cellStyle name="Normal 2 5 2 5 2 8" xfId="5697" xr:uid="{00000000-0005-0000-0000-0000962C0000}"/>
    <cellStyle name="Normal 2 5 2 5 2 8 2" xfId="12335" xr:uid="{00000000-0005-0000-0000-0000972C0000}"/>
    <cellStyle name="Normal 2 5 2 5 2 8_SSL" xfId="17739" xr:uid="{00000000-0005-0000-0000-0000982C0000}"/>
    <cellStyle name="Normal 2 5 2 5 2 9" xfId="7250" xr:uid="{00000000-0005-0000-0000-0000992C0000}"/>
    <cellStyle name="Normal 2 5 2 5 2_SSL" xfId="14376" xr:uid="{00000000-0005-0000-0000-00009A2C0000}"/>
    <cellStyle name="Normal 2 5 2 5 3" xfId="581" xr:uid="{00000000-0005-0000-0000-00009B2C0000}"/>
    <cellStyle name="Normal 2 5 2 5 3 2" xfId="1618" xr:uid="{00000000-0005-0000-0000-00009C2C0000}"/>
    <cellStyle name="Normal 2 5 2 5 3 2 2" xfId="8273" xr:uid="{00000000-0005-0000-0000-00009D2C0000}"/>
    <cellStyle name="Normal 2 5 2 5 3 2_SSL" xfId="14065" xr:uid="{00000000-0005-0000-0000-00009E2C0000}"/>
    <cellStyle name="Normal 2 5 2 5 3 3" xfId="2438" xr:uid="{00000000-0005-0000-0000-00009F2C0000}"/>
    <cellStyle name="Normal 2 5 2 5 3 3 2" xfId="9086" xr:uid="{00000000-0005-0000-0000-0000A02C0000}"/>
    <cellStyle name="Normal 2 5 2 5 3 3_SSL" xfId="13346" xr:uid="{00000000-0005-0000-0000-0000A12C0000}"/>
    <cellStyle name="Normal 2 5 2 5 3 4" xfId="3257" xr:uid="{00000000-0005-0000-0000-0000A22C0000}"/>
    <cellStyle name="Normal 2 5 2 5 3 4 2" xfId="9902" xr:uid="{00000000-0005-0000-0000-0000A32C0000}"/>
    <cellStyle name="Normal 2 5 2 5 3 4_SSL" xfId="13396" xr:uid="{00000000-0005-0000-0000-0000A42C0000}"/>
    <cellStyle name="Normal 2 5 2 5 3 5" xfId="4078" xr:uid="{00000000-0005-0000-0000-0000A52C0000}"/>
    <cellStyle name="Normal 2 5 2 5 3 5 2" xfId="10718" xr:uid="{00000000-0005-0000-0000-0000A62C0000}"/>
    <cellStyle name="Normal 2 5 2 5 3 5_SSL" xfId="13411" xr:uid="{00000000-0005-0000-0000-0000A72C0000}"/>
    <cellStyle name="Normal 2 5 2 5 3 6" xfId="4889" xr:uid="{00000000-0005-0000-0000-0000A82C0000}"/>
    <cellStyle name="Normal 2 5 2 5 3 6 2" xfId="11528" xr:uid="{00000000-0005-0000-0000-0000A92C0000}"/>
    <cellStyle name="Normal 2 5 2 5 3 6_SSL" xfId="14744" xr:uid="{00000000-0005-0000-0000-0000AA2C0000}"/>
    <cellStyle name="Normal 2 5 2 5 3 7" xfId="5699" xr:uid="{00000000-0005-0000-0000-0000AB2C0000}"/>
    <cellStyle name="Normal 2 5 2 5 3 7 2" xfId="12337" xr:uid="{00000000-0005-0000-0000-0000AC2C0000}"/>
    <cellStyle name="Normal 2 5 2 5 3 7_SSL" xfId="13935" xr:uid="{00000000-0005-0000-0000-0000AD2C0000}"/>
    <cellStyle name="Normal 2 5 2 5 3 8" xfId="7437" xr:uid="{00000000-0005-0000-0000-0000AE2C0000}"/>
    <cellStyle name="Normal 2 5 2 5 3 9" xfId="6616" xr:uid="{00000000-0005-0000-0000-0000AF2C0000}"/>
    <cellStyle name="Normal 2 5 2 5 3_SSL" xfId="17015" xr:uid="{00000000-0005-0000-0000-0000B02C0000}"/>
    <cellStyle name="Normal 2 5 2 5 4" xfId="1615" xr:uid="{00000000-0005-0000-0000-0000B12C0000}"/>
    <cellStyle name="Normal 2 5 2 5 4 2" xfId="8270" xr:uid="{00000000-0005-0000-0000-0000B22C0000}"/>
    <cellStyle name="Normal 2 5 2 5 4_SSL" xfId="15038" xr:uid="{00000000-0005-0000-0000-0000B32C0000}"/>
    <cellStyle name="Normal 2 5 2 5 5" xfId="2435" xr:uid="{00000000-0005-0000-0000-0000B42C0000}"/>
    <cellStyle name="Normal 2 5 2 5 5 2" xfId="9083" xr:uid="{00000000-0005-0000-0000-0000B52C0000}"/>
    <cellStyle name="Normal 2 5 2 5 5_SSL" xfId="17317" xr:uid="{00000000-0005-0000-0000-0000B62C0000}"/>
    <cellStyle name="Normal 2 5 2 5 6" xfId="3254" xr:uid="{00000000-0005-0000-0000-0000B72C0000}"/>
    <cellStyle name="Normal 2 5 2 5 6 2" xfId="9899" xr:uid="{00000000-0005-0000-0000-0000B82C0000}"/>
    <cellStyle name="Normal 2 5 2 5 6_SSL" xfId="17439" xr:uid="{00000000-0005-0000-0000-0000B92C0000}"/>
    <cellStyle name="Normal 2 5 2 5 7" xfId="4075" xr:uid="{00000000-0005-0000-0000-0000BA2C0000}"/>
    <cellStyle name="Normal 2 5 2 5 7 2" xfId="10715" xr:uid="{00000000-0005-0000-0000-0000BB2C0000}"/>
    <cellStyle name="Normal 2 5 2 5 7_SSL" xfId="15697" xr:uid="{00000000-0005-0000-0000-0000BC2C0000}"/>
    <cellStyle name="Normal 2 5 2 5 8" xfId="4886" xr:uid="{00000000-0005-0000-0000-0000BD2C0000}"/>
    <cellStyle name="Normal 2 5 2 5 8 2" xfId="11525" xr:uid="{00000000-0005-0000-0000-0000BE2C0000}"/>
    <cellStyle name="Normal 2 5 2 5 8_SSL" xfId="13046" xr:uid="{00000000-0005-0000-0000-0000BF2C0000}"/>
    <cellStyle name="Normal 2 5 2 5 9" xfId="5696" xr:uid="{00000000-0005-0000-0000-0000C02C0000}"/>
    <cellStyle name="Normal 2 5 2 5 9 2" xfId="12334" xr:uid="{00000000-0005-0000-0000-0000C12C0000}"/>
    <cellStyle name="Normal 2 5 2 5 9_SSL" xfId="12839" xr:uid="{00000000-0005-0000-0000-0000C22C0000}"/>
    <cellStyle name="Normal 2 5 2 5_SSL" xfId="14913" xr:uid="{00000000-0005-0000-0000-0000C32C0000}"/>
    <cellStyle name="Normal 2 5 2 6" xfId="247" xr:uid="{00000000-0005-0000-0000-0000C42C0000}"/>
    <cellStyle name="Normal 2 5 2 6 10" xfId="7124" xr:uid="{00000000-0005-0000-0000-0000C52C0000}"/>
    <cellStyle name="Normal 2 5 2 6 11" xfId="6617" xr:uid="{00000000-0005-0000-0000-0000C62C0000}"/>
    <cellStyle name="Normal 2 5 2 6 2" xfId="391" xr:uid="{00000000-0005-0000-0000-0000C72C0000}"/>
    <cellStyle name="Normal 2 5 2 6 2 10" xfId="6618" xr:uid="{00000000-0005-0000-0000-0000C82C0000}"/>
    <cellStyle name="Normal 2 5 2 6 2 2" xfId="779" xr:uid="{00000000-0005-0000-0000-0000C92C0000}"/>
    <cellStyle name="Normal 2 5 2 6 2 2 2" xfId="1621" xr:uid="{00000000-0005-0000-0000-0000CA2C0000}"/>
    <cellStyle name="Normal 2 5 2 6 2 2 2 2" xfId="8276" xr:uid="{00000000-0005-0000-0000-0000CB2C0000}"/>
    <cellStyle name="Normal 2 5 2 6 2 2 2_SSL" xfId="14684" xr:uid="{00000000-0005-0000-0000-0000CC2C0000}"/>
    <cellStyle name="Normal 2 5 2 6 2 2 3" xfId="2441" xr:uid="{00000000-0005-0000-0000-0000CD2C0000}"/>
    <cellStyle name="Normal 2 5 2 6 2 2 3 2" xfId="9089" xr:uid="{00000000-0005-0000-0000-0000CE2C0000}"/>
    <cellStyle name="Normal 2 5 2 6 2 2 3_SSL" xfId="16195" xr:uid="{00000000-0005-0000-0000-0000CF2C0000}"/>
    <cellStyle name="Normal 2 5 2 6 2 2 4" xfId="3260" xr:uid="{00000000-0005-0000-0000-0000D02C0000}"/>
    <cellStyle name="Normal 2 5 2 6 2 2 4 2" xfId="9905" xr:uid="{00000000-0005-0000-0000-0000D12C0000}"/>
    <cellStyle name="Normal 2 5 2 6 2 2 4_SSL" xfId="16507" xr:uid="{00000000-0005-0000-0000-0000D22C0000}"/>
    <cellStyle name="Normal 2 5 2 6 2 2 5" xfId="4081" xr:uid="{00000000-0005-0000-0000-0000D32C0000}"/>
    <cellStyle name="Normal 2 5 2 6 2 2 5 2" xfId="10721" xr:uid="{00000000-0005-0000-0000-0000D42C0000}"/>
    <cellStyle name="Normal 2 5 2 6 2 2 5_SSL" xfId="14330" xr:uid="{00000000-0005-0000-0000-0000D52C0000}"/>
    <cellStyle name="Normal 2 5 2 6 2 2 6" xfId="4892" xr:uid="{00000000-0005-0000-0000-0000D62C0000}"/>
    <cellStyle name="Normal 2 5 2 6 2 2 6 2" xfId="11531" xr:uid="{00000000-0005-0000-0000-0000D72C0000}"/>
    <cellStyle name="Normal 2 5 2 6 2 2 6_SSL" xfId="17039" xr:uid="{00000000-0005-0000-0000-0000D82C0000}"/>
    <cellStyle name="Normal 2 5 2 6 2 2 7" xfId="5702" xr:uid="{00000000-0005-0000-0000-0000D92C0000}"/>
    <cellStyle name="Normal 2 5 2 6 2 2 7 2" xfId="12340" xr:uid="{00000000-0005-0000-0000-0000DA2C0000}"/>
    <cellStyle name="Normal 2 5 2 6 2 2 7_SSL" xfId="16841" xr:uid="{00000000-0005-0000-0000-0000DB2C0000}"/>
    <cellStyle name="Normal 2 5 2 6 2 2 8" xfId="7635" xr:uid="{00000000-0005-0000-0000-0000DC2C0000}"/>
    <cellStyle name="Normal 2 5 2 6 2 2 9" xfId="6619" xr:uid="{00000000-0005-0000-0000-0000DD2C0000}"/>
    <cellStyle name="Normal 2 5 2 6 2 2_SSL" xfId="17025" xr:uid="{00000000-0005-0000-0000-0000DE2C0000}"/>
    <cellStyle name="Normal 2 5 2 6 2 3" xfId="1620" xr:uid="{00000000-0005-0000-0000-0000DF2C0000}"/>
    <cellStyle name="Normal 2 5 2 6 2 3 2" xfId="8275" xr:uid="{00000000-0005-0000-0000-0000E02C0000}"/>
    <cellStyle name="Normal 2 5 2 6 2 3_SSL" xfId="12757" xr:uid="{00000000-0005-0000-0000-0000E12C0000}"/>
    <cellStyle name="Normal 2 5 2 6 2 4" xfId="2440" xr:uid="{00000000-0005-0000-0000-0000E22C0000}"/>
    <cellStyle name="Normal 2 5 2 6 2 4 2" xfId="9088" xr:uid="{00000000-0005-0000-0000-0000E32C0000}"/>
    <cellStyle name="Normal 2 5 2 6 2 4_SSL" xfId="13603" xr:uid="{00000000-0005-0000-0000-0000E42C0000}"/>
    <cellStyle name="Normal 2 5 2 6 2 5" xfId="3259" xr:uid="{00000000-0005-0000-0000-0000E52C0000}"/>
    <cellStyle name="Normal 2 5 2 6 2 5 2" xfId="9904" xr:uid="{00000000-0005-0000-0000-0000E62C0000}"/>
    <cellStyle name="Normal 2 5 2 6 2 5_SSL" xfId="17798" xr:uid="{00000000-0005-0000-0000-0000E72C0000}"/>
    <cellStyle name="Normal 2 5 2 6 2 6" xfId="4080" xr:uid="{00000000-0005-0000-0000-0000E82C0000}"/>
    <cellStyle name="Normal 2 5 2 6 2 6 2" xfId="10720" xr:uid="{00000000-0005-0000-0000-0000E92C0000}"/>
    <cellStyle name="Normal 2 5 2 6 2 6_SSL" xfId="16253" xr:uid="{00000000-0005-0000-0000-0000EA2C0000}"/>
    <cellStyle name="Normal 2 5 2 6 2 7" xfId="4891" xr:uid="{00000000-0005-0000-0000-0000EB2C0000}"/>
    <cellStyle name="Normal 2 5 2 6 2 7 2" xfId="11530" xr:uid="{00000000-0005-0000-0000-0000EC2C0000}"/>
    <cellStyle name="Normal 2 5 2 6 2 7_SSL" xfId="17514" xr:uid="{00000000-0005-0000-0000-0000ED2C0000}"/>
    <cellStyle name="Normal 2 5 2 6 2 8" xfId="5701" xr:uid="{00000000-0005-0000-0000-0000EE2C0000}"/>
    <cellStyle name="Normal 2 5 2 6 2 8 2" xfId="12339" xr:uid="{00000000-0005-0000-0000-0000EF2C0000}"/>
    <cellStyle name="Normal 2 5 2 6 2 8_SSL" xfId="14043" xr:uid="{00000000-0005-0000-0000-0000F02C0000}"/>
    <cellStyle name="Normal 2 5 2 6 2 9" xfId="7251" xr:uid="{00000000-0005-0000-0000-0000F12C0000}"/>
    <cellStyle name="Normal 2 5 2 6 2_SSL" xfId="14040" xr:uid="{00000000-0005-0000-0000-0000F22C0000}"/>
    <cellStyle name="Normal 2 5 2 6 3" xfId="652" xr:uid="{00000000-0005-0000-0000-0000F32C0000}"/>
    <cellStyle name="Normal 2 5 2 6 3 2" xfId="1622" xr:uid="{00000000-0005-0000-0000-0000F42C0000}"/>
    <cellStyle name="Normal 2 5 2 6 3 2 2" xfId="8277" xr:uid="{00000000-0005-0000-0000-0000F52C0000}"/>
    <cellStyle name="Normal 2 5 2 6 3 2_SSL" xfId="14021" xr:uid="{00000000-0005-0000-0000-0000F62C0000}"/>
    <cellStyle name="Normal 2 5 2 6 3 3" xfId="2442" xr:uid="{00000000-0005-0000-0000-0000F72C0000}"/>
    <cellStyle name="Normal 2 5 2 6 3 3 2" xfId="9090" xr:uid="{00000000-0005-0000-0000-0000F82C0000}"/>
    <cellStyle name="Normal 2 5 2 6 3 3_SSL" xfId="14530" xr:uid="{00000000-0005-0000-0000-0000F92C0000}"/>
    <cellStyle name="Normal 2 5 2 6 3 4" xfId="3261" xr:uid="{00000000-0005-0000-0000-0000FA2C0000}"/>
    <cellStyle name="Normal 2 5 2 6 3 4 2" xfId="9906" xr:uid="{00000000-0005-0000-0000-0000FB2C0000}"/>
    <cellStyle name="Normal 2 5 2 6 3 4_SSL" xfId="16765" xr:uid="{00000000-0005-0000-0000-0000FC2C0000}"/>
    <cellStyle name="Normal 2 5 2 6 3 5" xfId="4082" xr:uid="{00000000-0005-0000-0000-0000FD2C0000}"/>
    <cellStyle name="Normal 2 5 2 6 3 5 2" xfId="10722" xr:uid="{00000000-0005-0000-0000-0000FE2C0000}"/>
    <cellStyle name="Normal 2 5 2 6 3 5_SSL" xfId="13772" xr:uid="{00000000-0005-0000-0000-0000FF2C0000}"/>
    <cellStyle name="Normal 2 5 2 6 3 6" xfId="4893" xr:uid="{00000000-0005-0000-0000-0000002D0000}"/>
    <cellStyle name="Normal 2 5 2 6 3 6 2" xfId="11532" xr:uid="{00000000-0005-0000-0000-0000012D0000}"/>
    <cellStyle name="Normal 2 5 2 6 3 6_SSL" xfId="15832" xr:uid="{00000000-0005-0000-0000-0000022D0000}"/>
    <cellStyle name="Normal 2 5 2 6 3 7" xfId="5703" xr:uid="{00000000-0005-0000-0000-0000032D0000}"/>
    <cellStyle name="Normal 2 5 2 6 3 7 2" xfId="12341" xr:uid="{00000000-0005-0000-0000-0000042D0000}"/>
    <cellStyle name="Normal 2 5 2 6 3 7_SSL" xfId="17214" xr:uid="{00000000-0005-0000-0000-0000052D0000}"/>
    <cellStyle name="Normal 2 5 2 6 3 8" xfId="7508" xr:uid="{00000000-0005-0000-0000-0000062D0000}"/>
    <cellStyle name="Normal 2 5 2 6 3 9" xfId="6620" xr:uid="{00000000-0005-0000-0000-0000072D0000}"/>
    <cellStyle name="Normal 2 5 2 6 3_SSL" xfId="17536" xr:uid="{00000000-0005-0000-0000-0000082D0000}"/>
    <cellStyle name="Normal 2 5 2 6 4" xfId="1619" xr:uid="{00000000-0005-0000-0000-0000092D0000}"/>
    <cellStyle name="Normal 2 5 2 6 4 2" xfId="8274" xr:uid="{00000000-0005-0000-0000-00000A2D0000}"/>
    <cellStyle name="Normal 2 5 2 6 4_SSL" xfId="16047" xr:uid="{00000000-0005-0000-0000-00000B2D0000}"/>
    <cellStyle name="Normal 2 5 2 6 5" xfId="2439" xr:uid="{00000000-0005-0000-0000-00000C2D0000}"/>
    <cellStyle name="Normal 2 5 2 6 5 2" xfId="9087" xr:uid="{00000000-0005-0000-0000-00000D2D0000}"/>
    <cellStyle name="Normal 2 5 2 6 5_SSL" xfId="13018" xr:uid="{00000000-0005-0000-0000-00000E2D0000}"/>
    <cellStyle name="Normal 2 5 2 6 6" xfId="3258" xr:uid="{00000000-0005-0000-0000-00000F2D0000}"/>
    <cellStyle name="Normal 2 5 2 6 6 2" xfId="9903" xr:uid="{00000000-0005-0000-0000-0000102D0000}"/>
    <cellStyle name="Normal 2 5 2 6 6_SSL" xfId="13048" xr:uid="{00000000-0005-0000-0000-0000112D0000}"/>
    <cellStyle name="Normal 2 5 2 6 7" xfId="4079" xr:uid="{00000000-0005-0000-0000-0000122D0000}"/>
    <cellStyle name="Normal 2 5 2 6 7 2" xfId="10719" xr:uid="{00000000-0005-0000-0000-0000132D0000}"/>
    <cellStyle name="Normal 2 5 2 6 7_SSL" xfId="14437" xr:uid="{00000000-0005-0000-0000-0000142D0000}"/>
    <cellStyle name="Normal 2 5 2 6 8" xfId="4890" xr:uid="{00000000-0005-0000-0000-0000152D0000}"/>
    <cellStyle name="Normal 2 5 2 6 8 2" xfId="11529" xr:uid="{00000000-0005-0000-0000-0000162D0000}"/>
    <cellStyle name="Normal 2 5 2 6 8_SSL" xfId="17086" xr:uid="{00000000-0005-0000-0000-0000172D0000}"/>
    <cellStyle name="Normal 2 5 2 6 9" xfId="5700" xr:uid="{00000000-0005-0000-0000-0000182D0000}"/>
    <cellStyle name="Normal 2 5 2 6 9 2" xfId="12338" xr:uid="{00000000-0005-0000-0000-0000192D0000}"/>
    <cellStyle name="Normal 2 5 2 6 9_SSL" xfId="15312" xr:uid="{00000000-0005-0000-0000-00001A2D0000}"/>
    <cellStyle name="Normal 2 5 2 6_SSL" xfId="6708" xr:uid="{00000000-0005-0000-0000-00001B2D0000}"/>
    <cellStyle name="Normal 2 5 2 7" xfId="384" xr:uid="{00000000-0005-0000-0000-00001C2D0000}"/>
    <cellStyle name="Normal 2 5 2 7 10" xfId="6621" xr:uid="{00000000-0005-0000-0000-00001D2D0000}"/>
    <cellStyle name="Normal 2 5 2 7 2" xfId="772" xr:uid="{00000000-0005-0000-0000-00001E2D0000}"/>
    <cellStyle name="Normal 2 5 2 7 2 2" xfId="1624" xr:uid="{00000000-0005-0000-0000-00001F2D0000}"/>
    <cellStyle name="Normal 2 5 2 7 2 2 2" xfId="8279" xr:uid="{00000000-0005-0000-0000-0000202D0000}"/>
    <cellStyle name="Normal 2 5 2 7 2 2_SSL" xfId="14206" xr:uid="{00000000-0005-0000-0000-0000212D0000}"/>
    <cellStyle name="Normal 2 5 2 7 2 3" xfId="2444" xr:uid="{00000000-0005-0000-0000-0000222D0000}"/>
    <cellStyle name="Normal 2 5 2 7 2 3 2" xfId="9092" xr:uid="{00000000-0005-0000-0000-0000232D0000}"/>
    <cellStyle name="Normal 2 5 2 7 2 3_SSL" xfId="14611" xr:uid="{00000000-0005-0000-0000-0000242D0000}"/>
    <cellStyle name="Normal 2 5 2 7 2 4" xfId="3263" xr:uid="{00000000-0005-0000-0000-0000252D0000}"/>
    <cellStyle name="Normal 2 5 2 7 2 4 2" xfId="9908" xr:uid="{00000000-0005-0000-0000-0000262D0000}"/>
    <cellStyle name="Normal 2 5 2 7 2 4_SSL" xfId="15986" xr:uid="{00000000-0005-0000-0000-0000272D0000}"/>
    <cellStyle name="Normal 2 5 2 7 2 5" xfId="4084" xr:uid="{00000000-0005-0000-0000-0000282D0000}"/>
    <cellStyle name="Normal 2 5 2 7 2 5 2" xfId="10724" xr:uid="{00000000-0005-0000-0000-0000292D0000}"/>
    <cellStyle name="Normal 2 5 2 7 2 5_SSL" xfId="13280" xr:uid="{00000000-0005-0000-0000-00002A2D0000}"/>
    <cellStyle name="Normal 2 5 2 7 2 6" xfId="4895" xr:uid="{00000000-0005-0000-0000-00002B2D0000}"/>
    <cellStyle name="Normal 2 5 2 7 2 6 2" xfId="11534" xr:uid="{00000000-0005-0000-0000-00002C2D0000}"/>
    <cellStyle name="Normal 2 5 2 7 2 6_SSL" xfId="15824" xr:uid="{00000000-0005-0000-0000-00002D2D0000}"/>
    <cellStyle name="Normal 2 5 2 7 2 7" xfId="5705" xr:uid="{00000000-0005-0000-0000-00002E2D0000}"/>
    <cellStyle name="Normal 2 5 2 7 2 7 2" xfId="12343" xr:uid="{00000000-0005-0000-0000-00002F2D0000}"/>
    <cellStyle name="Normal 2 5 2 7 2 7_SSL" xfId="15649" xr:uid="{00000000-0005-0000-0000-0000302D0000}"/>
    <cellStyle name="Normal 2 5 2 7 2 8" xfId="7628" xr:uid="{00000000-0005-0000-0000-0000312D0000}"/>
    <cellStyle name="Normal 2 5 2 7 2 9" xfId="6622" xr:uid="{00000000-0005-0000-0000-0000322D0000}"/>
    <cellStyle name="Normal 2 5 2 7 2_SSL" xfId="16463" xr:uid="{00000000-0005-0000-0000-0000332D0000}"/>
    <cellStyle name="Normal 2 5 2 7 3" xfId="1623" xr:uid="{00000000-0005-0000-0000-0000342D0000}"/>
    <cellStyle name="Normal 2 5 2 7 3 2" xfId="8278" xr:uid="{00000000-0005-0000-0000-0000352D0000}"/>
    <cellStyle name="Normal 2 5 2 7 3_SSL" xfId="13821" xr:uid="{00000000-0005-0000-0000-0000362D0000}"/>
    <cellStyle name="Normal 2 5 2 7 4" xfId="2443" xr:uid="{00000000-0005-0000-0000-0000372D0000}"/>
    <cellStyle name="Normal 2 5 2 7 4 2" xfId="9091" xr:uid="{00000000-0005-0000-0000-0000382D0000}"/>
    <cellStyle name="Normal 2 5 2 7 4_SSL" xfId="13221" xr:uid="{00000000-0005-0000-0000-0000392D0000}"/>
    <cellStyle name="Normal 2 5 2 7 5" xfId="3262" xr:uid="{00000000-0005-0000-0000-00003A2D0000}"/>
    <cellStyle name="Normal 2 5 2 7 5 2" xfId="9907" xr:uid="{00000000-0005-0000-0000-00003B2D0000}"/>
    <cellStyle name="Normal 2 5 2 7 5_SSL" xfId="17810" xr:uid="{00000000-0005-0000-0000-00003C2D0000}"/>
    <cellStyle name="Normal 2 5 2 7 6" xfId="4083" xr:uid="{00000000-0005-0000-0000-00003D2D0000}"/>
    <cellStyle name="Normal 2 5 2 7 6 2" xfId="10723" xr:uid="{00000000-0005-0000-0000-00003E2D0000}"/>
    <cellStyle name="Normal 2 5 2 7 6_SSL" xfId="15239" xr:uid="{00000000-0005-0000-0000-00003F2D0000}"/>
    <cellStyle name="Normal 2 5 2 7 7" xfId="4894" xr:uid="{00000000-0005-0000-0000-0000402D0000}"/>
    <cellStyle name="Normal 2 5 2 7 7 2" xfId="11533" xr:uid="{00000000-0005-0000-0000-0000412D0000}"/>
    <cellStyle name="Normal 2 5 2 7 7_SSL" xfId="14148" xr:uid="{00000000-0005-0000-0000-0000422D0000}"/>
    <cellStyle name="Normal 2 5 2 7 8" xfId="5704" xr:uid="{00000000-0005-0000-0000-0000432D0000}"/>
    <cellStyle name="Normal 2 5 2 7 8 2" xfId="12342" xr:uid="{00000000-0005-0000-0000-0000442D0000}"/>
    <cellStyle name="Normal 2 5 2 7 8_SSL" xfId="14676" xr:uid="{00000000-0005-0000-0000-0000452D0000}"/>
    <cellStyle name="Normal 2 5 2 7 9" xfId="7244" xr:uid="{00000000-0005-0000-0000-0000462D0000}"/>
    <cellStyle name="Normal 2 5 2 7_SSL" xfId="14046" xr:uid="{00000000-0005-0000-0000-0000472D0000}"/>
    <cellStyle name="Normal 2 5 2 8" xfId="485" xr:uid="{00000000-0005-0000-0000-0000482D0000}"/>
    <cellStyle name="Normal 2 5 2 8 2" xfId="1625" xr:uid="{00000000-0005-0000-0000-0000492D0000}"/>
    <cellStyle name="Normal 2 5 2 8 2 2" xfId="8280" xr:uid="{00000000-0005-0000-0000-00004A2D0000}"/>
    <cellStyle name="Normal 2 5 2 8 2_SSL" xfId="15046" xr:uid="{00000000-0005-0000-0000-00004B2D0000}"/>
    <cellStyle name="Normal 2 5 2 8 3" xfId="2445" xr:uid="{00000000-0005-0000-0000-00004C2D0000}"/>
    <cellStyle name="Normal 2 5 2 8 3 2" xfId="9093" xr:uid="{00000000-0005-0000-0000-00004D2D0000}"/>
    <cellStyle name="Normal 2 5 2 8 3_SSL" xfId="17527" xr:uid="{00000000-0005-0000-0000-00004E2D0000}"/>
    <cellStyle name="Normal 2 5 2 8 4" xfId="3264" xr:uid="{00000000-0005-0000-0000-00004F2D0000}"/>
    <cellStyle name="Normal 2 5 2 8 4 2" xfId="9909" xr:uid="{00000000-0005-0000-0000-0000502D0000}"/>
    <cellStyle name="Normal 2 5 2 8 4_SSL" xfId="17928" xr:uid="{00000000-0005-0000-0000-0000512D0000}"/>
    <cellStyle name="Normal 2 5 2 8 5" xfId="4085" xr:uid="{00000000-0005-0000-0000-0000522D0000}"/>
    <cellStyle name="Normal 2 5 2 8 5 2" xfId="10725" xr:uid="{00000000-0005-0000-0000-0000532D0000}"/>
    <cellStyle name="Normal 2 5 2 8 5_SSL" xfId="6027" xr:uid="{00000000-0005-0000-0000-0000542D0000}"/>
    <cellStyle name="Normal 2 5 2 8 6" xfId="4896" xr:uid="{00000000-0005-0000-0000-0000552D0000}"/>
    <cellStyle name="Normal 2 5 2 8 6 2" xfId="11535" xr:uid="{00000000-0005-0000-0000-0000562D0000}"/>
    <cellStyle name="Normal 2 5 2 8 6_SSL" xfId="17071" xr:uid="{00000000-0005-0000-0000-0000572D0000}"/>
    <cellStyle name="Normal 2 5 2 8 7" xfId="5706" xr:uid="{00000000-0005-0000-0000-0000582D0000}"/>
    <cellStyle name="Normal 2 5 2 8 7 2" xfId="12344" xr:uid="{00000000-0005-0000-0000-0000592D0000}"/>
    <cellStyle name="Normal 2 5 2 8 7_SSL" xfId="12809" xr:uid="{00000000-0005-0000-0000-00005A2D0000}"/>
    <cellStyle name="Normal 2 5 2 8 8" xfId="7341" xr:uid="{00000000-0005-0000-0000-00005B2D0000}"/>
    <cellStyle name="Normal 2 5 2 8 9" xfId="6623" xr:uid="{00000000-0005-0000-0000-00005C2D0000}"/>
    <cellStyle name="Normal 2 5 2 8_SSL" xfId="17515" xr:uid="{00000000-0005-0000-0000-00005D2D0000}"/>
    <cellStyle name="Normal 2 5 2 9" xfId="1594" xr:uid="{00000000-0005-0000-0000-00005E2D0000}"/>
    <cellStyle name="Normal 2 5 2 9 2" xfId="8249" xr:uid="{00000000-0005-0000-0000-00005F2D0000}"/>
    <cellStyle name="Normal 2 5 2 9_SSL" xfId="16639" xr:uid="{00000000-0005-0000-0000-0000602D0000}"/>
    <cellStyle name="Normal 2 5 2_SSL" xfId="14235" xr:uid="{00000000-0005-0000-0000-0000612D0000}"/>
    <cellStyle name="Normal 2 5 3" xfId="87" xr:uid="{00000000-0005-0000-0000-0000622D0000}"/>
    <cellStyle name="Normal 2 5 3 10" xfId="5707" xr:uid="{00000000-0005-0000-0000-0000632D0000}"/>
    <cellStyle name="Normal 2 5 3 10 2" xfId="12345" xr:uid="{00000000-0005-0000-0000-0000642D0000}"/>
    <cellStyle name="Normal 2 5 3 10_SSL" xfId="17097" xr:uid="{00000000-0005-0000-0000-0000652D0000}"/>
    <cellStyle name="Normal 2 5 3 11" xfId="6968" xr:uid="{00000000-0005-0000-0000-0000662D0000}"/>
    <cellStyle name="Normal 2 5 3 12" xfId="6624" xr:uid="{00000000-0005-0000-0000-0000672D0000}"/>
    <cellStyle name="Normal 2 5 3 2" xfId="187" xr:uid="{00000000-0005-0000-0000-0000682D0000}"/>
    <cellStyle name="Normal 2 5 3 2 10" xfId="7064" xr:uid="{00000000-0005-0000-0000-0000692D0000}"/>
    <cellStyle name="Normal 2 5 3 2 11" xfId="6625" xr:uid="{00000000-0005-0000-0000-00006A2D0000}"/>
    <cellStyle name="Normal 2 5 3 2 2" xfId="393" xr:uid="{00000000-0005-0000-0000-00006B2D0000}"/>
    <cellStyle name="Normal 2 5 3 2 2 10" xfId="6626" xr:uid="{00000000-0005-0000-0000-00006C2D0000}"/>
    <cellStyle name="Normal 2 5 3 2 2 2" xfId="781" xr:uid="{00000000-0005-0000-0000-00006D2D0000}"/>
    <cellStyle name="Normal 2 5 3 2 2 2 2" xfId="1629" xr:uid="{00000000-0005-0000-0000-00006E2D0000}"/>
    <cellStyle name="Normal 2 5 3 2 2 2 2 2" xfId="8284" xr:uid="{00000000-0005-0000-0000-00006F2D0000}"/>
    <cellStyle name="Normal 2 5 3 2 2 2 2_SSL" xfId="16520" xr:uid="{00000000-0005-0000-0000-0000702D0000}"/>
    <cellStyle name="Normal 2 5 3 2 2 2 3" xfId="2449" xr:uid="{00000000-0005-0000-0000-0000712D0000}"/>
    <cellStyle name="Normal 2 5 3 2 2 2 3 2" xfId="9097" xr:uid="{00000000-0005-0000-0000-0000722D0000}"/>
    <cellStyle name="Normal 2 5 3 2 2 2 3_SSL" xfId="14078" xr:uid="{00000000-0005-0000-0000-0000732D0000}"/>
    <cellStyle name="Normal 2 5 3 2 2 2 4" xfId="3268" xr:uid="{00000000-0005-0000-0000-0000742D0000}"/>
    <cellStyle name="Normal 2 5 3 2 2 2 4 2" xfId="9913" xr:uid="{00000000-0005-0000-0000-0000752D0000}"/>
    <cellStyle name="Normal 2 5 3 2 2 2 4_SSL" xfId="14795" xr:uid="{00000000-0005-0000-0000-0000762D0000}"/>
    <cellStyle name="Normal 2 5 3 2 2 2 5" xfId="4089" xr:uid="{00000000-0005-0000-0000-0000772D0000}"/>
    <cellStyle name="Normal 2 5 3 2 2 2 5 2" xfId="10729" xr:uid="{00000000-0005-0000-0000-0000782D0000}"/>
    <cellStyle name="Normal 2 5 3 2 2 2 5_SSL" xfId="12676" xr:uid="{00000000-0005-0000-0000-0000792D0000}"/>
    <cellStyle name="Normal 2 5 3 2 2 2 6" xfId="4900" xr:uid="{00000000-0005-0000-0000-00007A2D0000}"/>
    <cellStyle name="Normal 2 5 3 2 2 2 6 2" xfId="11539" xr:uid="{00000000-0005-0000-0000-00007B2D0000}"/>
    <cellStyle name="Normal 2 5 3 2 2 2 6_SSL" xfId="13792" xr:uid="{00000000-0005-0000-0000-00007C2D0000}"/>
    <cellStyle name="Normal 2 5 3 2 2 2 7" xfId="5710" xr:uid="{00000000-0005-0000-0000-00007D2D0000}"/>
    <cellStyle name="Normal 2 5 3 2 2 2 7 2" xfId="12348" xr:uid="{00000000-0005-0000-0000-00007E2D0000}"/>
    <cellStyle name="Normal 2 5 3 2 2 2 7_SSL" xfId="14954" xr:uid="{00000000-0005-0000-0000-00007F2D0000}"/>
    <cellStyle name="Normal 2 5 3 2 2 2 8" xfId="7637" xr:uid="{00000000-0005-0000-0000-0000802D0000}"/>
    <cellStyle name="Normal 2 5 3 2 2 2 9" xfId="6627" xr:uid="{00000000-0005-0000-0000-0000812D0000}"/>
    <cellStyle name="Normal 2 5 3 2 2 2_SSL" xfId="16526" xr:uid="{00000000-0005-0000-0000-0000822D0000}"/>
    <cellStyle name="Normal 2 5 3 2 2 3" xfId="1628" xr:uid="{00000000-0005-0000-0000-0000832D0000}"/>
    <cellStyle name="Normal 2 5 3 2 2 3 2" xfId="8283" xr:uid="{00000000-0005-0000-0000-0000842D0000}"/>
    <cellStyle name="Normal 2 5 3 2 2 3_SSL" xfId="13230" xr:uid="{00000000-0005-0000-0000-0000852D0000}"/>
    <cellStyle name="Normal 2 5 3 2 2 4" xfId="2448" xr:uid="{00000000-0005-0000-0000-0000862D0000}"/>
    <cellStyle name="Normal 2 5 3 2 2 4 2" xfId="9096" xr:uid="{00000000-0005-0000-0000-0000872D0000}"/>
    <cellStyle name="Normal 2 5 3 2 2 4_SSL" xfId="16971" xr:uid="{00000000-0005-0000-0000-0000882D0000}"/>
    <cellStyle name="Normal 2 5 3 2 2 5" xfId="3267" xr:uid="{00000000-0005-0000-0000-0000892D0000}"/>
    <cellStyle name="Normal 2 5 3 2 2 5 2" xfId="9912" xr:uid="{00000000-0005-0000-0000-00008A2D0000}"/>
    <cellStyle name="Normal 2 5 3 2 2 5_SSL" xfId="17430" xr:uid="{00000000-0005-0000-0000-00008B2D0000}"/>
    <cellStyle name="Normal 2 5 3 2 2 6" xfId="4088" xr:uid="{00000000-0005-0000-0000-00008C2D0000}"/>
    <cellStyle name="Normal 2 5 3 2 2 6 2" xfId="10728" xr:uid="{00000000-0005-0000-0000-00008D2D0000}"/>
    <cellStyle name="Normal 2 5 3 2 2 6_SSL" xfId="15864" xr:uid="{00000000-0005-0000-0000-00008E2D0000}"/>
    <cellStyle name="Normal 2 5 3 2 2 7" xfId="4899" xr:uid="{00000000-0005-0000-0000-00008F2D0000}"/>
    <cellStyle name="Normal 2 5 3 2 2 7 2" xfId="11538" xr:uid="{00000000-0005-0000-0000-0000902D0000}"/>
    <cellStyle name="Normal 2 5 3 2 2 7_SSL" xfId="15031" xr:uid="{00000000-0005-0000-0000-0000912D0000}"/>
    <cellStyle name="Normal 2 5 3 2 2 8" xfId="5709" xr:uid="{00000000-0005-0000-0000-0000922D0000}"/>
    <cellStyle name="Normal 2 5 3 2 2 8 2" xfId="12347" xr:uid="{00000000-0005-0000-0000-0000932D0000}"/>
    <cellStyle name="Normal 2 5 3 2 2 8_SSL" xfId="13457" xr:uid="{00000000-0005-0000-0000-0000942D0000}"/>
    <cellStyle name="Normal 2 5 3 2 2 9" xfId="7253" xr:uid="{00000000-0005-0000-0000-0000952D0000}"/>
    <cellStyle name="Normal 2 5 3 2 2_SSL" xfId="14207" xr:uid="{00000000-0005-0000-0000-0000962D0000}"/>
    <cellStyle name="Normal 2 5 3 2 3" xfId="592" xr:uid="{00000000-0005-0000-0000-0000972D0000}"/>
    <cellStyle name="Normal 2 5 3 2 3 2" xfId="1630" xr:uid="{00000000-0005-0000-0000-0000982D0000}"/>
    <cellStyle name="Normal 2 5 3 2 3 2 2" xfId="8285" xr:uid="{00000000-0005-0000-0000-0000992D0000}"/>
    <cellStyle name="Normal 2 5 3 2 3 2_SSL" xfId="17251" xr:uid="{00000000-0005-0000-0000-00009A2D0000}"/>
    <cellStyle name="Normal 2 5 3 2 3 3" xfId="2450" xr:uid="{00000000-0005-0000-0000-00009B2D0000}"/>
    <cellStyle name="Normal 2 5 3 2 3 3 2" xfId="9098" xr:uid="{00000000-0005-0000-0000-00009C2D0000}"/>
    <cellStyle name="Normal 2 5 3 2 3 3_SSL" xfId="14147" xr:uid="{00000000-0005-0000-0000-00009D2D0000}"/>
    <cellStyle name="Normal 2 5 3 2 3 4" xfId="3269" xr:uid="{00000000-0005-0000-0000-00009E2D0000}"/>
    <cellStyle name="Normal 2 5 3 2 3 4 2" xfId="9914" xr:uid="{00000000-0005-0000-0000-00009F2D0000}"/>
    <cellStyle name="Normal 2 5 3 2 3 4_SSL" xfId="15970" xr:uid="{00000000-0005-0000-0000-0000A02D0000}"/>
    <cellStyle name="Normal 2 5 3 2 3 5" xfId="4090" xr:uid="{00000000-0005-0000-0000-0000A12D0000}"/>
    <cellStyle name="Normal 2 5 3 2 3 5 2" xfId="10730" xr:uid="{00000000-0005-0000-0000-0000A22D0000}"/>
    <cellStyle name="Normal 2 5 3 2 3 5_SSL" xfId="15247" xr:uid="{00000000-0005-0000-0000-0000A32D0000}"/>
    <cellStyle name="Normal 2 5 3 2 3 6" xfId="4901" xr:uid="{00000000-0005-0000-0000-0000A42D0000}"/>
    <cellStyle name="Normal 2 5 3 2 3 6 2" xfId="11540" xr:uid="{00000000-0005-0000-0000-0000A52D0000}"/>
    <cellStyle name="Normal 2 5 3 2 3 6_SSL" xfId="15087" xr:uid="{00000000-0005-0000-0000-0000A62D0000}"/>
    <cellStyle name="Normal 2 5 3 2 3 7" xfId="5711" xr:uid="{00000000-0005-0000-0000-0000A72D0000}"/>
    <cellStyle name="Normal 2 5 3 2 3 7 2" xfId="12349" xr:uid="{00000000-0005-0000-0000-0000A82D0000}"/>
    <cellStyle name="Normal 2 5 3 2 3 7_SSL" xfId="15421" xr:uid="{00000000-0005-0000-0000-0000A92D0000}"/>
    <cellStyle name="Normal 2 5 3 2 3 8" xfId="7448" xr:uid="{00000000-0005-0000-0000-0000AA2D0000}"/>
    <cellStyle name="Normal 2 5 3 2 3 9" xfId="6628" xr:uid="{00000000-0005-0000-0000-0000AB2D0000}"/>
    <cellStyle name="Normal 2 5 3 2 3_SSL" xfId="17571" xr:uid="{00000000-0005-0000-0000-0000AC2D0000}"/>
    <cellStyle name="Normal 2 5 3 2 4" xfId="1627" xr:uid="{00000000-0005-0000-0000-0000AD2D0000}"/>
    <cellStyle name="Normal 2 5 3 2 4 2" xfId="8282" xr:uid="{00000000-0005-0000-0000-0000AE2D0000}"/>
    <cellStyle name="Normal 2 5 3 2 4_SSL" xfId="16831" xr:uid="{00000000-0005-0000-0000-0000AF2D0000}"/>
    <cellStyle name="Normal 2 5 3 2 5" xfId="2447" xr:uid="{00000000-0005-0000-0000-0000B02D0000}"/>
    <cellStyle name="Normal 2 5 3 2 5 2" xfId="9095" xr:uid="{00000000-0005-0000-0000-0000B12D0000}"/>
    <cellStyle name="Normal 2 5 3 2 5_SSL" xfId="13076" xr:uid="{00000000-0005-0000-0000-0000B22D0000}"/>
    <cellStyle name="Normal 2 5 3 2 6" xfId="3266" xr:uid="{00000000-0005-0000-0000-0000B32D0000}"/>
    <cellStyle name="Normal 2 5 3 2 6 2" xfId="9911" xr:uid="{00000000-0005-0000-0000-0000B42D0000}"/>
    <cellStyle name="Normal 2 5 3 2 6_SSL" xfId="17748" xr:uid="{00000000-0005-0000-0000-0000B52D0000}"/>
    <cellStyle name="Normal 2 5 3 2 7" xfId="4087" xr:uid="{00000000-0005-0000-0000-0000B62D0000}"/>
    <cellStyle name="Normal 2 5 3 2 7 2" xfId="10727" xr:uid="{00000000-0005-0000-0000-0000B72D0000}"/>
    <cellStyle name="Normal 2 5 3 2 7_SSL" xfId="17893" xr:uid="{00000000-0005-0000-0000-0000B82D0000}"/>
    <cellStyle name="Normal 2 5 3 2 8" xfId="4898" xr:uid="{00000000-0005-0000-0000-0000B92D0000}"/>
    <cellStyle name="Normal 2 5 3 2 8 2" xfId="11537" xr:uid="{00000000-0005-0000-0000-0000BA2D0000}"/>
    <cellStyle name="Normal 2 5 3 2 8_SSL" xfId="12684" xr:uid="{00000000-0005-0000-0000-0000BB2D0000}"/>
    <cellStyle name="Normal 2 5 3 2 9" xfId="5708" xr:uid="{00000000-0005-0000-0000-0000BC2D0000}"/>
    <cellStyle name="Normal 2 5 3 2 9 2" xfId="12346" xr:uid="{00000000-0005-0000-0000-0000BD2D0000}"/>
    <cellStyle name="Normal 2 5 3 2 9_SSL" xfId="16869" xr:uid="{00000000-0005-0000-0000-0000BE2D0000}"/>
    <cellStyle name="Normal 2 5 3 2_SSL" xfId="12851" xr:uid="{00000000-0005-0000-0000-0000BF2D0000}"/>
    <cellStyle name="Normal 2 5 3 3" xfId="392" xr:uid="{00000000-0005-0000-0000-0000C02D0000}"/>
    <cellStyle name="Normal 2 5 3 3 10" xfId="6629" xr:uid="{00000000-0005-0000-0000-0000C12D0000}"/>
    <cellStyle name="Normal 2 5 3 3 2" xfId="780" xr:uid="{00000000-0005-0000-0000-0000C22D0000}"/>
    <cellStyle name="Normal 2 5 3 3 2 2" xfId="1632" xr:uid="{00000000-0005-0000-0000-0000C32D0000}"/>
    <cellStyle name="Normal 2 5 3 3 2 2 2" xfId="8287" xr:uid="{00000000-0005-0000-0000-0000C42D0000}"/>
    <cellStyle name="Normal 2 5 3 3 2 2_SSL" xfId="13344" xr:uid="{00000000-0005-0000-0000-0000C52D0000}"/>
    <cellStyle name="Normal 2 5 3 3 2 3" xfId="2452" xr:uid="{00000000-0005-0000-0000-0000C62D0000}"/>
    <cellStyle name="Normal 2 5 3 3 2 3 2" xfId="9100" xr:uid="{00000000-0005-0000-0000-0000C72D0000}"/>
    <cellStyle name="Normal 2 5 3 3 2 3_SSL" xfId="16902" xr:uid="{00000000-0005-0000-0000-0000C82D0000}"/>
    <cellStyle name="Normal 2 5 3 3 2 4" xfId="3271" xr:uid="{00000000-0005-0000-0000-0000C92D0000}"/>
    <cellStyle name="Normal 2 5 3 3 2 4 2" xfId="9916" xr:uid="{00000000-0005-0000-0000-0000CA2D0000}"/>
    <cellStyle name="Normal 2 5 3 3 2 4_SSL" xfId="12860" xr:uid="{00000000-0005-0000-0000-0000CB2D0000}"/>
    <cellStyle name="Normal 2 5 3 3 2 5" xfId="4092" xr:uid="{00000000-0005-0000-0000-0000CC2D0000}"/>
    <cellStyle name="Normal 2 5 3 3 2 5 2" xfId="10732" xr:uid="{00000000-0005-0000-0000-0000CD2D0000}"/>
    <cellStyle name="Normal 2 5 3 3 2 5_SSL" xfId="16823" xr:uid="{00000000-0005-0000-0000-0000CE2D0000}"/>
    <cellStyle name="Normal 2 5 3 3 2 6" xfId="4903" xr:uid="{00000000-0005-0000-0000-0000CF2D0000}"/>
    <cellStyle name="Normal 2 5 3 3 2 6 2" xfId="11542" xr:uid="{00000000-0005-0000-0000-0000D02D0000}"/>
    <cellStyle name="Normal 2 5 3 3 2 6_SSL" xfId="14809" xr:uid="{00000000-0005-0000-0000-0000D12D0000}"/>
    <cellStyle name="Normal 2 5 3 3 2 7" xfId="5713" xr:uid="{00000000-0005-0000-0000-0000D22D0000}"/>
    <cellStyle name="Normal 2 5 3 3 2 7 2" xfId="12351" xr:uid="{00000000-0005-0000-0000-0000D32D0000}"/>
    <cellStyle name="Normal 2 5 3 3 2 7_SSL" xfId="13982" xr:uid="{00000000-0005-0000-0000-0000D42D0000}"/>
    <cellStyle name="Normal 2 5 3 3 2 8" xfId="7636" xr:uid="{00000000-0005-0000-0000-0000D52D0000}"/>
    <cellStyle name="Normal 2 5 3 3 2 9" xfId="6630" xr:uid="{00000000-0005-0000-0000-0000D62D0000}"/>
    <cellStyle name="Normal 2 5 3 3 2_SSL" xfId="14105" xr:uid="{00000000-0005-0000-0000-0000D72D0000}"/>
    <cellStyle name="Normal 2 5 3 3 3" xfId="1631" xr:uid="{00000000-0005-0000-0000-0000D82D0000}"/>
    <cellStyle name="Normal 2 5 3 3 3 2" xfId="8286" xr:uid="{00000000-0005-0000-0000-0000D92D0000}"/>
    <cellStyle name="Normal 2 5 3 3 3_SSL" xfId="15199" xr:uid="{00000000-0005-0000-0000-0000DA2D0000}"/>
    <cellStyle name="Normal 2 5 3 3 4" xfId="2451" xr:uid="{00000000-0005-0000-0000-0000DB2D0000}"/>
    <cellStyle name="Normal 2 5 3 3 4 2" xfId="9099" xr:uid="{00000000-0005-0000-0000-0000DC2D0000}"/>
    <cellStyle name="Normal 2 5 3 3 4_SSL" xfId="17335" xr:uid="{00000000-0005-0000-0000-0000DD2D0000}"/>
    <cellStyle name="Normal 2 5 3 3 5" xfId="3270" xr:uid="{00000000-0005-0000-0000-0000DE2D0000}"/>
    <cellStyle name="Normal 2 5 3 3 5 2" xfId="9915" xr:uid="{00000000-0005-0000-0000-0000DF2D0000}"/>
    <cellStyle name="Normal 2 5 3 3 5_SSL" xfId="17932" xr:uid="{00000000-0005-0000-0000-0000E02D0000}"/>
    <cellStyle name="Normal 2 5 3 3 6" xfId="4091" xr:uid="{00000000-0005-0000-0000-0000E12D0000}"/>
    <cellStyle name="Normal 2 5 3 3 6 2" xfId="10731" xr:uid="{00000000-0005-0000-0000-0000E22D0000}"/>
    <cellStyle name="Normal 2 5 3 3 6_SSL" xfId="17580" xr:uid="{00000000-0005-0000-0000-0000E32D0000}"/>
    <cellStyle name="Normal 2 5 3 3 7" xfId="4902" xr:uid="{00000000-0005-0000-0000-0000E42D0000}"/>
    <cellStyle name="Normal 2 5 3 3 7 2" xfId="11541" xr:uid="{00000000-0005-0000-0000-0000E52D0000}"/>
    <cellStyle name="Normal 2 5 3 3 7_SSL" xfId="14259" xr:uid="{00000000-0005-0000-0000-0000E62D0000}"/>
    <cellStyle name="Normal 2 5 3 3 8" xfId="5712" xr:uid="{00000000-0005-0000-0000-0000E72D0000}"/>
    <cellStyle name="Normal 2 5 3 3 8 2" xfId="12350" xr:uid="{00000000-0005-0000-0000-0000E82D0000}"/>
    <cellStyle name="Normal 2 5 3 3 8_SSL" xfId="17065" xr:uid="{00000000-0005-0000-0000-0000E92D0000}"/>
    <cellStyle name="Normal 2 5 3 3 9" xfId="7252" xr:uid="{00000000-0005-0000-0000-0000EA2D0000}"/>
    <cellStyle name="Normal 2 5 3 3_SSL" xfId="17710" xr:uid="{00000000-0005-0000-0000-0000EB2D0000}"/>
    <cellStyle name="Normal 2 5 3 4" xfId="496" xr:uid="{00000000-0005-0000-0000-0000EC2D0000}"/>
    <cellStyle name="Normal 2 5 3 4 2" xfId="1633" xr:uid="{00000000-0005-0000-0000-0000ED2D0000}"/>
    <cellStyle name="Normal 2 5 3 4 2 2" xfId="8288" xr:uid="{00000000-0005-0000-0000-0000EE2D0000}"/>
    <cellStyle name="Normal 2 5 3 4 2_SSL" xfId="16575" xr:uid="{00000000-0005-0000-0000-0000EF2D0000}"/>
    <cellStyle name="Normal 2 5 3 4 3" xfId="2453" xr:uid="{00000000-0005-0000-0000-0000F02D0000}"/>
    <cellStyle name="Normal 2 5 3 4 3 2" xfId="9101" xr:uid="{00000000-0005-0000-0000-0000F12D0000}"/>
    <cellStyle name="Normal 2 5 3 4 3_SSL" xfId="16514" xr:uid="{00000000-0005-0000-0000-0000F22D0000}"/>
    <cellStyle name="Normal 2 5 3 4 4" xfId="3272" xr:uid="{00000000-0005-0000-0000-0000F32D0000}"/>
    <cellStyle name="Normal 2 5 3 4 4 2" xfId="9917" xr:uid="{00000000-0005-0000-0000-0000F42D0000}"/>
    <cellStyle name="Normal 2 5 3 4 4_SSL" xfId="17579" xr:uid="{00000000-0005-0000-0000-0000F52D0000}"/>
    <cellStyle name="Normal 2 5 3 4 5" xfId="4093" xr:uid="{00000000-0005-0000-0000-0000F62D0000}"/>
    <cellStyle name="Normal 2 5 3 4 5 2" xfId="10733" xr:uid="{00000000-0005-0000-0000-0000F72D0000}"/>
    <cellStyle name="Normal 2 5 3 4 5_SSL" xfId="15493" xr:uid="{00000000-0005-0000-0000-0000F82D0000}"/>
    <cellStyle name="Normal 2 5 3 4 6" xfId="4904" xr:uid="{00000000-0005-0000-0000-0000F92D0000}"/>
    <cellStyle name="Normal 2 5 3 4 6 2" xfId="11543" xr:uid="{00000000-0005-0000-0000-0000FA2D0000}"/>
    <cellStyle name="Normal 2 5 3 4 6_SSL" xfId="13430" xr:uid="{00000000-0005-0000-0000-0000FB2D0000}"/>
    <cellStyle name="Normal 2 5 3 4 7" xfId="5714" xr:uid="{00000000-0005-0000-0000-0000FC2D0000}"/>
    <cellStyle name="Normal 2 5 3 4 7 2" xfId="12352" xr:uid="{00000000-0005-0000-0000-0000FD2D0000}"/>
    <cellStyle name="Normal 2 5 3 4 7_SSL" xfId="14919" xr:uid="{00000000-0005-0000-0000-0000FE2D0000}"/>
    <cellStyle name="Normal 2 5 3 4 8" xfId="7352" xr:uid="{00000000-0005-0000-0000-0000FF2D0000}"/>
    <cellStyle name="Normal 2 5 3 4 9" xfId="6631" xr:uid="{00000000-0005-0000-0000-0000002E0000}"/>
    <cellStyle name="Normal 2 5 3 4_SSL" xfId="17274" xr:uid="{00000000-0005-0000-0000-0000012E0000}"/>
    <cellStyle name="Normal 2 5 3 5" xfId="1626" xr:uid="{00000000-0005-0000-0000-0000022E0000}"/>
    <cellStyle name="Normal 2 5 3 5 2" xfId="8281" xr:uid="{00000000-0005-0000-0000-0000032E0000}"/>
    <cellStyle name="Normal 2 5 3 5_SSL" xfId="12689" xr:uid="{00000000-0005-0000-0000-0000042E0000}"/>
    <cellStyle name="Normal 2 5 3 6" xfId="2446" xr:uid="{00000000-0005-0000-0000-0000052E0000}"/>
    <cellStyle name="Normal 2 5 3 6 2" xfId="9094" xr:uid="{00000000-0005-0000-0000-0000062E0000}"/>
    <cellStyle name="Normal 2 5 3 6_SSL" xfId="14721" xr:uid="{00000000-0005-0000-0000-0000072E0000}"/>
    <cellStyle name="Normal 2 5 3 7" xfId="3265" xr:uid="{00000000-0005-0000-0000-0000082E0000}"/>
    <cellStyle name="Normal 2 5 3 7 2" xfId="9910" xr:uid="{00000000-0005-0000-0000-0000092E0000}"/>
    <cellStyle name="Normal 2 5 3 7_SSL" xfId="17240" xr:uid="{00000000-0005-0000-0000-00000A2E0000}"/>
    <cellStyle name="Normal 2 5 3 8" xfId="4086" xr:uid="{00000000-0005-0000-0000-00000B2E0000}"/>
    <cellStyle name="Normal 2 5 3 8 2" xfId="10726" xr:uid="{00000000-0005-0000-0000-00000C2E0000}"/>
    <cellStyle name="Normal 2 5 3 8_SSL" xfId="15051" xr:uid="{00000000-0005-0000-0000-00000D2E0000}"/>
    <cellStyle name="Normal 2 5 3 9" xfId="4897" xr:uid="{00000000-0005-0000-0000-00000E2E0000}"/>
    <cellStyle name="Normal 2 5 3 9 2" xfId="11536" xr:uid="{00000000-0005-0000-0000-00000F2E0000}"/>
    <cellStyle name="Normal 2 5 3 9_SSL" xfId="6037" xr:uid="{00000000-0005-0000-0000-0000102E0000}"/>
    <cellStyle name="Normal 2 5 3_SSL" xfId="14512" xr:uid="{00000000-0005-0000-0000-0000112E0000}"/>
    <cellStyle name="Normal 2 5 4" xfId="114" xr:uid="{00000000-0005-0000-0000-0000122E0000}"/>
    <cellStyle name="Normal 2 5 4 10" xfId="5715" xr:uid="{00000000-0005-0000-0000-0000132E0000}"/>
    <cellStyle name="Normal 2 5 4 10 2" xfId="12353" xr:uid="{00000000-0005-0000-0000-0000142E0000}"/>
    <cellStyle name="Normal 2 5 4 10_SSL" xfId="16424" xr:uid="{00000000-0005-0000-0000-0000152E0000}"/>
    <cellStyle name="Normal 2 5 4 11" xfId="6991" xr:uid="{00000000-0005-0000-0000-0000162E0000}"/>
    <cellStyle name="Normal 2 5 4 12" xfId="6632" xr:uid="{00000000-0005-0000-0000-0000172E0000}"/>
    <cellStyle name="Normal 2 5 4 2" xfId="210" xr:uid="{00000000-0005-0000-0000-0000182E0000}"/>
    <cellStyle name="Normal 2 5 4 2 10" xfId="7087" xr:uid="{00000000-0005-0000-0000-0000192E0000}"/>
    <cellStyle name="Normal 2 5 4 2 11" xfId="6633" xr:uid="{00000000-0005-0000-0000-00001A2E0000}"/>
    <cellStyle name="Normal 2 5 4 2 2" xfId="395" xr:uid="{00000000-0005-0000-0000-00001B2E0000}"/>
    <cellStyle name="Normal 2 5 4 2 2 10" xfId="6634" xr:uid="{00000000-0005-0000-0000-00001C2E0000}"/>
    <cellStyle name="Normal 2 5 4 2 2 2" xfId="783" xr:uid="{00000000-0005-0000-0000-00001D2E0000}"/>
    <cellStyle name="Normal 2 5 4 2 2 2 2" xfId="1637" xr:uid="{00000000-0005-0000-0000-00001E2E0000}"/>
    <cellStyle name="Normal 2 5 4 2 2 2 2 2" xfId="8292" xr:uid="{00000000-0005-0000-0000-00001F2E0000}"/>
    <cellStyle name="Normal 2 5 4 2 2 2 2_SSL" xfId="14973" xr:uid="{00000000-0005-0000-0000-0000202E0000}"/>
    <cellStyle name="Normal 2 5 4 2 2 2 3" xfId="2457" xr:uid="{00000000-0005-0000-0000-0000212E0000}"/>
    <cellStyle name="Normal 2 5 4 2 2 2 3 2" xfId="9105" xr:uid="{00000000-0005-0000-0000-0000222E0000}"/>
    <cellStyle name="Normal 2 5 4 2 2 2 3_SSL" xfId="13783" xr:uid="{00000000-0005-0000-0000-0000232E0000}"/>
    <cellStyle name="Normal 2 5 4 2 2 2 4" xfId="3276" xr:uid="{00000000-0005-0000-0000-0000242E0000}"/>
    <cellStyle name="Normal 2 5 4 2 2 2 4 2" xfId="9921" xr:uid="{00000000-0005-0000-0000-0000252E0000}"/>
    <cellStyle name="Normal 2 5 4 2 2 2 4_SSL" xfId="13431" xr:uid="{00000000-0005-0000-0000-0000262E0000}"/>
    <cellStyle name="Normal 2 5 4 2 2 2 5" xfId="4097" xr:uid="{00000000-0005-0000-0000-0000272E0000}"/>
    <cellStyle name="Normal 2 5 4 2 2 2 5 2" xfId="10737" xr:uid="{00000000-0005-0000-0000-0000282E0000}"/>
    <cellStyle name="Normal 2 5 4 2 2 2 5_SSL" xfId="15460" xr:uid="{00000000-0005-0000-0000-0000292E0000}"/>
    <cellStyle name="Normal 2 5 4 2 2 2 6" xfId="4908" xr:uid="{00000000-0005-0000-0000-00002A2E0000}"/>
    <cellStyle name="Normal 2 5 4 2 2 2 6 2" xfId="11547" xr:uid="{00000000-0005-0000-0000-00002B2E0000}"/>
    <cellStyle name="Normal 2 5 4 2 2 2 6_SSL" xfId="13412" xr:uid="{00000000-0005-0000-0000-00002C2E0000}"/>
    <cellStyle name="Normal 2 5 4 2 2 2 7" xfId="5718" xr:uid="{00000000-0005-0000-0000-00002D2E0000}"/>
    <cellStyle name="Normal 2 5 4 2 2 2 7 2" xfId="12356" xr:uid="{00000000-0005-0000-0000-00002E2E0000}"/>
    <cellStyle name="Normal 2 5 4 2 2 2 7_SSL" xfId="16098" xr:uid="{00000000-0005-0000-0000-00002F2E0000}"/>
    <cellStyle name="Normal 2 5 4 2 2 2 8" xfId="7639" xr:uid="{00000000-0005-0000-0000-0000302E0000}"/>
    <cellStyle name="Normal 2 5 4 2 2 2 9" xfId="6635" xr:uid="{00000000-0005-0000-0000-0000312E0000}"/>
    <cellStyle name="Normal 2 5 4 2 2 2_SSL" xfId="14818" xr:uid="{00000000-0005-0000-0000-0000322E0000}"/>
    <cellStyle name="Normal 2 5 4 2 2 3" xfId="1636" xr:uid="{00000000-0005-0000-0000-0000332E0000}"/>
    <cellStyle name="Normal 2 5 4 2 2 3 2" xfId="8291" xr:uid="{00000000-0005-0000-0000-0000342E0000}"/>
    <cellStyle name="Normal 2 5 4 2 2 3_SSL" xfId="14444" xr:uid="{00000000-0005-0000-0000-0000352E0000}"/>
    <cellStyle name="Normal 2 5 4 2 2 4" xfId="2456" xr:uid="{00000000-0005-0000-0000-0000362E0000}"/>
    <cellStyle name="Normal 2 5 4 2 2 4 2" xfId="9104" xr:uid="{00000000-0005-0000-0000-0000372E0000}"/>
    <cellStyle name="Normal 2 5 4 2 2 4_SSL" xfId="13622" xr:uid="{00000000-0005-0000-0000-0000382E0000}"/>
    <cellStyle name="Normal 2 5 4 2 2 5" xfId="3275" xr:uid="{00000000-0005-0000-0000-0000392E0000}"/>
    <cellStyle name="Normal 2 5 4 2 2 5 2" xfId="9920" xr:uid="{00000000-0005-0000-0000-00003A2E0000}"/>
    <cellStyle name="Normal 2 5 4 2 2 5_SSL" xfId="12636" xr:uid="{00000000-0005-0000-0000-00003B2E0000}"/>
    <cellStyle name="Normal 2 5 4 2 2 6" xfId="4096" xr:uid="{00000000-0005-0000-0000-00003C2E0000}"/>
    <cellStyle name="Normal 2 5 4 2 2 6 2" xfId="10736" xr:uid="{00000000-0005-0000-0000-00003D2E0000}"/>
    <cellStyle name="Normal 2 5 4 2 2 6_SSL" xfId="15393" xr:uid="{00000000-0005-0000-0000-00003E2E0000}"/>
    <cellStyle name="Normal 2 5 4 2 2 7" xfId="4907" xr:uid="{00000000-0005-0000-0000-00003F2E0000}"/>
    <cellStyle name="Normal 2 5 4 2 2 7 2" xfId="11546" xr:uid="{00000000-0005-0000-0000-0000402E0000}"/>
    <cellStyle name="Normal 2 5 4 2 2 7_SSL" xfId="13440" xr:uid="{00000000-0005-0000-0000-0000412E0000}"/>
    <cellStyle name="Normal 2 5 4 2 2 8" xfId="5717" xr:uid="{00000000-0005-0000-0000-0000422E0000}"/>
    <cellStyle name="Normal 2 5 4 2 2 8 2" xfId="12355" xr:uid="{00000000-0005-0000-0000-0000432E0000}"/>
    <cellStyle name="Normal 2 5 4 2 2 8_SSL" xfId="17722" xr:uid="{00000000-0005-0000-0000-0000442E0000}"/>
    <cellStyle name="Normal 2 5 4 2 2 9" xfId="7255" xr:uid="{00000000-0005-0000-0000-0000452E0000}"/>
    <cellStyle name="Normal 2 5 4 2 2_SSL" xfId="17672" xr:uid="{00000000-0005-0000-0000-0000462E0000}"/>
    <cellStyle name="Normal 2 5 4 2 3" xfId="615" xr:uid="{00000000-0005-0000-0000-0000472E0000}"/>
    <cellStyle name="Normal 2 5 4 2 3 2" xfId="1638" xr:uid="{00000000-0005-0000-0000-0000482E0000}"/>
    <cellStyle name="Normal 2 5 4 2 3 2 2" xfId="8293" xr:uid="{00000000-0005-0000-0000-0000492E0000}"/>
    <cellStyle name="Normal 2 5 4 2 3 2_SSL" xfId="17284" xr:uid="{00000000-0005-0000-0000-00004A2E0000}"/>
    <cellStyle name="Normal 2 5 4 2 3 3" xfId="2458" xr:uid="{00000000-0005-0000-0000-00004B2E0000}"/>
    <cellStyle name="Normal 2 5 4 2 3 3 2" xfId="9106" xr:uid="{00000000-0005-0000-0000-00004C2E0000}"/>
    <cellStyle name="Normal 2 5 4 2 3 3_SSL" xfId="14415" xr:uid="{00000000-0005-0000-0000-00004D2E0000}"/>
    <cellStyle name="Normal 2 5 4 2 3 4" xfId="3277" xr:uid="{00000000-0005-0000-0000-00004E2E0000}"/>
    <cellStyle name="Normal 2 5 4 2 3 4 2" xfId="9922" xr:uid="{00000000-0005-0000-0000-00004F2E0000}"/>
    <cellStyle name="Normal 2 5 4 2 3 4_SSL" xfId="13315" xr:uid="{00000000-0005-0000-0000-0000502E0000}"/>
    <cellStyle name="Normal 2 5 4 2 3 5" xfId="4098" xr:uid="{00000000-0005-0000-0000-0000512E0000}"/>
    <cellStyle name="Normal 2 5 4 2 3 5 2" xfId="10738" xr:uid="{00000000-0005-0000-0000-0000522E0000}"/>
    <cellStyle name="Normal 2 5 4 2 3 5_SSL" xfId="13692" xr:uid="{00000000-0005-0000-0000-0000532E0000}"/>
    <cellStyle name="Normal 2 5 4 2 3 6" xfId="4909" xr:uid="{00000000-0005-0000-0000-0000542E0000}"/>
    <cellStyle name="Normal 2 5 4 2 3 6 2" xfId="11548" xr:uid="{00000000-0005-0000-0000-0000552E0000}"/>
    <cellStyle name="Normal 2 5 4 2 3 6_SSL" xfId="17245" xr:uid="{00000000-0005-0000-0000-0000562E0000}"/>
    <cellStyle name="Normal 2 5 4 2 3 7" xfId="5719" xr:uid="{00000000-0005-0000-0000-0000572E0000}"/>
    <cellStyle name="Normal 2 5 4 2 3 7 2" xfId="12357" xr:uid="{00000000-0005-0000-0000-0000582E0000}"/>
    <cellStyle name="Normal 2 5 4 2 3 7_SSL" xfId="13880" xr:uid="{00000000-0005-0000-0000-0000592E0000}"/>
    <cellStyle name="Normal 2 5 4 2 3 8" xfId="7471" xr:uid="{00000000-0005-0000-0000-00005A2E0000}"/>
    <cellStyle name="Normal 2 5 4 2 3 9" xfId="6636" xr:uid="{00000000-0005-0000-0000-00005B2E0000}"/>
    <cellStyle name="Normal 2 5 4 2 3_SSL" xfId="16163" xr:uid="{00000000-0005-0000-0000-00005C2E0000}"/>
    <cellStyle name="Normal 2 5 4 2 4" xfId="1635" xr:uid="{00000000-0005-0000-0000-00005D2E0000}"/>
    <cellStyle name="Normal 2 5 4 2 4 2" xfId="8290" xr:uid="{00000000-0005-0000-0000-00005E2E0000}"/>
    <cellStyle name="Normal 2 5 4 2 4_SSL" xfId="14501" xr:uid="{00000000-0005-0000-0000-00005F2E0000}"/>
    <cellStyle name="Normal 2 5 4 2 5" xfId="2455" xr:uid="{00000000-0005-0000-0000-0000602E0000}"/>
    <cellStyle name="Normal 2 5 4 2 5 2" xfId="9103" xr:uid="{00000000-0005-0000-0000-0000612E0000}"/>
    <cellStyle name="Normal 2 5 4 2 5_SSL" xfId="16380" xr:uid="{00000000-0005-0000-0000-0000622E0000}"/>
    <cellStyle name="Normal 2 5 4 2 6" xfId="3274" xr:uid="{00000000-0005-0000-0000-0000632E0000}"/>
    <cellStyle name="Normal 2 5 4 2 6 2" xfId="9919" xr:uid="{00000000-0005-0000-0000-0000642E0000}"/>
    <cellStyle name="Normal 2 5 4 2 6_SSL" xfId="14378" xr:uid="{00000000-0005-0000-0000-0000652E0000}"/>
    <cellStyle name="Normal 2 5 4 2 7" xfId="4095" xr:uid="{00000000-0005-0000-0000-0000662E0000}"/>
    <cellStyle name="Normal 2 5 4 2 7 2" xfId="10735" xr:uid="{00000000-0005-0000-0000-0000672E0000}"/>
    <cellStyle name="Normal 2 5 4 2 7_SSL" xfId="14064" xr:uid="{00000000-0005-0000-0000-0000682E0000}"/>
    <cellStyle name="Normal 2 5 4 2 8" xfId="4906" xr:uid="{00000000-0005-0000-0000-0000692E0000}"/>
    <cellStyle name="Normal 2 5 4 2 8 2" xfId="11545" xr:uid="{00000000-0005-0000-0000-00006A2E0000}"/>
    <cellStyle name="Normal 2 5 4 2 8_SSL" xfId="13697" xr:uid="{00000000-0005-0000-0000-00006B2E0000}"/>
    <cellStyle name="Normal 2 5 4 2 9" xfId="5716" xr:uid="{00000000-0005-0000-0000-00006C2E0000}"/>
    <cellStyle name="Normal 2 5 4 2 9 2" xfId="12354" xr:uid="{00000000-0005-0000-0000-00006D2E0000}"/>
    <cellStyle name="Normal 2 5 4 2 9_SSL" xfId="13453" xr:uid="{00000000-0005-0000-0000-00006E2E0000}"/>
    <cellStyle name="Normal 2 5 4 2_SSL" xfId="14521" xr:uid="{00000000-0005-0000-0000-00006F2E0000}"/>
    <cellStyle name="Normal 2 5 4 3" xfId="394" xr:uid="{00000000-0005-0000-0000-0000702E0000}"/>
    <cellStyle name="Normal 2 5 4 3 10" xfId="6637" xr:uid="{00000000-0005-0000-0000-0000712E0000}"/>
    <cellStyle name="Normal 2 5 4 3 2" xfId="782" xr:uid="{00000000-0005-0000-0000-0000722E0000}"/>
    <cellStyle name="Normal 2 5 4 3 2 2" xfId="1640" xr:uid="{00000000-0005-0000-0000-0000732E0000}"/>
    <cellStyle name="Normal 2 5 4 3 2 2 2" xfId="8295" xr:uid="{00000000-0005-0000-0000-0000742E0000}"/>
    <cellStyle name="Normal 2 5 4 3 2 2_SSL" xfId="14703" xr:uid="{00000000-0005-0000-0000-0000752E0000}"/>
    <cellStyle name="Normal 2 5 4 3 2 3" xfId="2460" xr:uid="{00000000-0005-0000-0000-0000762E0000}"/>
    <cellStyle name="Normal 2 5 4 3 2 3 2" xfId="9108" xr:uid="{00000000-0005-0000-0000-0000772E0000}"/>
    <cellStyle name="Normal 2 5 4 3 2 3_SSL" xfId="12946" xr:uid="{00000000-0005-0000-0000-0000782E0000}"/>
    <cellStyle name="Normal 2 5 4 3 2 4" xfId="3279" xr:uid="{00000000-0005-0000-0000-0000792E0000}"/>
    <cellStyle name="Normal 2 5 4 3 2 4 2" xfId="9924" xr:uid="{00000000-0005-0000-0000-00007A2E0000}"/>
    <cellStyle name="Normal 2 5 4 3 2 4_SSL" xfId="12735" xr:uid="{00000000-0005-0000-0000-00007B2E0000}"/>
    <cellStyle name="Normal 2 5 4 3 2 5" xfId="4100" xr:uid="{00000000-0005-0000-0000-00007C2E0000}"/>
    <cellStyle name="Normal 2 5 4 3 2 5 2" xfId="10740" xr:uid="{00000000-0005-0000-0000-00007D2E0000}"/>
    <cellStyle name="Normal 2 5 4 3 2 5_SSL" xfId="13628" xr:uid="{00000000-0005-0000-0000-00007E2E0000}"/>
    <cellStyle name="Normal 2 5 4 3 2 6" xfId="4911" xr:uid="{00000000-0005-0000-0000-00007F2E0000}"/>
    <cellStyle name="Normal 2 5 4 3 2 6 2" xfId="11550" xr:uid="{00000000-0005-0000-0000-0000802E0000}"/>
    <cellStyle name="Normal 2 5 4 3 2 6_SSL" xfId="15023" xr:uid="{00000000-0005-0000-0000-0000812E0000}"/>
    <cellStyle name="Normal 2 5 4 3 2 7" xfId="5721" xr:uid="{00000000-0005-0000-0000-0000822E0000}"/>
    <cellStyle name="Normal 2 5 4 3 2 7 2" xfId="12359" xr:uid="{00000000-0005-0000-0000-0000832E0000}"/>
    <cellStyle name="Normal 2 5 4 3 2 7_SSL" xfId="13827" xr:uid="{00000000-0005-0000-0000-0000842E0000}"/>
    <cellStyle name="Normal 2 5 4 3 2 8" xfId="7638" xr:uid="{00000000-0005-0000-0000-0000852E0000}"/>
    <cellStyle name="Normal 2 5 4 3 2 9" xfId="6638" xr:uid="{00000000-0005-0000-0000-0000862E0000}"/>
    <cellStyle name="Normal 2 5 4 3 2_SSL" xfId="13036" xr:uid="{00000000-0005-0000-0000-0000872E0000}"/>
    <cellStyle name="Normal 2 5 4 3 3" xfId="1639" xr:uid="{00000000-0005-0000-0000-0000882E0000}"/>
    <cellStyle name="Normal 2 5 4 3 3 2" xfId="8294" xr:uid="{00000000-0005-0000-0000-0000892E0000}"/>
    <cellStyle name="Normal 2 5 4 3 3_SSL" xfId="15124" xr:uid="{00000000-0005-0000-0000-00008A2E0000}"/>
    <cellStyle name="Normal 2 5 4 3 4" xfId="2459" xr:uid="{00000000-0005-0000-0000-00008B2E0000}"/>
    <cellStyle name="Normal 2 5 4 3 4 2" xfId="9107" xr:uid="{00000000-0005-0000-0000-00008C2E0000}"/>
    <cellStyle name="Normal 2 5 4 3 4_SSL" xfId="17032" xr:uid="{00000000-0005-0000-0000-00008D2E0000}"/>
    <cellStyle name="Normal 2 5 4 3 5" xfId="3278" xr:uid="{00000000-0005-0000-0000-00008E2E0000}"/>
    <cellStyle name="Normal 2 5 4 3 5 2" xfId="9923" xr:uid="{00000000-0005-0000-0000-00008F2E0000}"/>
    <cellStyle name="Normal 2 5 4 3 5_SSL" xfId="17826" xr:uid="{00000000-0005-0000-0000-0000902E0000}"/>
    <cellStyle name="Normal 2 5 4 3 6" xfId="4099" xr:uid="{00000000-0005-0000-0000-0000912E0000}"/>
    <cellStyle name="Normal 2 5 4 3 6 2" xfId="10739" xr:uid="{00000000-0005-0000-0000-0000922E0000}"/>
    <cellStyle name="Normal 2 5 4 3 6_SSL" xfId="15724" xr:uid="{00000000-0005-0000-0000-0000932E0000}"/>
    <cellStyle name="Normal 2 5 4 3 7" xfId="4910" xr:uid="{00000000-0005-0000-0000-0000942E0000}"/>
    <cellStyle name="Normal 2 5 4 3 7 2" xfId="11549" xr:uid="{00000000-0005-0000-0000-0000952E0000}"/>
    <cellStyle name="Normal 2 5 4 3 7_SSL" xfId="13829" xr:uid="{00000000-0005-0000-0000-0000962E0000}"/>
    <cellStyle name="Normal 2 5 4 3 8" xfId="5720" xr:uid="{00000000-0005-0000-0000-0000972E0000}"/>
    <cellStyle name="Normal 2 5 4 3 8 2" xfId="12358" xr:uid="{00000000-0005-0000-0000-0000982E0000}"/>
    <cellStyle name="Normal 2 5 4 3 8_SSL" xfId="17414" xr:uid="{00000000-0005-0000-0000-0000992E0000}"/>
    <cellStyle name="Normal 2 5 4 3 9" xfId="7254" xr:uid="{00000000-0005-0000-0000-00009A2E0000}"/>
    <cellStyle name="Normal 2 5 4 3_SSL" xfId="17953" xr:uid="{00000000-0005-0000-0000-00009B2E0000}"/>
    <cellStyle name="Normal 2 5 4 4" xfId="519" xr:uid="{00000000-0005-0000-0000-00009C2E0000}"/>
    <cellStyle name="Normal 2 5 4 4 2" xfId="1641" xr:uid="{00000000-0005-0000-0000-00009D2E0000}"/>
    <cellStyle name="Normal 2 5 4 4 2 2" xfId="8296" xr:uid="{00000000-0005-0000-0000-00009E2E0000}"/>
    <cellStyle name="Normal 2 5 4 4 2_SSL" xfId="16786" xr:uid="{00000000-0005-0000-0000-00009F2E0000}"/>
    <cellStyle name="Normal 2 5 4 4 3" xfId="2461" xr:uid="{00000000-0005-0000-0000-0000A02E0000}"/>
    <cellStyle name="Normal 2 5 4 4 3 2" xfId="9109" xr:uid="{00000000-0005-0000-0000-0000A12E0000}"/>
    <cellStyle name="Normal 2 5 4 4 3_SSL" xfId="16848" xr:uid="{00000000-0005-0000-0000-0000A22E0000}"/>
    <cellStyle name="Normal 2 5 4 4 4" xfId="3280" xr:uid="{00000000-0005-0000-0000-0000A32E0000}"/>
    <cellStyle name="Normal 2 5 4 4 4 2" xfId="9925" xr:uid="{00000000-0005-0000-0000-0000A42E0000}"/>
    <cellStyle name="Normal 2 5 4 4 4_SSL" xfId="17574" xr:uid="{00000000-0005-0000-0000-0000A52E0000}"/>
    <cellStyle name="Normal 2 5 4 4 5" xfId="4101" xr:uid="{00000000-0005-0000-0000-0000A62E0000}"/>
    <cellStyle name="Normal 2 5 4 4 5 2" xfId="10741" xr:uid="{00000000-0005-0000-0000-0000A72E0000}"/>
    <cellStyle name="Normal 2 5 4 4 5_SSL" xfId="14520" xr:uid="{00000000-0005-0000-0000-0000A82E0000}"/>
    <cellStyle name="Normal 2 5 4 4 6" xfId="4912" xr:uid="{00000000-0005-0000-0000-0000A92E0000}"/>
    <cellStyle name="Normal 2 5 4 4 6 2" xfId="11551" xr:uid="{00000000-0005-0000-0000-0000AA2E0000}"/>
    <cellStyle name="Normal 2 5 4 4 6_SSL" xfId="13517" xr:uid="{00000000-0005-0000-0000-0000AB2E0000}"/>
    <cellStyle name="Normal 2 5 4 4 7" xfId="5722" xr:uid="{00000000-0005-0000-0000-0000AC2E0000}"/>
    <cellStyle name="Normal 2 5 4 4 7 2" xfId="12360" xr:uid="{00000000-0005-0000-0000-0000AD2E0000}"/>
    <cellStyle name="Normal 2 5 4 4 7_SSL" xfId="16373" xr:uid="{00000000-0005-0000-0000-0000AE2E0000}"/>
    <cellStyle name="Normal 2 5 4 4 8" xfId="7375" xr:uid="{00000000-0005-0000-0000-0000AF2E0000}"/>
    <cellStyle name="Normal 2 5 4 4 9" xfId="6639" xr:uid="{00000000-0005-0000-0000-0000B02E0000}"/>
    <cellStyle name="Normal 2 5 4 4_SSL" xfId="14677" xr:uid="{00000000-0005-0000-0000-0000B12E0000}"/>
    <cellStyle name="Normal 2 5 4 5" xfId="1634" xr:uid="{00000000-0005-0000-0000-0000B22E0000}"/>
    <cellStyle name="Normal 2 5 4 5 2" xfId="8289" xr:uid="{00000000-0005-0000-0000-0000B32E0000}"/>
    <cellStyle name="Normal 2 5 4 5_SSL" xfId="13069" xr:uid="{00000000-0005-0000-0000-0000B42E0000}"/>
    <cellStyle name="Normal 2 5 4 6" xfId="2454" xr:uid="{00000000-0005-0000-0000-0000B52E0000}"/>
    <cellStyle name="Normal 2 5 4 6 2" xfId="9102" xr:uid="{00000000-0005-0000-0000-0000B62E0000}"/>
    <cellStyle name="Normal 2 5 4 6_SSL" xfId="13189" xr:uid="{00000000-0005-0000-0000-0000B72E0000}"/>
    <cellStyle name="Normal 2 5 4 7" xfId="3273" xr:uid="{00000000-0005-0000-0000-0000B82E0000}"/>
    <cellStyle name="Normal 2 5 4 7 2" xfId="9918" xr:uid="{00000000-0005-0000-0000-0000B92E0000}"/>
    <cellStyle name="Normal 2 5 4 7_SSL" xfId="8565" xr:uid="{00000000-0005-0000-0000-0000BA2E0000}"/>
    <cellStyle name="Normal 2 5 4 8" xfId="4094" xr:uid="{00000000-0005-0000-0000-0000BB2E0000}"/>
    <cellStyle name="Normal 2 5 4 8 2" xfId="10734" xr:uid="{00000000-0005-0000-0000-0000BC2E0000}"/>
    <cellStyle name="Normal 2 5 4 8_SSL" xfId="15896" xr:uid="{00000000-0005-0000-0000-0000BD2E0000}"/>
    <cellStyle name="Normal 2 5 4 9" xfId="4905" xr:uid="{00000000-0005-0000-0000-0000BE2E0000}"/>
    <cellStyle name="Normal 2 5 4 9 2" xfId="11544" xr:uid="{00000000-0005-0000-0000-0000BF2E0000}"/>
    <cellStyle name="Normal 2 5 4 9_SSL" xfId="16121" xr:uid="{00000000-0005-0000-0000-0000C02E0000}"/>
    <cellStyle name="Normal 2 5 4_SSL" xfId="15870" xr:uid="{00000000-0005-0000-0000-0000C12E0000}"/>
    <cellStyle name="Normal 2 5 5" xfId="139" xr:uid="{00000000-0005-0000-0000-0000C22E0000}"/>
    <cellStyle name="Normal 2 5 5 10" xfId="7016" xr:uid="{00000000-0005-0000-0000-0000C32E0000}"/>
    <cellStyle name="Normal 2 5 5 11" xfId="6640" xr:uid="{00000000-0005-0000-0000-0000C42E0000}"/>
    <cellStyle name="Normal 2 5 5 2" xfId="396" xr:uid="{00000000-0005-0000-0000-0000C52E0000}"/>
    <cellStyle name="Normal 2 5 5 2 10" xfId="6641" xr:uid="{00000000-0005-0000-0000-0000C62E0000}"/>
    <cellStyle name="Normal 2 5 5 2 2" xfId="784" xr:uid="{00000000-0005-0000-0000-0000C72E0000}"/>
    <cellStyle name="Normal 2 5 5 2 2 2" xfId="1644" xr:uid="{00000000-0005-0000-0000-0000C82E0000}"/>
    <cellStyle name="Normal 2 5 5 2 2 2 2" xfId="8299" xr:uid="{00000000-0005-0000-0000-0000C92E0000}"/>
    <cellStyle name="Normal 2 5 5 2 2 2_SSL" xfId="12932" xr:uid="{00000000-0005-0000-0000-0000CA2E0000}"/>
    <cellStyle name="Normal 2 5 5 2 2 3" xfId="2464" xr:uid="{00000000-0005-0000-0000-0000CB2E0000}"/>
    <cellStyle name="Normal 2 5 5 2 2 3 2" xfId="9112" xr:uid="{00000000-0005-0000-0000-0000CC2E0000}"/>
    <cellStyle name="Normal 2 5 5 2 2 3_SSL" xfId="14638" xr:uid="{00000000-0005-0000-0000-0000CD2E0000}"/>
    <cellStyle name="Normal 2 5 5 2 2 4" xfId="3283" xr:uid="{00000000-0005-0000-0000-0000CE2E0000}"/>
    <cellStyle name="Normal 2 5 5 2 2 4 2" xfId="9928" xr:uid="{00000000-0005-0000-0000-0000CF2E0000}"/>
    <cellStyle name="Normal 2 5 5 2 2 4_SSL" xfId="17385" xr:uid="{00000000-0005-0000-0000-0000D02E0000}"/>
    <cellStyle name="Normal 2 5 5 2 2 5" xfId="4104" xr:uid="{00000000-0005-0000-0000-0000D12E0000}"/>
    <cellStyle name="Normal 2 5 5 2 2 5 2" xfId="10744" xr:uid="{00000000-0005-0000-0000-0000D22E0000}"/>
    <cellStyle name="Normal 2 5 5 2 2 5_SSL" xfId="14315" xr:uid="{00000000-0005-0000-0000-0000D32E0000}"/>
    <cellStyle name="Normal 2 5 5 2 2 6" xfId="4915" xr:uid="{00000000-0005-0000-0000-0000D42E0000}"/>
    <cellStyle name="Normal 2 5 5 2 2 6 2" xfId="11554" xr:uid="{00000000-0005-0000-0000-0000D52E0000}"/>
    <cellStyle name="Normal 2 5 5 2 2 6_SSL" xfId="17127" xr:uid="{00000000-0005-0000-0000-0000D62E0000}"/>
    <cellStyle name="Normal 2 5 5 2 2 7" xfId="5725" xr:uid="{00000000-0005-0000-0000-0000D72E0000}"/>
    <cellStyle name="Normal 2 5 5 2 2 7 2" xfId="12363" xr:uid="{00000000-0005-0000-0000-0000D82E0000}"/>
    <cellStyle name="Normal 2 5 5 2 2 7_SSL" xfId="15718" xr:uid="{00000000-0005-0000-0000-0000D92E0000}"/>
    <cellStyle name="Normal 2 5 5 2 2 8" xfId="7640" xr:uid="{00000000-0005-0000-0000-0000DA2E0000}"/>
    <cellStyle name="Normal 2 5 5 2 2 9" xfId="6642" xr:uid="{00000000-0005-0000-0000-0000DB2E0000}"/>
    <cellStyle name="Normal 2 5 5 2 2_SSL" xfId="16056" xr:uid="{00000000-0005-0000-0000-0000DC2E0000}"/>
    <cellStyle name="Normal 2 5 5 2 3" xfId="1643" xr:uid="{00000000-0005-0000-0000-0000DD2E0000}"/>
    <cellStyle name="Normal 2 5 5 2 3 2" xfId="8298" xr:uid="{00000000-0005-0000-0000-0000DE2E0000}"/>
    <cellStyle name="Normal 2 5 5 2 3_SSL" xfId="15043" xr:uid="{00000000-0005-0000-0000-0000DF2E0000}"/>
    <cellStyle name="Normal 2 5 5 2 4" xfId="2463" xr:uid="{00000000-0005-0000-0000-0000E02E0000}"/>
    <cellStyle name="Normal 2 5 5 2 4 2" xfId="9111" xr:uid="{00000000-0005-0000-0000-0000E12E0000}"/>
    <cellStyle name="Normal 2 5 5 2 4_SSL" xfId="17772" xr:uid="{00000000-0005-0000-0000-0000E22E0000}"/>
    <cellStyle name="Normal 2 5 5 2 5" xfId="3282" xr:uid="{00000000-0005-0000-0000-0000E32E0000}"/>
    <cellStyle name="Normal 2 5 5 2 5 2" xfId="9927" xr:uid="{00000000-0005-0000-0000-0000E42E0000}"/>
    <cellStyle name="Normal 2 5 5 2 5_SSL" xfId="15827" xr:uid="{00000000-0005-0000-0000-0000E52E0000}"/>
    <cellStyle name="Normal 2 5 5 2 6" xfId="4103" xr:uid="{00000000-0005-0000-0000-0000E62E0000}"/>
    <cellStyle name="Normal 2 5 5 2 6 2" xfId="10743" xr:uid="{00000000-0005-0000-0000-0000E72E0000}"/>
    <cellStyle name="Normal 2 5 5 2 6_SSL" xfId="16216" xr:uid="{00000000-0005-0000-0000-0000E82E0000}"/>
    <cellStyle name="Normal 2 5 5 2 7" xfId="4914" xr:uid="{00000000-0005-0000-0000-0000E92E0000}"/>
    <cellStyle name="Normal 2 5 5 2 7 2" xfId="11553" xr:uid="{00000000-0005-0000-0000-0000EA2E0000}"/>
    <cellStyle name="Normal 2 5 5 2 7_SSL" xfId="13861" xr:uid="{00000000-0005-0000-0000-0000EB2E0000}"/>
    <cellStyle name="Normal 2 5 5 2 8" xfId="5724" xr:uid="{00000000-0005-0000-0000-0000EC2E0000}"/>
    <cellStyle name="Normal 2 5 5 2 8 2" xfId="12362" xr:uid="{00000000-0005-0000-0000-0000ED2E0000}"/>
    <cellStyle name="Normal 2 5 5 2 8_SSL" xfId="13756" xr:uid="{00000000-0005-0000-0000-0000EE2E0000}"/>
    <cellStyle name="Normal 2 5 5 2 9" xfId="7256" xr:uid="{00000000-0005-0000-0000-0000EF2E0000}"/>
    <cellStyle name="Normal 2 5 5 2_SSL" xfId="14654" xr:uid="{00000000-0005-0000-0000-0000F02E0000}"/>
    <cellStyle name="Normal 2 5 5 3" xfId="544" xr:uid="{00000000-0005-0000-0000-0000F12E0000}"/>
    <cellStyle name="Normal 2 5 5 3 2" xfId="1645" xr:uid="{00000000-0005-0000-0000-0000F22E0000}"/>
    <cellStyle name="Normal 2 5 5 3 2 2" xfId="8300" xr:uid="{00000000-0005-0000-0000-0000F32E0000}"/>
    <cellStyle name="Normal 2 5 5 3 2_SSL" xfId="17975" xr:uid="{00000000-0005-0000-0000-0000F42E0000}"/>
    <cellStyle name="Normal 2 5 5 3 3" xfId="2465" xr:uid="{00000000-0005-0000-0000-0000F52E0000}"/>
    <cellStyle name="Normal 2 5 5 3 3 2" xfId="9113" xr:uid="{00000000-0005-0000-0000-0000F62E0000}"/>
    <cellStyle name="Normal 2 5 5 3 3_SSL" xfId="12869" xr:uid="{00000000-0005-0000-0000-0000F72E0000}"/>
    <cellStyle name="Normal 2 5 5 3 4" xfId="3284" xr:uid="{00000000-0005-0000-0000-0000F82E0000}"/>
    <cellStyle name="Normal 2 5 5 3 4 2" xfId="9929" xr:uid="{00000000-0005-0000-0000-0000F92E0000}"/>
    <cellStyle name="Normal 2 5 5 3 4_SSL" xfId="16672" xr:uid="{00000000-0005-0000-0000-0000FA2E0000}"/>
    <cellStyle name="Normal 2 5 5 3 5" xfId="4105" xr:uid="{00000000-0005-0000-0000-0000FB2E0000}"/>
    <cellStyle name="Normal 2 5 5 3 5 2" xfId="10745" xr:uid="{00000000-0005-0000-0000-0000FC2E0000}"/>
    <cellStyle name="Normal 2 5 5 3 5_SSL" xfId="16976" xr:uid="{00000000-0005-0000-0000-0000FD2E0000}"/>
    <cellStyle name="Normal 2 5 5 3 6" xfId="4916" xr:uid="{00000000-0005-0000-0000-0000FE2E0000}"/>
    <cellStyle name="Normal 2 5 5 3 6 2" xfId="11555" xr:uid="{00000000-0005-0000-0000-0000FF2E0000}"/>
    <cellStyle name="Normal 2 5 5 3 6_SSL" xfId="15701" xr:uid="{00000000-0005-0000-0000-0000002F0000}"/>
    <cellStyle name="Normal 2 5 5 3 7" xfId="5726" xr:uid="{00000000-0005-0000-0000-0000012F0000}"/>
    <cellStyle name="Normal 2 5 5 3 7 2" xfId="12364" xr:uid="{00000000-0005-0000-0000-0000022F0000}"/>
    <cellStyle name="Normal 2 5 5 3 7_SSL" xfId="14719" xr:uid="{00000000-0005-0000-0000-0000032F0000}"/>
    <cellStyle name="Normal 2 5 5 3 8" xfId="7400" xr:uid="{00000000-0005-0000-0000-0000042F0000}"/>
    <cellStyle name="Normal 2 5 5 3 9" xfId="6643" xr:uid="{00000000-0005-0000-0000-0000052F0000}"/>
    <cellStyle name="Normal 2 5 5 3_SSL" xfId="14019" xr:uid="{00000000-0005-0000-0000-0000062F0000}"/>
    <cellStyle name="Normal 2 5 5 4" xfId="1642" xr:uid="{00000000-0005-0000-0000-0000072F0000}"/>
    <cellStyle name="Normal 2 5 5 4 2" xfId="8297" xr:uid="{00000000-0005-0000-0000-0000082F0000}"/>
    <cellStyle name="Normal 2 5 5 4_SSL" xfId="13794" xr:uid="{00000000-0005-0000-0000-0000092F0000}"/>
    <cellStyle name="Normal 2 5 5 5" xfId="2462" xr:uid="{00000000-0005-0000-0000-00000A2F0000}"/>
    <cellStyle name="Normal 2 5 5 5 2" xfId="9110" xr:uid="{00000000-0005-0000-0000-00000B2F0000}"/>
    <cellStyle name="Normal 2 5 5 5_SSL" xfId="16560" xr:uid="{00000000-0005-0000-0000-00000C2F0000}"/>
    <cellStyle name="Normal 2 5 5 6" xfId="3281" xr:uid="{00000000-0005-0000-0000-00000D2F0000}"/>
    <cellStyle name="Normal 2 5 5 6 2" xfId="9926" xr:uid="{00000000-0005-0000-0000-00000E2F0000}"/>
    <cellStyle name="Normal 2 5 5 6_SSL" xfId="16828" xr:uid="{00000000-0005-0000-0000-00000F2F0000}"/>
    <cellStyle name="Normal 2 5 5 7" xfId="4102" xr:uid="{00000000-0005-0000-0000-0000102F0000}"/>
    <cellStyle name="Normal 2 5 5 7 2" xfId="10742" xr:uid="{00000000-0005-0000-0000-0000112F0000}"/>
    <cellStyle name="Normal 2 5 5 7_SSL" xfId="16602" xr:uid="{00000000-0005-0000-0000-0000122F0000}"/>
    <cellStyle name="Normal 2 5 5 8" xfId="4913" xr:uid="{00000000-0005-0000-0000-0000132F0000}"/>
    <cellStyle name="Normal 2 5 5 8 2" xfId="11552" xr:uid="{00000000-0005-0000-0000-0000142F0000}"/>
    <cellStyle name="Normal 2 5 5 8_SSL" xfId="15961" xr:uid="{00000000-0005-0000-0000-0000152F0000}"/>
    <cellStyle name="Normal 2 5 5 9" xfId="5723" xr:uid="{00000000-0005-0000-0000-0000162F0000}"/>
    <cellStyle name="Normal 2 5 5 9 2" xfId="12361" xr:uid="{00000000-0005-0000-0000-0000172F0000}"/>
    <cellStyle name="Normal 2 5 5 9_SSL" xfId="16404" xr:uid="{00000000-0005-0000-0000-0000182F0000}"/>
    <cellStyle name="Normal 2 5 5_SSL" xfId="13504" xr:uid="{00000000-0005-0000-0000-0000192F0000}"/>
    <cellStyle name="Normal 2 5 6" xfId="164" xr:uid="{00000000-0005-0000-0000-00001A2F0000}"/>
    <cellStyle name="Normal 2 5 6 10" xfId="7041" xr:uid="{00000000-0005-0000-0000-00001B2F0000}"/>
    <cellStyle name="Normal 2 5 6 11" xfId="6644" xr:uid="{00000000-0005-0000-0000-00001C2F0000}"/>
    <cellStyle name="Normal 2 5 6 2" xfId="397" xr:uid="{00000000-0005-0000-0000-00001D2F0000}"/>
    <cellStyle name="Normal 2 5 6 2 10" xfId="6645" xr:uid="{00000000-0005-0000-0000-00001E2F0000}"/>
    <cellStyle name="Normal 2 5 6 2 2" xfId="785" xr:uid="{00000000-0005-0000-0000-00001F2F0000}"/>
    <cellStyle name="Normal 2 5 6 2 2 2" xfId="1648" xr:uid="{00000000-0005-0000-0000-0000202F0000}"/>
    <cellStyle name="Normal 2 5 6 2 2 2 2" xfId="8303" xr:uid="{00000000-0005-0000-0000-0000212F0000}"/>
    <cellStyle name="Normal 2 5 6 2 2 2_SSL" xfId="15265" xr:uid="{00000000-0005-0000-0000-0000222F0000}"/>
    <cellStyle name="Normal 2 5 6 2 2 3" xfId="2468" xr:uid="{00000000-0005-0000-0000-0000232F0000}"/>
    <cellStyle name="Normal 2 5 6 2 2 3 2" xfId="9116" xr:uid="{00000000-0005-0000-0000-0000242F0000}"/>
    <cellStyle name="Normal 2 5 6 2 2 3_SSL" xfId="14030" xr:uid="{00000000-0005-0000-0000-0000252F0000}"/>
    <cellStyle name="Normal 2 5 6 2 2 4" xfId="3287" xr:uid="{00000000-0005-0000-0000-0000262F0000}"/>
    <cellStyle name="Normal 2 5 6 2 2 4 2" xfId="9932" xr:uid="{00000000-0005-0000-0000-0000272F0000}"/>
    <cellStyle name="Normal 2 5 6 2 2 4_SSL" xfId="14386" xr:uid="{00000000-0005-0000-0000-0000282F0000}"/>
    <cellStyle name="Normal 2 5 6 2 2 5" xfId="4108" xr:uid="{00000000-0005-0000-0000-0000292F0000}"/>
    <cellStyle name="Normal 2 5 6 2 2 5 2" xfId="10748" xr:uid="{00000000-0005-0000-0000-00002A2F0000}"/>
    <cellStyle name="Normal 2 5 6 2 2 5_SSL" xfId="13019" xr:uid="{00000000-0005-0000-0000-00002B2F0000}"/>
    <cellStyle name="Normal 2 5 6 2 2 6" xfId="4919" xr:uid="{00000000-0005-0000-0000-00002C2F0000}"/>
    <cellStyle name="Normal 2 5 6 2 2 6 2" xfId="11558" xr:uid="{00000000-0005-0000-0000-00002D2F0000}"/>
    <cellStyle name="Normal 2 5 6 2 2 6_SSL" xfId="16227" xr:uid="{00000000-0005-0000-0000-00002E2F0000}"/>
    <cellStyle name="Normal 2 5 6 2 2 7" xfId="5729" xr:uid="{00000000-0005-0000-0000-00002F2F0000}"/>
    <cellStyle name="Normal 2 5 6 2 2 7 2" xfId="12367" xr:uid="{00000000-0005-0000-0000-0000302F0000}"/>
    <cellStyle name="Normal 2 5 6 2 2 7_SSL" xfId="16842" xr:uid="{00000000-0005-0000-0000-0000312F0000}"/>
    <cellStyle name="Normal 2 5 6 2 2 8" xfId="7641" xr:uid="{00000000-0005-0000-0000-0000322F0000}"/>
    <cellStyle name="Normal 2 5 6 2 2 9" xfId="6646" xr:uid="{00000000-0005-0000-0000-0000332F0000}"/>
    <cellStyle name="Normal 2 5 6 2 2_SSL" xfId="15457" xr:uid="{00000000-0005-0000-0000-0000342F0000}"/>
    <cellStyle name="Normal 2 5 6 2 3" xfId="1647" xr:uid="{00000000-0005-0000-0000-0000352F0000}"/>
    <cellStyle name="Normal 2 5 6 2 3 2" xfId="8302" xr:uid="{00000000-0005-0000-0000-0000362F0000}"/>
    <cellStyle name="Normal 2 5 6 2 3_SSL" xfId="14726" xr:uid="{00000000-0005-0000-0000-0000372F0000}"/>
    <cellStyle name="Normal 2 5 6 2 4" xfId="2467" xr:uid="{00000000-0005-0000-0000-0000382F0000}"/>
    <cellStyle name="Normal 2 5 6 2 4 2" xfId="9115" xr:uid="{00000000-0005-0000-0000-0000392F0000}"/>
    <cellStyle name="Normal 2 5 6 2 4_SSL" xfId="16792" xr:uid="{00000000-0005-0000-0000-00003A2F0000}"/>
    <cellStyle name="Normal 2 5 6 2 5" xfId="3286" xr:uid="{00000000-0005-0000-0000-00003B2F0000}"/>
    <cellStyle name="Normal 2 5 6 2 5 2" xfId="9931" xr:uid="{00000000-0005-0000-0000-00003C2F0000}"/>
    <cellStyle name="Normal 2 5 6 2 5_SSL" xfId="14014" xr:uid="{00000000-0005-0000-0000-00003D2F0000}"/>
    <cellStyle name="Normal 2 5 6 2 6" xfId="4107" xr:uid="{00000000-0005-0000-0000-00003E2F0000}"/>
    <cellStyle name="Normal 2 5 6 2 6 2" xfId="10747" xr:uid="{00000000-0005-0000-0000-00003F2F0000}"/>
    <cellStyle name="Normal 2 5 6 2 6_SSL" xfId="14428" xr:uid="{00000000-0005-0000-0000-0000402F0000}"/>
    <cellStyle name="Normal 2 5 6 2 7" xfId="4918" xr:uid="{00000000-0005-0000-0000-0000412F0000}"/>
    <cellStyle name="Normal 2 5 6 2 7 2" xfId="11557" xr:uid="{00000000-0005-0000-0000-0000422F0000}"/>
    <cellStyle name="Normal 2 5 6 2 7_SSL" xfId="17198" xr:uid="{00000000-0005-0000-0000-0000432F0000}"/>
    <cellStyle name="Normal 2 5 6 2 8" xfId="5728" xr:uid="{00000000-0005-0000-0000-0000442F0000}"/>
    <cellStyle name="Normal 2 5 6 2 8 2" xfId="12366" xr:uid="{00000000-0005-0000-0000-0000452F0000}"/>
    <cellStyle name="Normal 2 5 6 2 8_SSL" xfId="15355" xr:uid="{00000000-0005-0000-0000-0000462F0000}"/>
    <cellStyle name="Normal 2 5 6 2 9" xfId="7257" xr:uid="{00000000-0005-0000-0000-0000472F0000}"/>
    <cellStyle name="Normal 2 5 6 2_SSL" xfId="13862" xr:uid="{00000000-0005-0000-0000-0000482F0000}"/>
    <cellStyle name="Normal 2 5 6 3" xfId="569" xr:uid="{00000000-0005-0000-0000-0000492F0000}"/>
    <cellStyle name="Normal 2 5 6 3 2" xfId="1649" xr:uid="{00000000-0005-0000-0000-00004A2F0000}"/>
    <cellStyle name="Normal 2 5 6 3 2 2" xfId="8304" xr:uid="{00000000-0005-0000-0000-00004B2F0000}"/>
    <cellStyle name="Normal 2 5 6 3 2_SSL" xfId="17760" xr:uid="{00000000-0005-0000-0000-00004C2F0000}"/>
    <cellStyle name="Normal 2 5 6 3 3" xfId="2469" xr:uid="{00000000-0005-0000-0000-00004D2F0000}"/>
    <cellStyle name="Normal 2 5 6 3 3 2" xfId="9117" xr:uid="{00000000-0005-0000-0000-00004E2F0000}"/>
    <cellStyle name="Normal 2 5 6 3 3_SSL" xfId="17933" xr:uid="{00000000-0005-0000-0000-00004F2F0000}"/>
    <cellStyle name="Normal 2 5 6 3 4" xfId="3288" xr:uid="{00000000-0005-0000-0000-0000502F0000}"/>
    <cellStyle name="Normal 2 5 6 3 4 2" xfId="9933" xr:uid="{00000000-0005-0000-0000-0000512F0000}"/>
    <cellStyle name="Normal 2 5 6 3 4_SSL" xfId="17783" xr:uid="{00000000-0005-0000-0000-0000522F0000}"/>
    <cellStyle name="Normal 2 5 6 3 5" xfId="4109" xr:uid="{00000000-0005-0000-0000-0000532F0000}"/>
    <cellStyle name="Normal 2 5 6 3 5 2" xfId="10749" xr:uid="{00000000-0005-0000-0000-0000542F0000}"/>
    <cellStyle name="Normal 2 5 6 3 5_SSL" xfId="12994" xr:uid="{00000000-0005-0000-0000-0000552F0000}"/>
    <cellStyle name="Normal 2 5 6 3 6" xfId="4920" xr:uid="{00000000-0005-0000-0000-0000562F0000}"/>
    <cellStyle name="Normal 2 5 6 3 6 2" xfId="11559" xr:uid="{00000000-0005-0000-0000-0000572F0000}"/>
    <cellStyle name="Normal 2 5 6 3 6_SSL" xfId="17709" xr:uid="{00000000-0005-0000-0000-0000582F0000}"/>
    <cellStyle name="Normal 2 5 6 3 7" xfId="5730" xr:uid="{00000000-0005-0000-0000-0000592F0000}"/>
    <cellStyle name="Normal 2 5 6 3 7 2" xfId="12368" xr:uid="{00000000-0005-0000-0000-00005A2F0000}"/>
    <cellStyle name="Normal 2 5 6 3 7_SSL" xfId="17341" xr:uid="{00000000-0005-0000-0000-00005B2F0000}"/>
    <cellStyle name="Normal 2 5 6 3 8" xfId="7425" xr:uid="{00000000-0005-0000-0000-00005C2F0000}"/>
    <cellStyle name="Normal 2 5 6 3 9" xfId="6647" xr:uid="{00000000-0005-0000-0000-00005D2F0000}"/>
    <cellStyle name="Normal 2 5 6 3_SSL" xfId="17678" xr:uid="{00000000-0005-0000-0000-00005E2F0000}"/>
    <cellStyle name="Normal 2 5 6 4" xfId="1646" xr:uid="{00000000-0005-0000-0000-00005F2F0000}"/>
    <cellStyle name="Normal 2 5 6 4 2" xfId="8301" xr:uid="{00000000-0005-0000-0000-0000602F0000}"/>
    <cellStyle name="Normal 2 5 6 4_SSL" xfId="16249" xr:uid="{00000000-0005-0000-0000-0000612F0000}"/>
    <cellStyle name="Normal 2 5 6 5" xfId="2466" xr:uid="{00000000-0005-0000-0000-0000622F0000}"/>
    <cellStyle name="Normal 2 5 6 5 2" xfId="9114" xr:uid="{00000000-0005-0000-0000-0000632F0000}"/>
    <cellStyle name="Normal 2 5 6 5_SSL" xfId="17895" xr:uid="{00000000-0005-0000-0000-0000642F0000}"/>
    <cellStyle name="Normal 2 5 6 6" xfId="3285" xr:uid="{00000000-0005-0000-0000-0000652F0000}"/>
    <cellStyle name="Normal 2 5 6 6 2" xfId="9930" xr:uid="{00000000-0005-0000-0000-0000662F0000}"/>
    <cellStyle name="Normal 2 5 6 6_SSL" xfId="14930" xr:uid="{00000000-0005-0000-0000-0000672F0000}"/>
    <cellStyle name="Normal 2 5 6 7" xfId="4106" xr:uid="{00000000-0005-0000-0000-0000682F0000}"/>
    <cellStyle name="Normal 2 5 6 7 2" xfId="10746" xr:uid="{00000000-0005-0000-0000-0000692F0000}"/>
    <cellStyle name="Normal 2 5 6 7_SSL" xfId="15397" xr:uid="{00000000-0005-0000-0000-00006A2F0000}"/>
    <cellStyle name="Normal 2 5 6 8" xfId="4917" xr:uid="{00000000-0005-0000-0000-00006B2F0000}"/>
    <cellStyle name="Normal 2 5 6 8 2" xfId="11556" xr:uid="{00000000-0005-0000-0000-00006C2F0000}"/>
    <cellStyle name="Normal 2 5 6 8_SSL" xfId="12789" xr:uid="{00000000-0005-0000-0000-00006D2F0000}"/>
    <cellStyle name="Normal 2 5 6 9" xfId="5727" xr:uid="{00000000-0005-0000-0000-00006E2F0000}"/>
    <cellStyle name="Normal 2 5 6 9 2" xfId="12365" xr:uid="{00000000-0005-0000-0000-00006F2F0000}"/>
    <cellStyle name="Normal 2 5 6 9_SSL" xfId="16804" xr:uid="{00000000-0005-0000-0000-0000702F0000}"/>
    <cellStyle name="Normal 2 5 6_SSL" xfId="13689" xr:uid="{00000000-0005-0000-0000-0000712F0000}"/>
    <cellStyle name="Normal 2 5 7" xfId="235" xr:uid="{00000000-0005-0000-0000-0000722F0000}"/>
    <cellStyle name="Normal 2 5 7 10" xfId="7112" xr:uid="{00000000-0005-0000-0000-0000732F0000}"/>
    <cellStyle name="Normal 2 5 7 11" xfId="6648" xr:uid="{00000000-0005-0000-0000-0000742F0000}"/>
    <cellStyle name="Normal 2 5 7 2" xfId="398" xr:uid="{00000000-0005-0000-0000-0000752F0000}"/>
    <cellStyle name="Normal 2 5 7 2 10" xfId="6649" xr:uid="{00000000-0005-0000-0000-0000762F0000}"/>
    <cellStyle name="Normal 2 5 7 2 2" xfId="786" xr:uid="{00000000-0005-0000-0000-0000772F0000}"/>
    <cellStyle name="Normal 2 5 7 2 2 2" xfId="1652" xr:uid="{00000000-0005-0000-0000-0000782F0000}"/>
    <cellStyle name="Normal 2 5 7 2 2 2 2" xfId="8307" xr:uid="{00000000-0005-0000-0000-0000792F0000}"/>
    <cellStyle name="Normal 2 5 7 2 2 2_SSL" xfId="14829" xr:uid="{00000000-0005-0000-0000-00007A2F0000}"/>
    <cellStyle name="Normal 2 5 7 2 2 3" xfId="2472" xr:uid="{00000000-0005-0000-0000-00007B2F0000}"/>
    <cellStyle name="Normal 2 5 7 2 2 3 2" xfId="9120" xr:uid="{00000000-0005-0000-0000-00007C2F0000}"/>
    <cellStyle name="Normal 2 5 7 2 2 3_SSL" xfId="17312" xr:uid="{00000000-0005-0000-0000-00007D2F0000}"/>
    <cellStyle name="Normal 2 5 7 2 2 4" xfId="3291" xr:uid="{00000000-0005-0000-0000-00007E2F0000}"/>
    <cellStyle name="Normal 2 5 7 2 2 4 2" xfId="9936" xr:uid="{00000000-0005-0000-0000-00007F2F0000}"/>
    <cellStyle name="Normal 2 5 7 2 2 4_SSL" xfId="17936" xr:uid="{00000000-0005-0000-0000-0000802F0000}"/>
    <cellStyle name="Normal 2 5 7 2 2 5" xfId="4112" xr:uid="{00000000-0005-0000-0000-0000812F0000}"/>
    <cellStyle name="Normal 2 5 7 2 2 5 2" xfId="10752" xr:uid="{00000000-0005-0000-0000-0000822F0000}"/>
    <cellStyle name="Normal 2 5 7 2 2 5_SSL" xfId="12816" xr:uid="{00000000-0005-0000-0000-0000832F0000}"/>
    <cellStyle name="Normal 2 5 7 2 2 6" xfId="4923" xr:uid="{00000000-0005-0000-0000-0000842F0000}"/>
    <cellStyle name="Normal 2 5 7 2 2 6 2" xfId="11562" xr:uid="{00000000-0005-0000-0000-0000852F0000}"/>
    <cellStyle name="Normal 2 5 7 2 2 6_SSL" xfId="13499" xr:uid="{00000000-0005-0000-0000-0000862F0000}"/>
    <cellStyle name="Normal 2 5 7 2 2 7" xfId="5733" xr:uid="{00000000-0005-0000-0000-0000872F0000}"/>
    <cellStyle name="Normal 2 5 7 2 2 7 2" xfId="12371" xr:uid="{00000000-0005-0000-0000-0000882F0000}"/>
    <cellStyle name="Normal 2 5 7 2 2 7_SSL" xfId="14516" xr:uid="{00000000-0005-0000-0000-0000892F0000}"/>
    <cellStyle name="Normal 2 5 7 2 2 8" xfId="7642" xr:uid="{00000000-0005-0000-0000-00008A2F0000}"/>
    <cellStyle name="Normal 2 5 7 2 2 9" xfId="6650" xr:uid="{00000000-0005-0000-0000-00008B2F0000}"/>
    <cellStyle name="Normal 2 5 7 2 2_SSL" xfId="13051" xr:uid="{00000000-0005-0000-0000-00008C2F0000}"/>
    <cellStyle name="Normal 2 5 7 2 3" xfId="1651" xr:uid="{00000000-0005-0000-0000-00008D2F0000}"/>
    <cellStyle name="Normal 2 5 7 2 3 2" xfId="8306" xr:uid="{00000000-0005-0000-0000-00008E2F0000}"/>
    <cellStyle name="Normal 2 5 7 2 3_SSL" xfId="12872" xr:uid="{00000000-0005-0000-0000-00008F2F0000}"/>
    <cellStyle name="Normal 2 5 7 2 4" xfId="2471" xr:uid="{00000000-0005-0000-0000-0000902F0000}"/>
    <cellStyle name="Normal 2 5 7 2 4 2" xfId="9119" xr:uid="{00000000-0005-0000-0000-0000912F0000}"/>
    <cellStyle name="Normal 2 5 7 2 4_SSL" xfId="16353" xr:uid="{00000000-0005-0000-0000-0000922F0000}"/>
    <cellStyle name="Normal 2 5 7 2 5" xfId="3290" xr:uid="{00000000-0005-0000-0000-0000932F0000}"/>
    <cellStyle name="Normal 2 5 7 2 5 2" xfId="9935" xr:uid="{00000000-0005-0000-0000-0000942F0000}"/>
    <cellStyle name="Normal 2 5 7 2 5_SSL" xfId="17731" xr:uid="{00000000-0005-0000-0000-0000952F0000}"/>
    <cellStyle name="Normal 2 5 7 2 6" xfId="4111" xr:uid="{00000000-0005-0000-0000-0000962F0000}"/>
    <cellStyle name="Normal 2 5 7 2 6 2" xfId="10751" xr:uid="{00000000-0005-0000-0000-0000972F0000}"/>
    <cellStyle name="Normal 2 5 7 2 6_SSL" xfId="14577" xr:uid="{00000000-0005-0000-0000-0000982F0000}"/>
    <cellStyle name="Normal 2 5 7 2 7" xfId="4922" xr:uid="{00000000-0005-0000-0000-0000992F0000}"/>
    <cellStyle name="Normal 2 5 7 2 7 2" xfId="11561" xr:uid="{00000000-0005-0000-0000-00009A2F0000}"/>
    <cellStyle name="Normal 2 5 7 2 7_SSL" xfId="12699" xr:uid="{00000000-0005-0000-0000-00009B2F0000}"/>
    <cellStyle name="Normal 2 5 7 2 8" xfId="5732" xr:uid="{00000000-0005-0000-0000-00009C2F0000}"/>
    <cellStyle name="Normal 2 5 7 2 8 2" xfId="12370" xr:uid="{00000000-0005-0000-0000-00009D2F0000}"/>
    <cellStyle name="Normal 2 5 7 2 8_SSL" xfId="12794" xr:uid="{00000000-0005-0000-0000-00009E2F0000}"/>
    <cellStyle name="Normal 2 5 7 2 9" xfId="7258" xr:uid="{00000000-0005-0000-0000-00009F2F0000}"/>
    <cellStyle name="Normal 2 5 7 2_SSL" xfId="16168" xr:uid="{00000000-0005-0000-0000-0000A02F0000}"/>
    <cellStyle name="Normal 2 5 7 3" xfId="640" xr:uid="{00000000-0005-0000-0000-0000A12F0000}"/>
    <cellStyle name="Normal 2 5 7 3 2" xfId="1653" xr:uid="{00000000-0005-0000-0000-0000A22F0000}"/>
    <cellStyle name="Normal 2 5 7 3 2 2" xfId="8308" xr:uid="{00000000-0005-0000-0000-0000A32F0000}"/>
    <cellStyle name="Normal 2 5 7 3 2_SSL" xfId="15301" xr:uid="{00000000-0005-0000-0000-0000A42F0000}"/>
    <cellStyle name="Normal 2 5 7 3 3" xfId="2473" xr:uid="{00000000-0005-0000-0000-0000A52F0000}"/>
    <cellStyle name="Normal 2 5 7 3 3 2" xfId="9121" xr:uid="{00000000-0005-0000-0000-0000A62F0000}"/>
    <cellStyle name="Normal 2 5 7 3 3_SSL" xfId="14560" xr:uid="{00000000-0005-0000-0000-0000A72F0000}"/>
    <cellStyle name="Normal 2 5 7 3 4" xfId="3292" xr:uid="{00000000-0005-0000-0000-0000A82F0000}"/>
    <cellStyle name="Normal 2 5 7 3 4 2" xfId="9937" xr:uid="{00000000-0005-0000-0000-0000A92F0000}"/>
    <cellStyle name="Normal 2 5 7 3 4_SSL" xfId="14087" xr:uid="{00000000-0005-0000-0000-0000AA2F0000}"/>
    <cellStyle name="Normal 2 5 7 3 5" xfId="4113" xr:uid="{00000000-0005-0000-0000-0000AB2F0000}"/>
    <cellStyle name="Normal 2 5 7 3 5 2" xfId="10753" xr:uid="{00000000-0005-0000-0000-0000AC2F0000}"/>
    <cellStyle name="Normal 2 5 7 3 5_SSL" xfId="16763" xr:uid="{00000000-0005-0000-0000-0000AD2F0000}"/>
    <cellStyle name="Normal 2 5 7 3 6" xfId="4924" xr:uid="{00000000-0005-0000-0000-0000AE2F0000}"/>
    <cellStyle name="Normal 2 5 7 3 6 2" xfId="11563" xr:uid="{00000000-0005-0000-0000-0000AF2F0000}"/>
    <cellStyle name="Normal 2 5 7 3 6_SSL" xfId="14498" xr:uid="{00000000-0005-0000-0000-0000B02F0000}"/>
    <cellStyle name="Normal 2 5 7 3 7" xfId="5734" xr:uid="{00000000-0005-0000-0000-0000B12F0000}"/>
    <cellStyle name="Normal 2 5 7 3 7 2" xfId="12372" xr:uid="{00000000-0005-0000-0000-0000B22F0000}"/>
    <cellStyle name="Normal 2 5 7 3 7_SSL" xfId="17712" xr:uid="{00000000-0005-0000-0000-0000B32F0000}"/>
    <cellStyle name="Normal 2 5 7 3 8" xfId="7496" xr:uid="{00000000-0005-0000-0000-0000B42F0000}"/>
    <cellStyle name="Normal 2 5 7 3 9" xfId="6651" xr:uid="{00000000-0005-0000-0000-0000B52F0000}"/>
    <cellStyle name="Normal 2 5 7 3_SSL" xfId="16938" xr:uid="{00000000-0005-0000-0000-0000B62F0000}"/>
    <cellStyle name="Normal 2 5 7 4" xfId="1650" xr:uid="{00000000-0005-0000-0000-0000B72F0000}"/>
    <cellStyle name="Normal 2 5 7 4 2" xfId="8305" xr:uid="{00000000-0005-0000-0000-0000B82F0000}"/>
    <cellStyle name="Normal 2 5 7 4_SSL" xfId="16982" xr:uid="{00000000-0005-0000-0000-0000B92F0000}"/>
    <cellStyle name="Normal 2 5 7 5" xfId="2470" xr:uid="{00000000-0005-0000-0000-0000BA2F0000}"/>
    <cellStyle name="Normal 2 5 7 5 2" xfId="9118" xr:uid="{00000000-0005-0000-0000-0000BB2F0000}"/>
    <cellStyle name="Normal 2 5 7 5_SSL" xfId="17959" xr:uid="{00000000-0005-0000-0000-0000BC2F0000}"/>
    <cellStyle name="Normal 2 5 7 6" xfId="3289" xr:uid="{00000000-0005-0000-0000-0000BD2F0000}"/>
    <cellStyle name="Normal 2 5 7 6 2" xfId="9934" xr:uid="{00000000-0005-0000-0000-0000BE2F0000}"/>
    <cellStyle name="Normal 2 5 7 6_SSL" xfId="15790" xr:uid="{00000000-0005-0000-0000-0000BF2F0000}"/>
    <cellStyle name="Normal 2 5 7 7" xfId="4110" xr:uid="{00000000-0005-0000-0000-0000C02F0000}"/>
    <cellStyle name="Normal 2 5 7 7 2" xfId="10750" xr:uid="{00000000-0005-0000-0000-0000C12F0000}"/>
    <cellStyle name="Normal 2 5 7 7_SSL" xfId="13712" xr:uid="{00000000-0005-0000-0000-0000C22F0000}"/>
    <cellStyle name="Normal 2 5 7 8" xfId="4921" xr:uid="{00000000-0005-0000-0000-0000C32F0000}"/>
    <cellStyle name="Normal 2 5 7 8 2" xfId="11560" xr:uid="{00000000-0005-0000-0000-0000C42F0000}"/>
    <cellStyle name="Normal 2 5 7 8_SSL" xfId="13995" xr:uid="{00000000-0005-0000-0000-0000C52F0000}"/>
    <cellStyle name="Normal 2 5 7 9" xfId="5731" xr:uid="{00000000-0005-0000-0000-0000C62F0000}"/>
    <cellStyle name="Normal 2 5 7 9 2" xfId="12369" xr:uid="{00000000-0005-0000-0000-0000C72F0000}"/>
    <cellStyle name="Normal 2 5 7 9_SSL" xfId="15837" xr:uid="{00000000-0005-0000-0000-0000C82F0000}"/>
    <cellStyle name="Normal 2 5 7_SSL" xfId="15480" xr:uid="{00000000-0005-0000-0000-0000C92F0000}"/>
    <cellStyle name="Normal 2 5 8" xfId="383" xr:uid="{00000000-0005-0000-0000-0000CA2F0000}"/>
    <cellStyle name="Normal 2 5 8 10" xfId="6652" xr:uid="{00000000-0005-0000-0000-0000CB2F0000}"/>
    <cellStyle name="Normal 2 5 8 2" xfId="771" xr:uid="{00000000-0005-0000-0000-0000CC2F0000}"/>
    <cellStyle name="Normal 2 5 8 2 2" xfId="1655" xr:uid="{00000000-0005-0000-0000-0000CD2F0000}"/>
    <cellStyle name="Normal 2 5 8 2 2 2" xfId="8310" xr:uid="{00000000-0005-0000-0000-0000CE2F0000}"/>
    <cellStyle name="Normal 2 5 8 2 2_SSL" xfId="17930" xr:uid="{00000000-0005-0000-0000-0000CF2F0000}"/>
    <cellStyle name="Normal 2 5 8 2 3" xfId="2475" xr:uid="{00000000-0005-0000-0000-0000D02F0000}"/>
    <cellStyle name="Normal 2 5 8 2 3 2" xfId="9123" xr:uid="{00000000-0005-0000-0000-0000D12F0000}"/>
    <cellStyle name="Normal 2 5 8 2 3_SSL" xfId="12718" xr:uid="{00000000-0005-0000-0000-0000D22F0000}"/>
    <cellStyle name="Normal 2 5 8 2 4" xfId="3294" xr:uid="{00000000-0005-0000-0000-0000D32F0000}"/>
    <cellStyle name="Normal 2 5 8 2 4 2" xfId="9939" xr:uid="{00000000-0005-0000-0000-0000D42F0000}"/>
    <cellStyle name="Normal 2 5 8 2 4_SSL" xfId="13050" xr:uid="{00000000-0005-0000-0000-0000D52F0000}"/>
    <cellStyle name="Normal 2 5 8 2 5" xfId="4115" xr:uid="{00000000-0005-0000-0000-0000D62F0000}"/>
    <cellStyle name="Normal 2 5 8 2 5 2" xfId="10755" xr:uid="{00000000-0005-0000-0000-0000D72F0000}"/>
    <cellStyle name="Normal 2 5 8 2 5_SSL" xfId="16345" xr:uid="{00000000-0005-0000-0000-0000D82F0000}"/>
    <cellStyle name="Normal 2 5 8 2 6" xfId="4926" xr:uid="{00000000-0005-0000-0000-0000D92F0000}"/>
    <cellStyle name="Normal 2 5 8 2 6 2" xfId="11565" xr:uid="{00000000-0005-0000-0000-0000DA2F0000}"/>
    <cellStyle name="Normal 2 5 8 2 6_SSL" xfId="17724" xr:uid="{00000000-0005-0000-0000-0000DB2F0000}"/>
    <cellStyle name="Normal 2 5 8 2 7" xfId="5736" xr:uid="{00000000-0005-0000-0000-0000DC2F0000}"/>
    <cellStyle name="Normal 2 5 8 2 7 2" xfId="12374" xr:uid="{00000000-0005-0000-0000-0000DD2F0000}"/>
    <cellStyle name="Normal 2 5 8 2 7_SSL" xfId="15613" xr:uid="{00000000-0005-0000-0000-0000DE2F0000}"/>
    <cellStyle name="Normal 2 5 8 2 8" xfId="7627" xr:uid="{00000000-0005-0000-0000-0000DF2F0000}"/>
    <cellStyle name="Normal 2 5 8 2 9" xfId="6653" xr:uid="{00000000-0005-0000-0000-0000E02F0000}"/>
    <cellStyle name="Normal 2 5 8 2_SSL" xfId="14370" xr:uid="{00000000-0005-0000-0000-0000E12F0000}"/>
    <cellStyle name="Normal 2 5 8 3" xfId="1654" xr:uid="{00000000-0005-0000-0000-0000E22F0000}"/>
    <cellStyle name="Normal 2 5 8 3 2" xfId="8309" xr:uid="{00000000-0005-0000-0000-0000E32F0000}"/>
    <cellStyle name="Normal 2 5 8 3_SSL" xfId="13277" xr:uid="{00000000-0005-0000-0000-0000E42F0000}"/>
    <cellStyle name="Normal 2 5 8 4" xfId="2474" xr:uid="{00000000-0005-0000-0000-0000E52F0000}"/>
    <cellStyle name="Normal 2 5 8 4 2" xfId="9122" xr:uid="{00000000-0005-0000-0000-0000E62F0000}"/>
    <cellStyle name="Normal 2 5 8 4_SSL" xfId="16789" xr:uid="{00000000-0005-0000-0000-0000E72F0000}"/>
    <cellStyle name="Normal 2 5 8 5" xfId="3293" xr:uid="{00000000-0005-0000-0000-0000E82F0000}"/>
    <cellStyle name="Normal 2 5 8 5 2" xfId="9938" xr:uid="{00000000-0005-0000-0000-0000E92F0000}"/>
    <cellStyle name="Normal 2 5 8 5_SSL" xfId="14536" xr:uid="{00000000-0005-0000-0000-0000EA2F0000}"/>
    <cellStyle name="Normal 2 5 8 6" xfId="4114" xr:uid="{00000000-0005-0000-0000-0000EB2F0000}"/>
    <cellStyle name="Normal 2 5 8 6 2" xfId="10754" xr:uid="{00000000-0005-0000-0000-0000EC2F0000}"/>
    <cellStyle name="Normal 2 5 8 6_SSL" xfId="14421" xr:uid="{00000000-0005-0000-0000-0000ED2F0000}"/>
    <cellStyle name="Normal 2 5 8 7" xfId="4925" xr:uid="{00000000-0005-0000-0000-0000EE2F0000}"/>
    <cellStyle name="Normal 2 5 8 7 2" xfId="11564" xr:uid="{00000000-0005-0000-0000-0000EF2F0000}"/>
    <cellStyle name="Normal 2 5 8 7_SSL" xfId="16140" xr:uid="{00000000-0005-0000-0000-0000F02F0000}"/>
    <cellStyle name="Normal 2 5 8 8" xfId="5735" xr:uid="{00000000-0005-0000-0000-0000F12F0000}"/>
    <cellStyle name="Normal 2 5 8 8 2" xfId="12373" xr:uid="{00000000-0005-0000-0000-0000F22F0000}"/>
    <cellStyle name="Normal 2 5 8 8_SSL" xfId="16179" xr:uid="{00000000-0005-0000-0000-0000F32F0000}"/>
    <cellStyle name="Normal 2 5 8 9" xfId="7243" xr:uid="{00000000-0005-0000-0000-0000F42F0000}"/>
    <cellStyle name="Normal 2 5 8_SSL" xfId="15407" xr:uid="{00000000-0005-0000-0000-0000F52F0000}"/>
    <cellStyle name="Normal 2 5 9" xfId="473" xr:uid="{00000000-0005-0000-0000-0000F62F0000}"/>
    <cellStyle name="Normal 2 5 9 2" xfId="1656" xr:uid="{00000000-0005-0000-0000-0000F72F0000}"/>
    <cellStyle name="Normal 2 5 9 2 2" xfId="8311" xr:uid="{00000000-0005-0000-0000-0000F82F0000}"/>
    <cellStyle name="Normal 2 5 9 2_SSL" xfId="13067" xr:uid="{00000000-0005-0000-0000-0000F92F0000}"/>
    <cellStyle name="Normal 2 5 9 3" xfId="2476" xr:uid="{00000000-0005-0000-0000-0000FA2F0000}"/>
    <cellStyle name="Normal 2 5 9 3 2" xfId="9124" xr:uid="{00000000-0005-0000-0000-0000FB2F0000}"/>
    <cellStyle name="Normal 2 5 9 3_SSL" xfId="13639" xr:uid="{00000000-0005-0000-0000-0000FC2F0000}"/>
    <cellStyle name="Normal 2 5 9 4" xfId="3295" xr:uid="{00000000-0005-0000-0000-0000FD2F0000}"/>
    <cellStyle name="Normal 2 5 9 4 2" xfId="9940" xr:uid="{00000000-0005-0000-0000-0000FE2F0000}"/>
    <cellStyle name="Normal 2 5 9 4_SSL" xfId="16860" xr:uid="{00000000-0005-0000-0000-0000FF2F0000}"/>
    <cellStyle name="Normal 2 5 9 5" xfId="4116" xr:uid="{00000000-0005-0000-0000-000000300000}"/>
    <cellStyle name="Normal 2 5 9 5 2" xfId="10756" xr:uid="{00000000-0005-0000-0000-000001300000}"/>
    <cellStyle name="Normal 2 5 9 5_SSL" xfId="16636" xr:uid="{00000000-0005-0000-0000-000002300000}"/>
    <cellStyle name="Normal 2 5 9 6" xfId="4927" xr:uid="{00000000-0005-0000-0000-000003300000}"/>
    <cellStyle name="Normal 2 5 9 6 2" xfId="11566" xr:uid="{00000000-0005-0000-0000-000004300000}"/>
    <cellStyle name="Normal 2 5 9 6_SSL" xfId="15149" xr:uid="{00000000-0005-0000-0000-000005300000}"/>
    <cellStyle name="Normal 2 5 9 7" xfId="5737" xr:uid="{00000000-0005-0000-0000-000006300000}"/>
    <cellStyle name="Normal 2 5 9 7 2" xfId="12375" xr:uid="{00000000-0005-0000-0000-000007300000}"/>
    <cellStyle name="Normal 2 5 9 7_SSL" xfId="13161" xr:uid="{00000000-0005-0000-0000-000008300000}"/>
    <cellStyle name="Normal 2 5 9 8" xfId="7329" xr:uid="{00000000-0005-0000-0000-000009300000}"/>
    <cellStyle name="Normal 2 5 9 9" xfId="6654" xr:uid="{00000000-0005-0000-0000-00000A300000}"/>
    <cellStyle name="Normal 2 5 9_SSL" xfId="6054" xr:uid="{00000000-0005-0000-0000-00000B300000}"/>
    <cellStyle name="Normal 2 5_SSL" xfId="17698" xr:uid="{00000000-0005-0000-0000-00000C300000}"/>
    <cellStyle name="Normal 2 6" xfId="59" xr:uid="{00000000-0005-0000-0000-00000D300000}"/>
    <cellStyle name="Normal 2 6 10" xfId="2477" xr:uid="{00000000-0005-0000-0000-00000E300000}"/>
    <cellStyle name="Normal 2 6 10 2" xfId="9125" xr:uid="{00000000-0005-0000-0000-00000F300000}"/>
    <cellStyle name="Normal 2 6 10_SSL" xfId="15625" xr:uid="{00000000-0005-0000-0000-000010300000}"/>
    <cellStyle name="Normal 2 6 11" xfId="3296" xr:uid="{00000000-0005-0000-0000-000011300000}"/>
    <cellStyle name="Normal 2 6 11 2" xfId="9941" xr:uid="{00000000-0005-0000-0000-000012300000}"/>
    <cellStyle name="Normal 2 6 11_SSL" xfId="17202" xr:uid="{00000000-0005-0000-0000-000013300000}"/>
    <cellStyle name="Normal 2 6 12" xfId="4117" xr:uid="{00000000-0005-0000-0000-000014300000}"/>
    <cellStyle name="Normal 2 6 12 2" xfId="10757" xr:uid="{00000000-0005-0000-0000-000015300000}"/>
    <cellStyle name="Normal 2 6 12_SSL" xfId="13485" xr:uid="{00000000-0005-0000-0000-000016300000}"/>
    <cellStyle name="Normal 2 6 13" xfId="4928" xr:uid="{00000000-0005-0000-0000-000017300000}"/>
    <cellStyle name="Normal 2 6 13 2" xfId="11567" xr:uid="{00000000-0005-0000-0000-000018300000}"/>
    <cellStyle name="Normal 2 6 13_SSL" xfId="16719" xr:uid="{00000000-0005-0000-0000-000019300000}"/>
    <cellStyle name="Normal 2 6 14" xfId="5738" xr:uid="{00000000-0005-0000-0000-00001A300000}"/>
    <cellStyle name="Normal 2 6 14 2" xfId="12376" xr:uid="{00000000-0005-0000-0000-00001B300000}"/>
    <cellStyle name="Normal 2 6 14_SSL" xfId="13020" xr:uid="{00000000-0005-0000-0000-00001C300000}"/>
    <cellStyle name="Normal 2 6 15" xfId="6947" xr:uid="{00000000-0005-0000-0000-00001D300000}"/>
    <cellStyle name="Normal 2 6 16" xfId="6655" xr:uid="{00000000-0005-0000-0000-00001E300000}"/>
    <cellStyle name="Normal 2 6 2" xfId="90" xr:uid="{00000000-0005-0000-0000-00001F300000}"/>
    <cellStyle name="Normal 2 6 2 10" xfId="5739" xr:uid="{00000000-0005-0000-0000-000020300000}"/>
    <cellStyle name="Normal 2 6 2 10 2" xfId="12377" xr:uid="{00000000-0005-0000-0000-000021300000}"/>
    <cellStyle name="Normal 2 6 2 10_SSL" xfId="17862" xr:uid="{00000000-0005-0000-0000-000022300000}"/>
    <cellStyle name="Normal 2 6 2 11" xfId="6970" xr:uid="{00000000-0005-0000-0000-000023300000}"/>
    <cellStyle name="Normal 2 6 2 12" xfId="6656" xr:uid="{00000000-0005-0000-0000-000024300000}"/>
    <cellStyle name="Normal 2 6 2 2" xfId="189" xr:uid="{00000000-0005-0000-0000-000025300000}"/>
    <cellStyle name="Normal 2 6 2 2 10" xfId="7066" xr:uid="{00000000-0005-0000-0000-000026300000}"/>
    <cellStyle name="Normal 2 6 2 2 11" xfId="6657" xr:uid="{00000000-0005-0000-0000-000027300000}"/>
    <cellStyle name="Normal 2 6 2 2 2" xfId="401" xr:uid="{00000000-0005-0000-0000-000028300000}"/>
    <cellStyle name="Normal 2 6 2 2 2 10" xfId="6658" xr:uid="{00000000-0005-0000-0000-000029300000}"/>
    <cellStyle name="Normal 2 6 2 2 2 2" xfId="789" xr:uid="{00000000-0005-0000-0000-00002A300000}"/>
    <cellStyle name="Normal 2 6 2 2 2 2 2" xfId="1661" xr:uid="{00000000-0005-0000-0000-00002B300000}"/>
    <cellStyle name="Normal 2 6 2 2 2 2 2 2" xfId="8316" xr:uid="{00000000-0005-0000-0000-00002C300000}"/>
    <cellStyle name="Normal 2 6 2 2 2 2 2_SSL" xfId="14635" xr:uid="{00000000-0005-0000-0000-00002D300000}"/>
    <cellStyle name="Normal 2 6 2 2 2 2 3" xfId="2481" xr:uid="{00000000-0005-0000-0000-00002E300000}"/>
    <cellStyle name="Normal 2 6 2 2 2 2 3 2" xfId="9129" xr:uid="{00000000-0005-0000-0000-00002F300000}"/>
    <cellStyle name="Normal 2 6 2 2 2 2 3_SSL" xfId="15730" xr:uid="{00000000-0005-0000-0000-000030300000}"/>
    <cellStyle name="Normal 2 6 2 2 2 2 4" xfId="3300" xr:uid="{00000000-0005-0000-0000-000031300000}"/>
    <cellStyle name="Normal 2 6 2 2 2 2 4 2" xfId="9945" xr:uid="{00000000-0005-0000-0000-000032300000}"/>
    <cellStyle name="Normal 2 6 2 2 2 2 4_SSL" xfId="13117" xr:uid="{00000000-0005-0000-0000-000033300000}"/>
    <cellStyle name="Normal 2 6 2 2 2 2 5" xfId="4121" xr:uid="{00000000-0005-0000-0000-000034300000}"/>
    <cellStyle name="Normal 2 6 2 2 2 2 5 2" xfId="10761" xr:uid="{00000000-0005-0000-0000-000035300000}"/>
    <cellStyle name="Normal 2 6 2 2 2 2 5_SSL" xfId="15528" xr:uid="{00000000-0005-0000-0000-000036300000}"/>
    <cellStyle name="Normal 2 6 2 2 2 2 6" xfId="4932" xr:uid="{00000000-0005-0000-0000-000037300000}"/>
    <cellStyle name="Normal 2 6 2 2 2 2 6 2" xfId="11571" xr:uid="{00000000-0005-0000-0000-000038300000}"/>
    <cellStyle name="Normal 2 6 2 2 2 2 6_SSL" xfId="14825" xr:uid="{00000000-0005-0000-0000-000039300000}"/>
    <cellStyle name="Normal 2 6 2 2 2 2 7" xfId="5742" xr:uid="{00000000-0005-0000-0000-00003A300000}"/>
    <cellStyle name="Normal 2 6 2 2 2 2 7 2" xfId="12380" xr:uid="{00000000-0005-0000-0000-00003B300000}"/>
    <cellStyle name="Normal 2 6 2 2 2 2 7_SSL" xfId="14893" xr:uid="{00000000-0005-0000-0000-00003C300000}"/>
    <cellStyle name="Normal 2 6 2 2 2 2 8" xfId="7645" xr:uid="{00000000-0005-0000-0000-00003D300000}"/>
    <cellStyle name="Normal 2 6 2 2 2 2 9" xfId="6659" xr:uid="{00000000-0005-0000-0000-00003E300000}"/>
    <cellStyle name="Normal 2 6 2 2 2 2_SSL" xfId="17265" xr:uid="{00000000-0005-0000-0000-00003F300000}"/>
    <cellStyle name="Normal 2 6 2 2 2 3" xfId="1660" xr:uid="{00000000-0005-0000-0000-000040300000}"/>
    <cellStyle name="Normal 2 6 2 2 2 3 2" xfId="8315" xr:uid="{00000000-0005-0000-0000-000041300000}"/>
    <cellStyle name="Normal 2 6 2 2 2 3_SSL" xfId="14790" xr:uid="{00000000-0005-0000-0000-000042300000}"/>
    <cellStyle name="Normal 2 6 2 2 2 4" xfId="2480" xr:uid="{00000000-0005-0000-0000-000043300000}"/>
    <cellStyle name="Normal 2 6 2 2 2 4 2" xfId="9128" xr:uid="{00000000-0005-0000-0000-000044300000}"/>
    <cellStyle name="Normal 2 6 2 2 2 4_SSL" xfId="15476" xr:uid="{00000000-0005-0000-0000-000045300000}"/>
    <cellStyle name="Normal 2 6 2 2 2 5" xfId="3299" xr:uid="{00000000-0005-0000-0000-000046300000}"/>
    <cellStyle name="Normal 2 6 2 2 2 5 2" xfId="9944" xr:uid="{00000000-0005-0000-0000-000047300000}"/>
    <cellStyle name="Normal 2 6 2 2 2 5_SSL" xfId="13209" xr:uid="{00000000-0005-0000-0000-000048300000}"/>
    <cellStyle name="Normal 2 6 2 2 2 6" xfId="4120" xr:uid="{00000000-0005-0000-0000-000049300000}"/>
    <cellStyle name="Normal 2 6 2 2 2 6 2" xfId="10760" xr:uid="{00000000-0005-0000-0000-00004A300000}"/>
    <cellStyle name="Normal 2 6 2 2 2 6_SSL" xfId="16248" xr:uid="{00000000-0005-0000-0000-00004B300000}"/>
    <cellStyle name="Normal 2 6 2 2 2 7" xfId="4931" xr:uid="{00000000-0005-0000-0000-00004C300000}"/>
    <cellStyle name="Normal 2 6 2 2 2 7 2" xfId="11570" xr:uid="{00000000-0005-0000-0000-00004D300000}"/>
    <cellStyle name="Normal 2 6 2 2 2 7_SSL" xfId="14545" xr:uid="{00000000-0005-0000-0000-00004E300000}"/>
    <cellStyle name="Normal 2 6 2 2 2 8" xfId="5741" xr:uid="{00000000-0005-0000-0000-00004F300000}"/>
    <cellStyle name="Normal 2 6 2 2 2 8 2" xfId="12379" xr:uid="{00000000-0005-0000-0000-000050300000}"/>
    <cellStyle name="Normal 2 6 2 2 2 8_SSL" xfId="15753" xr:uid="{00000000-0005-0000-0000-000051300000}"/>
    <cellStyle name="Normal 2 6 2 2 2 9" xfId="7261" xr:uid="{00000000-0005-0000-0000-000052300000}"/>
    <cellStyle name="Normal 2 6 2 2 2_SSL" xfId="17528" xr:uid="{00000000-0005-0000-0000-000053300000}"/>
    <cellStyle name="Normal 2 6 2 2 3" xfId="594" xr:uid="{00000000-0005-0000-0000-000054300000}"/>
    <cellStyle name="Normal 2 6 2 2 3 2" xfId="1662" xr:uid="{00000000-0005-0000-0000-000055300000}"/>
    <cellStyle name="Normal 2 6 2 2 3 2 2" xfId="8317" xr:uid="{00000000-0005-0000-0000-000056300000}"/>
    <cellStyle name="Normal 2 6 2 2 3 2_SSL" xfId="16407" xr:uid="{00000000-0005-0000-0000-000057300000}"/>
    <cellStyle name="Normal 2 6 2 2 3 3" xfId="2482" xr:uid="{00000000-0005-0000-0000-000058300000}"/>
    <cellStyle name="Normal 2 6 2 2 3 3 2" xfId="9130" xr:uid="{00000000-0005-0000-0000-000059300000}"/>
    <cellStyle name="Normal 2 6 2 2 3 3_SSL" xfId="5992" xr:uid="{00000000-0005-0000-0000-00005A300000}"/>
    <cellStyle name="Normal 2 6 2 2 3 4" xfId="3301" xr:uid="{00000000-0005-0000-0000-00005B300000}"/>
    <cellStyle name="Normal 2 6 2 2 3 4 2" xfId="9946" xr:uid="{00000000-0005-0000-0000-00005C300000}"/>
    <cellStyle name="Normal 2 6 2 2 3 4_SSL" xfId="16123" xr:uid="{00000000-0005-0000-0000-00005D300000}"/>
    <cellStyle name="Normal 2 6 2 2 3 5" xfId="4122" xr:uid="{00000000-0005-0000-0000-00005E300000}"/>
    <cellStyle name="Normal 2 6 2 2 3 5 2" xfId="10762" xr:uid="{00000000-0005-0000-0000-00005F300000}"/>
    <cellStyle name="Normal 2 6 2 2 3 5_SSL" xfId="15926" xr:uid="{00000000-0005-0000-0000-000060300000}"/>
    <cellStyle name="Normal 2 6 2 2 3 6" xfId="4933" xr:uid="{00000000-0005-0000-0000-000061300000}"/>
    <cellStyle name="Normal 2 6 2 2 3 6 2" xfId="11572" xr:uid="{00000000-0005-0000-0000-000062300000}"/>
    <cellStyle name="Normal 2 6 2 2 3 6_SSL" xfId="13001" xr:uid="{00000000-0005-0000-0000-000063300000}"/>
    <cellStyle name="Normal 2 6 2 2 3 7" xfId="5743" xr:uid="{00000000-0005-0000-0000-000064300000}"/>
    <cellStyle name="Normal 2 6 2 2 3 7 2" xfId="12381" xr:uid="{00000000-0005-0000-0000-000065300000}"/>
    <cellStyle name="Normal 2 6 2 2 3 7_SSL" xfId="15499" xr:uid="{00000000-0005-0000-0000-000066300000}"/>
    <cellStyle name="Normal 2 6 2 2 3 8" xfId="7450" xr:uid="{00000000-0005-0000-0000-000067300000}"/>
    <cellStyle name="Normal 2 6 2 2 3 9" xfId="6660" xr:uid="{00000000-0005-0000-0000-000068300000}"/>
    <cellStyle name="Normal 2 6 2 2 3_SSL" xfId="13145" xr:uid="{00000000-0005-0000-0000-000069300000}"/>
    <cellStyle name="Normal 2 6 2 2 4" xfId="1659" xr:uid="{00000000-0005-0000-0000-00006A300000}"/>
    <cellStyle name="Normal 2 6 2 2 4 2" xfId="8314" xr:uid="{00000000-0005-0000-0000-00006B300000}"/>
    <cellStyle name="Normal 2 6 2 2 4_SSL" xfId="6026" xr:uid="{00000000-0005-0000-0000-00006C300000}"/>
    <cellStyle name="Normal 2 6 2 2 5" xfId="2479" xr:uid="{00000000-0005-0000-0000-00006D300000}"/>
    <cellStyle name="Normal 2 6 2 2 5 2" xfId="9127" xr:uid="{00000000-0005-0000-0000-00006E300000}"/>
    <cellStyle name="Normal 2 6 2 2 5_SSL" xfId="15741" xr:uid="{00000000-0005-0000-0000-00006F300000}"/>
    <cellStyle name="Normal 2 6 2 2 6" xfId="3298" xr:uid="{00000000-0005-0000-0000-000070300000}"/>
    <cellStyle name="Normal 2 6 2 2 6 2" xfId="9943" xr:uid="{00000000-0005-0000-0000-000071300000}"/>
    <cellStyle name="Normal 2 6 2 2 6_SSL" xfId="14701" xr:uid="{00000000-0005-0000-0000-000072300000}"/>
    <cellStyle name="Normal 2 6 2 2 7" xfId="4119" xr:uid="{00000000-0005-0000-0000-000073300000}"/>
    <cellStyle name="Normal 2 6 2 2 7 2" xfId="10759" xr:uid="{00000000-0005-0000-0000-000074300000}"/>
    <cellStyle name="Normal 2 6 2 2 7_SSL" xfId="12972" xr:uid="{00000000-0005-0000-0000-000075300000}"/>
    <cellStyle name="Normal 2 6 2 2 8" xfId="4930" xr:uid="{00000000-0005-0000-0000-000076300000}"/>
    <cellStyle name="Normal 2 6 2 2 8 2" xfId="11569" xr:uid="{00000000-0005-0000-0000-000077300000}"/>
    <cellStyle name="Normal 2 6 2 2 8_SSL" xfId="15722" xr:uid="{00000000-0005-0000-0000-000078300000}"/>
    <cellStyle name="Normal 2 6 2 2 9" xfId="5740" xr:uid="{00000000-0005-0000-0000-000079300000}"/>
    <cellStyle name="Normal 2 6 2 2 9 2" xfId="12378" xr:uid="{00000000-0005-0000-0000-00007A300000}"/>
    <cellStyle name="Normal 2 6 2 2 9_SSL" xfId="14441" xr:uid="{00000000-0005-0000-0000-00007B300000}"/>
    <cellStyle name="Normal 2 6 2 2_SSL" xfId="15781" xr:uid="{00000000-0005-0000-0000-00007C300000}"/>
    <cellStyle name="Normal 2 6 2 3" xfId="400" xr:uid="{00000000-0005-0000-0000-00007D300000}"/>
    <cellStyle name="Normal 2 6 2 3 10" xfId="6661" xr:uid="{00000000-0005-0000-0000-00007E300000}"/>
    <cellStyle name="Normal 2 6 2 3 2" xfId="788" xr:uid="{00000000-0005-0000-0000-00007F300000}"/>
    <cellStyle name="Normal 2 6 2 3 2 2" xfId="1664" xr:uid="{00000000-0005-0000-0000-000080300000}"/>
    <cellStyle name="Normal 2 6 2 3 2 2 2" xfId="8319" xr:uid="{00000000-0005-0000-0000-000081300000}"/>
    <cellStyle name="Normal 2 6 2 3 2 2_SSL" xfId="16367" xr:uid="{00000000-0005-0000-0000-000082300000}"/>
    <cellStyle name="Normal 2 6 2 3 2 3" xfId="2484" xr:uid="{00000000-0005-0000-0000-000083300000}"/>
    <cellStyle name="Normal 2 6 2 3 2 3 2" xfId="9132" xr:uid="{00000000-0005-0000-0000-000084300000}"/>
    <cellStyle name="Normal 2 6 2 3 2 3_SSL" xfId="13967" xr:uid="{00000000-0005-0000-0000-000085300000}"/>
    <cellStyle name="Normal 2 6 2 3 2 4" xfId="3303" xr:uid="{00000000-0005-0000-0000-000086300000}"/>
    <cellStyle name="Normal 2 6 2 3 2 4 2" xfId="9948" xr:uid="{00000000-0005-0000-0000-000087300000}"/>
    <cellStyle name="Normal 2 6 2 3 2 4_SSL" xfId="13275" xr:uid="{00000000-0005-0000-0000-000088300000}"/>
    <cellStyle name="Normal 2 6 2 3 2 5" xfId="4124" xr:uid="{00000000-0005-0000-0000-000089300000}"/>
    <cellStyle name="Normal 2 6 2 3 2 5 2" xfId="10764" xr:uid="{00000000-0005-0000-0000-00008A300000}"/>
    <cellStyle name="Normal 2 6 2 3 2 5_SSL" xfId="15597" xr:uid="{00000000-0005-0000-0000-00008B300000}"/>
    <cellStyle name="Normal 2 6 2 3 2 6" xfId="4935" xr:uid="{00000000-0005-0000-0000-00008C300000}"/>
    <cellStyle name="Normal 2 6 2 3 2 6 2" xfId="11574" xr:uid="{00000000-0005-0000-0000-00008D300000}"/>
    <cellStyle name="Normal 2 6 2 3 2 6_SSL" xfId="15477" xr:uid="{00000000-0005-0000-0000-00008E300000}"/>
    <cellStyle name="Normal 2 6 2 3 2 7" xfId="5745" xr:uid="{00000000-0005-0000-0000-00008F300000}"/>
    <cellStyle name="Normal 2 6 2 3 2 7 2" xfId="12383" xr:uid="{00000000-0005-0000-0000-000090300000}"/>
    <cellStyle name="Normal 2 6 2 3 2 7_SSL" xfId="15406" xr:uid="{00000000-0005-0000-0000-000091300000}"/>
    <cellStyle name="Normal 2 6 2 3 2 8" xfId="7644" xr:uid="{00000000-0005-0000-0000-000092300000}"/>
    <cellStyle name="Normal 2 6 2 3 2 9" xfId="6662" xr:uid="{00000000-0005-0000-0000-000093300000}"/>
    <cellStyle name="Normal 2 6 2 3 2_SSL" xfId="15211" xr:uid="{00000000-0005-0000-0000-000094300000}"/>
    <cellStyle name="Normal 2 6 2 3 3" xfId="1663" xr:uid="{00000000-0005-0000-0000-000095300000}"/>
    <cellStyle name="Normal 2 6 2 3 3 2" xfId="8318" xr:uid="{00000000-0005-0000-0000-000096300000}"/>
    <cellStyle name="Normal 2 6 2 3 3_SSL" xfId="12832" xr:uid="{00000000-0005-0000-0000-000097300000}"/>
    <cellStyle name="Normal 2 6 2 3 4" xfId="2483" xr:uid="{00000000-0005-0000-0000-000098300000}"/>
    <cellStyle name="Normal 2 6 2 3 4 2" xfId="9131" xr:uid="{00000000-0005-0000-0000-000099300000}"/>
    <cellStyle name="Normal 2 6 2 3 4_SSL" xfId="12831" xr:uid="{00000000-0005-0000-0000-00009A300000}"/>
    <cellStyle name="Normal 2 6 2 3 5" xfId="3302" xr:uid="{00000000-0005-0000-0000-00009B300000}"/>
    <cellStyle name="Normal 2 6 2 3 5 2" xfId="9947" xr:uid="{00000000-0005-0000-0000-00009C300000}"/>
    <cellStyle name="Normal 2 6 2 3 5_SSL" xfId="12894" xr:uid="{00000000-0005-0000-0000-00009D300000}"/>
    <cellStyle name="Normal 2 6 2 3 6" xfId="4123" xr:uid="{00000000-0005-0000-0000-00009E300000}"/>
    <cellStyle name="Normal 2 6 2 3 6 2" xfId="10763" xr:uid="{00000000-0005-0000-0000-00009F300000}"/>
    <cellStyle name="Normal 2 6 2 3 6_SSL" xfId="17495" xr:uid="{00000000-0005-0000-0000-0000A0300000}"/>
    <cellStyle name="Normal 2 6 2 3 7" xfId="4934" xr:uid="{00000000-0005-0000-0000-0000A1300000}"/>
    <cellStyle name="Normal 2 6 2 3 7 2" xfId="11573" xr:uid="{00000000-0005-0000-0000-0000A2300000}"/>
    <cellStyle name="Normal 2 6 2 3 7_SSL" xfId="15092" xr:uid="{00000000-0005-0000-0000-0000A3300000}"/>
    <cellStyle name="Normal 2 6 2 3 8" xfId="5744" xr:uid="{00000000-0005-0000-0000-0000A4300000}"/>
    <cellStyle name="Normal 2 6 2 3 8 2" xfId="12382" xr:uid="{00000000-0005-0000-0000-0000A5300000}"/>
    <cellStyle name="Normal 2 6 2 3 8_SSL" xfId="13915" xr:uid="{00000000-0005-0000-0000-0000A6300000}"/>
    <cellStyle name="Normal 2 6 2 3 9" xfId="7260" xr:uid="{00000000-0005-0000-0000-0000A7300000}"/>
    <cellStyle name="Normal 2 6 2 3_SSL" xfId="13196" xr:uid="{00000000-0005-0000-0000-0000A8300000}"/>
    <cellStyle name="Normal 2 6 2 4" xfId="498" xr:uid="{00000000-0005-0000-0000-0000A9300000}"/>
    <cellStyle name="Normal 2 6 2 4 2" xfId="1665" xr:uid="{00000000-0005-0000-0000-0000AA300000}"/>
    <cellStyle name="Normal 2 6 2 4 2 2" xfId="8320" xr:uid="{00000000-0005-0000-0000-0000AB300000}"/>
    <cellStyle name="Normal 2 6 2 4 2_SSL" xfId="16776" xr:uid="{00000000-0005-0000-0000-0000AC300000}"/>
    <cellStyle name="Normal 2 6 2 4 3" xfId="2485" xr:uid="{00000000-0005-0000-0000-0000AD300000}"/>
    <cellStyle name="Normal 2 6 2 4 3 2" xfId="9133" xr:uid="{00000000-0005-0000-0000-0000AE300000}"/>
    <cellStyle name="Normal 2 6 2 4 3_SSL" xfId="15364" xr:uid="{00000000-0005-0000-0000-0000AF300000}"/>
    <cellStyle name="Normal 2 6 2 4 4" xfId="3304" xr:uid="{00000000-0005-0000-0000-0000B0300000}"/>
    <cellStyle name="Normal 2 6 2 4 4 2" xfId="9949" xr:uid="{00000000-0005-0000-0000-0000B1300000}"/>
    <cellStyle name="Normal 2 6 2 4 4_SSL" xfId="15542" xr:uid="{00000000-0005-0000-0000-0000B2300000}"/>
    <cellStyle name="Normal 2 6 2 4 5" xfId="4125" xr:uid="{00000000-0005-0000-0000-0000B3300000}"/>
    <cellStyle name="Normal 2 6 2 4 5 2" xfId="10765" xr:uid="{00000000-0005-0000-0000-0000B4300000}"/>
    <cellStyle name="Normal 2 6 2 4 5_SSL" xfId="13652" xr:uid="{00000000-0005-0000-0000-0000B5300000}"/>
    <cellStyle name="Normal 2 6 2 4 6" xfId="4936" xr:uid="{00000000-0005-0000-0000-0000B6300000}"/>
    <cellStyle name="Normal 2 6 2 4 6 2" xfId="11575" xr:uid="{00000000-0005-0000-0000-0000B7300000}"/>
    <cellStyle name="Normal 2 6 2 4 6_SSL" xfId="17605" xr:uid="{00000000-0005-0000-0000-0000B8300000}"/>
    <cellStyle name="Normal 2 6 2 4 7" xfId="5746" xr:uid="{00000000-0005-0000-0000-0000B9300000}"/>
    <cellStyle name="Normal 2 6 2 4 7 2" xfId="12384" xr:uid="{00000000-0005-0000-0000-0000BA300000}"/>
    <cellStyle name="Normal 2 6 2 4 7_SSL" xfId="15876" xr:uid="{00000000-0005-0000-0000-0000BB300000}"/>
    <cellStyle name="Normal 2 6 2 4 8" xfId="7354" xr:uid="{00000000-0005-0000-0000-0000BC300000}"/>
    <cellStyle name="Normal 2 6 2 4 9" xfId="6663" xr:uid="{00000000-0005-0000-0000-0000BD300000}"/>
    <cellStyle name="Normal 2 6 2 4_SSL" xfId="6051" xr:uid="{00000000-0005-0000-0000-0000BE300000}"/>
    <cellStyle name="Normal 2 6 2 5" xfId="1658" xr:uid="{00000000-0005-0000-0000-0000BF300000}"/>
    <cellStyle name="Normal 2 6 2 5 2" xfId="8313" xr:uid="{00000000-0005-0000-0000-0000C0300000}"/>
    <cellStyle name="Normal 2 6 2 5_SSL" xfId="15333" xr:uid="{00000000-0005-0000-0000-0000C1300000}"/>
    <cellStyle name="Normal 2 6 2 6" xfId="2478" xr:uid="{00000000-0005-0000-0000-0000C2300000}"/>
    <cellStyle name="Normal 2 6 2 6 2" xfId="9126" xr:uid="{00000000-0005-0000-0000-0000C3300000}"/>
    <cellStyle name="Normal 2 6 2 6_SSL" xfId="16729" xr:uid="{00000000-0005-0000-0000-0000C4300000}"/>
    <cellStyle name="Normal 2 6 2 7" xfId="3297" xr:uid="{00000000-0005-0000-0000-0000C5300000}"/>
    <cellStyle name="Normal 2 6 2 7 2" xfId="9942" xr:uid="{00000000-0005-0000-0000-0000C6300000}"/>
    <cellStyle name="Normal 2 6 2 7_SSL" xfId="13330" xr:uid="{00000000-0005-0000-0000-0000C7300000}"/>
    <cellStyle name="Normal 2 6 2 8" xfId="4118" xr:uid="{00000000-0005-0000-0000-0000C8300000}"/>
    <cellStyle name="Normal 2 6 2 8 2" xfId="10758" xr:uid="{00000000-0005-0000-0000-0000C9300000}"/>
    <cellStyle name="Normal 2 6 2 8_SSL" xfId="15139" xr:uid="{00000000-0005-0000-0000-0000CA300000}"/>
    <cellStyle name="Normal 2 6 2 9" xfId="4929" xr:uid="{00000000-0005-0000-0000-0000CB300000}"/>
    <cellStyle name="Normal 2 6 2 9 2" xfId="11568" xr:uid="{00000000-0005-0000-0000-0000CC300000}"/>
    <cellStyle name="Normal 2 6 2 9_SSL" xfId="14957" xr:uid="{00000000-0005-0000-0000-0000CD300000}"/>
    <cellStyle name="Normal 2 6 2_SSL" xfId="13674" xr:uid="{00000000-0005-0000-0000-0000CE300000}"/>
    <cellStyle name="Normal 2 6 3" xfId="116" xr:uid="{00000000-0005-0000-0000-0000CF300000}"/>
    <cellStyle name="Normal 2 6 3 10" xfId="5747" xr:uid="{00000000-0005-0000-0000-0000D0300000}"/>
    <cellStyle name="Normal 2 6 3 10 2" xfId="12385" xr:uid="{00000000-0005-0000-0000-0000D1300000}"/>
    <cellStyle name="Normal 2 6 3 10_SSL" xfId="14582" xr:uid="{00000000-0005-0000-0000-0000D2300000}"/>
    <cellStyle name="Normal 2 6 3 11" xfId="6993" xr:uid="{00000000-0005-0000-0000-0000D3300000}"/>
    <cellStyle name="Normal 2 6 3 12" xfId="6664" xr:uid="{00000000-0005-0000-0000-0000D4300000}"/>
    <cellStyle name="Normal 2 6 3 2" xfId="212" xr:uid="{00000000-0005-0000-0000-0000D5300000}"/>
    <cellStyle name="Normal 2 6 3 2 10" xfId="7089" xr:uid="{00000000-0005-0000-0000-0000D6300000}"/>
    <cellStyle name="Normal 2 6 3 2 11" xfId="6665" xr:uid="{00000000-0005-0000-0000-0000D7300000}"/>
    <cellStyle name="Normal 2 6 3 2 2" xfId="403" xr:uid="{00000000-0005-0000-0000-0000D8300000}"/>
    <cellStyle name="Normal 2 6 3 2 2 10" xfId="6666" xr:uid="{00000000-0005-0000-0000-0000D9300000}"/>
    <cellStyle name="Normal 2 6 3 2 2 2" xfId="791" xr:uid="{00000000-0005-0000-0000-0000DA300000}"/>
    <cellStyle name="Normal 2 6 3 2 2 2 2" xfId="1669" xr:uid="{00000000-0005-0000-0000-0000DB300000}"/>
    <cellStyle name="Normal 2 6 3 2 2 2 2 2" xfId="8324" xr:uid="{00000000-0005-0000-0000-0000DC300000}"/>
    <cellStyle name="Normal 2 6 3 2 2 2 2_SSL" xfId="14176" xr:uid="{00000000-0005-0000-0000-0000DD300000}"/>
    <cellStyle name="Normal 2 6 3 2 2 2 3" xfId="2489" xr:uid="{00000000-0005-0000-0000-0000DE300000}"/>
    <cellStyle name="Normal 2 6 3 2 2 2 3 2" xfId="9137" xr:uid="{00000000-0005-0000-0000-0000DF300000}"/>
    <cellStyle name="Normal 2 6 3 2 2 2 3_SSL" xfId="17094" xr:uid="{00000000-0005-0000-0000-0000E0300000}"/>
    <cellStyle name="Normal 2 6 3 2 2 2 4" xfId="3308" xr:uid="{00000000-0005-0000-0000-0000E1300000}"/>
    <cellStyle name="Normal 2 6 3 2 2 2 4 2" xfId="9953" xr:uid="{00000000-0005-0000-0000-0000E2300000}"/>
    <cellStyle name="Normal 2 6 3 2 2 2 4_SSL" xfId="15082" xr:uid="{00000000-0005-0000-0000-0000E3300000}"/>
    <cellStyle name="Normal 2 6 3 2 2 2 5" xfId="4129" xr:uid="{00000000-0005-0000-0000-0000E4300000}"/>
    <cellStyle name="Normal 2 6 3 2 2 2 5 2" xfId="10769" xr:uid="{00000000-0005-0000-0000-0000E5300000}"/>
    <cellStyle name="Normal 2 6 3 2 2 2 5_SSL" xfId="13715" xr:uid="{00000000-0005-0000-0000-0000E6300000}"/>
    <cellStyle name="Normal 2 6 3 2 2 2 6" xfId="4940" xr:uid="{00000000-0005-0000-0000-0000E7300000}"/>
    <cellStyle name="Normal 2 6 3 2 2 2 6 2" xfId="11579" xr:uid="{00000000-0005-0000-0000-0000E8300000}"/>
    <cellStyle name="Normal 2 6 3 2 2 2 6_SSL" xfId="14995" xr:uid="{00000000-0005-0000-0000-0000E9300000}"/>
    <cellStyle name="Normal 2 6 3 2 2 2 7" xfId="5750" xr:uid="{00000000-0005-0000-0000-0000EA300000}"/>
    <cellStyle name="Normal 2 6 3 2 2 2 7 2" xfId="12388" xr:uid="{00000000-0005-0000-0000-0000EB300000}"/>
    <cellStyle name="Normal 2 6 3 2 2 2 7_SSL" xfId="13551" xr:uid="{00000000-0005-0000-0000-0000EC300000}"/>
    <cellStyle name="Normal 2 6 3 2 2 2 8" xfId="7647" xr:uid="{00000000-0005-0000-0000-0000ED300000}"/>
    <cellStyle name="Normal 2 6 3 2 2 2 9" xfId="6667" xr:uid="{00000000-0005-0000-0000-0000EE300000}"/>
    <cellStyle name="Normal 2 6 3 2 2 2_SSL" xfId="14321" xr:uid="{00000000-0005-0000-0000-0000EF300000}"/>
    <cellStyle name="Normal 2 6 3 2 2 3" xfId="1668" xr:uid="{00000000-0005-0000-0000-0000F0300000}"/>
    <cellStyle name="Normal 2 6 3 2 2 3 2" xfId="8323" xr:uid="{00000000-0005-0000-0000-0000F1300000}"/>
    <cellStyle name="Normal 2 6 3 2 2 3_SSL" xfId="17557" xr:uid="{00000000-0005-0000-0000-0000F2300000}"/>
    <cellStyle name="Normal 2 6 3 2 2 4" xfId="2488" xr:uid="{00000000-0005-0000-0000-0000F3300000}"/>
    <cellStyle name="Normal 2 6 3 2 2 4 2" xfId="9136" xr:uid="{00000000-0005-0000-0000-0000F4300000}"/>
    <cellStyle name="Normal 2 6 3 2 2 4_SSL" xfId="16877" xr:uid="{00000000-0005-0000-0000-0000F5300000}"/>
    <cellStyle name="Normal 2 6 3 2 2 5" xfId="3307" xr:uid="{00000000-0005-0000-0000-0000F6300000}"/>
    <cellStyle name="Normal 2 6 3 2 2 5 2" xfId="9952" xr:uid="{00000000-0005-0000-0000-0000F7300000}"/>
    <cellStyle name="Normal 2 6 3 2 2 5_SSL" xfId="15941" xr:uid="{00000000-0005-0000-0000-0000F8300000}"/>
    <cellStyle name="Normal 2 6 3 2 2 6" xfId="4128" xr:uid="{00000000-0005-0000-0000-0000F9300000}"/>
    <cellStyle name="Normal 2 6 3 2 2 6 2" xfId="10768" xr:uid="{00000000-0005-0000-0000-0000FA300000}"/>
    <cellStyle name="Normal 2 6 3 2 2 6_SSL" xfId="12742" xr:uid="{00000000-0005-0000-0000-0000FB300000}"/>
    <cellStyle name="Normal 2 6 3 2 2 7" xfId="4939" xr:uid="{00000000-0005-0000-0000-0000FC300000}"/>
    <cellStyle name="Normal 2 6 3 2 2 7 2" xfId="11578" xr:uid="{00000000-0005-0000-0000-0000FD300000}"/>
    <cellStyle name="Normal 2 6 3 2 2 7_SSL" xfId="6014" xr:uid="{00000000-0005-0000-0000-0000FE300000}"/>
    <cellStyle name="Normal 2 6 3 2 2 8" xfId="5749" xr:uid="{00000000-0005-0000-0000-0000FF300000}"/>
    <cellStyle name="Normal 2 6 3 2 2 8 2" xfId="12387" xr:uid="{00000000-0005-0000-0000-000000310000}"/>
    <cellStyle name="Normal 2 6 3 2 2 8_SSL" xfId="17499" xr:uid="{00000000-0005-0000-0000-000001310000}"/>
    <cellStyle name="Normal 2 6 3 2 2 9" xfId="7263" xr:uid="{00000000-0005-0000-0000-000002310000}"/>
    <cellStyle name="Normal 2 6 3 2 2_SSL" xfId="16480" xr:uid="{00000000-0005-0000-0000-000003310000}"/>
    <cellStyle name="Normal 2 6 3 2 3" xfId="617" xr:uid="{00000000-0005-0000-0000-000004310000}"/>
    <cellStyle name="Normal 2 6 3 2 3 2" xfId="1670" xr:uid="{00000000-0005-0000-0000-000005310000}"/>
    <cellStyle name="Normal 2 6 3 2 3 2 2" xfId="8325" xr:uid="{00000000-0005-0000-0000-000006310000}"/>
    <cellStyle name="Normal 2 6 3 2 3 2_SSL" xfId="15861" xr:uid="{00000000-0005-0000-0000-000007310000}"/>
    <cellStyle name="Normal 2 6 3 2 3 3" xfId="2490" xr:uid="{00000000-0005-0000-0000-000008310000}"/>
    <cellStyle name="Normal 2 6 3 2 3 3 2" xfId="9138" xr:uid="{00000000-0005-0000-0000-000009310000}"/>
    <cellStyle name="Normal 2 6 3 2 3 3_SSL" xfId="13014" xr:uid="{00000000-0005-0000-0000-00000A310000}"/>
    <cellStyle name="Normal 2 6 3 2 3 4" xfId="3309" xr:uid="{00000000-0005-0000-0000-00000B310000}"/>
    <cellStyle name="Normal 2 6 3 2 3 4 2" xfId="9954" xr:uid="{00000000-0005-0000-0000-00000C310000}"/>
    <cellStyle name="Normal 2 6 3 2 3 4_SSL" xfId="15696" xr:uid="{00000000-0005-0000-0000-00000D310000}"/>
    <cellStyle name="Normal 2 6 3 2 3 5" xfId="4130" xr:uid="{00000000-0005-0000-0000-00000E310000}"/>
    <cellStyle name="Normal 2 6 3 2 3 5 2" xfId="10770" xr:uid="{00000000-0005-0000-0000-00000F310000}"/>
    <cellStyle name="Normal 2 6 3 2 3 5_SSL" xfId="12926" xr:uid="{00000000-0005-0000-0000-000010310000}"/>
    <cellStyle name="Normal 2 6 3 2 3 6" xfId="4941" xr:uid="{00000000-0005-0000-0000-000011310000}"/>
    <cellStyle name="Normal 2 6 3 2 3 6 2" xfId="11580" xr:uid="{00000000-0005-0000-0000-000012310000}"/>
    <cellStyle name="Normal 2 6 3 2 3 6_SSL" xfId="16959" xr:uid="{00000000-0005-0000-0000-000013310000}"/>
    <cellStyle name="Normal 2 6 3 2 3 7" xfId="5751" xr:uid="{00000000-0005-0000-0000-000014310000}"/>
    <cellStyle name="Normal 2 6 3 2 3 7 2" xfId="12389" xr:uid="{00000000-0005-0000-0000-000015310000}"/>
    <cellStyle name="Normal 2 6 3 2 3 7_SSL" xfId="12695" xr:uid="{00000000-0005-0000-0000-000016310000}"/>
    <cellStyle name="Normal 2 6 3 2 3 8" xfId="7473" xr:uid="{00000000-0005-0000-0000-000017310000}"/>
    <cellStyle name="Normal 2 6 3 2 3 9" xfId="6668" xr:uid="{00000000-0005-0000-0000-000018310000}"/>
    <cellStyle name="Normal 2 6 3 2 3_SSL" xfId="14864" xr:uid="{00000000-0005-0000-0000-000019310000}"/>
    <cellStyle name="Normal 2 6 3 2 4" xfId="1667" xr:uid="{00000000-0005-0000-0000-00001A310000}"/>
    <cellStyle name="Normal 2 6 3 2 4 2" xfId="8322" xr:uid="{00000000-0005-0000-0000-00001B310000}"/>
    <cellStyle name="Normal 2 6 3 2 4_SSL" xfId="12920" xr:uid="{00000000-0005-0000-0000-00001C310000}"/>
    <cellStyle name="Normal 2 6 3 2 5" xfId="2487" xr:uid="{00000000-0005-0000-0000-00001D310000}"/>
    <cellStyle name="Normal 2 6 3 2 5 2" xfId="9135" xr:uid="{00000000-0005-0000-0000-00001E310000}"/>
    <cellStyle name="Normal 2 6 3 2 5_SSL" xfId="16652" xr:uid="{00000000-0005-0000-0000-00001F310000}"/>
    <cellStyle name="Normal 2 6 3 2 6" xfId="3306" xr:uid="{00000000-0005-0000-0000-000020310000}"/>
    <cellStyle name="Normal 2 6 3 2 6 2" xfId="9951" xr:uid="{00000000-0005-0000-0000-000021310000}"/>
    <cellStyle name="Normal 2 6 3 2 6_SSL" xfId="14692" xr:uid="{00000000-0005-0000-0000-000022310000}"/>
    <cellStyle name="Normal 2 6 3 2 7" xfId="4127" xr:uid="{00000000-0005-0000-0000-000023310000}"/>
    <cellStyle name="Normal 2 6 3 2 7 2" xfId="10767" xr:uid="{00000000-0005-0000-0000-000024310000}"/>
    <cellStyle name="Normal 2 6 3 2 7_SSL" xfId="14947" xr:uid="{00000000-0005-0000-0000-000025310000}"/>
    <cellStyle name="Normal 2 6 3 2 8" xfId="4938" xr:uid="{00000000-0005-0000-0000-000026310000}"/>
    <cellStyle name="Normal 2 6 3 2 8 2" xfId="11577" xr:uid="{00000000-0005-0000-0000-000027310000}"/>
    <cellStyle name="Normal 2 6 3 2 8_SSL" xfId="13410" xr:uid="{00000000-0005-0000-0000-000028310000}"/>
    <cellStyle name="Normal 2 6 3 2 9" xfId="5748" xr:uid="{00000000-0005-0000-0000-000029310000}"/>
    <cellStyle name="Normal 2 6 3 2 9 2" xfId="12386" xr:uid="{00000000-0005-0000-0000-00002A310000}"/>
    <cellStyle name="Normal 2 6 3 2 9_SSL" xfId="15317" xr:uid="{00000000-0005-0000-0000-00002B310000}"/>
    <cellStyle name="Normal 2 6 3 2_SSL" xfId="13675" xr:uid="{00000000-0005-0000-0000-00002C310000}"/>
    <cellStyle name="Normal 2 6 3 3" xfId="402" xr:uid="{00000000-0005-0000-0000-00002D310000}"/>
    <cellStyle name="Normal 2 6 3 3 10" xfId="6669" xr:uid="{00000000-0005-0000-0000-00002E310000}"/>
    <cellStyle name="Normal 2 6 3 3 2" xfId="790" xr:uid="{00000000-0005-0000-0000-00002F310000}"/>
    <cellStyle name="Normal 2 6 3 3 2 2" xfId="1672" xr:uid="{00000000-0005-0000-0000-000030310000}"/>
    <cellStyle name="Normal 2 6 3 3 2 2 2" xfId="8327" xr:uid="{00000000-0005-0000-0000-000031310000}"/>
    <cellStyle name="Normal 2 6 3 3 2 2_SSL" xfId="16845" xr:uid="{00000000-0005-0000-0000-000032310000}"/>
    <cellStyle name="Normal 2 6 3 3 2 3" xfId="2492" xr:uid="{00000000-0005-0000-0000-000033310000}"/>
    <cellStyle name="Normal 2 6 3 3 2 3 2" xfId="9140" xr:uid="{00000000-0005-0000-0000-000034310000}"/>
    <cellStyle name="Normal 2 6 3 3 2 3_SSL" xfId="17502" xr:uid="{00000000-0005-0000-0000-000035310000}"/>
    <cellStyle name="Normal 2 6 3 3 2 4" xfId="3311" xr:uid="{00000000-0005-0000-0000-000036310000}"/>
    <cellStyle name="Normal 2 6 3 3 2 4 2" xfId="9956" xr:uid="{00000000-0005-0000-0000-000037310000}"/>
    <cellStyle name="Normal 2 6 3 3 2 4_SSL" xfId="17692" xr:uid="{00000000-0005-0000-0000-000038310000}"/>
    <cellStyle name="Normal 2 6 3 3 2 5" xfId="4132" xr:uid="{00000000-0005-0000-0000-000039310000}"/>
    <cellStyle name="Normal 2 6 3 3 2 5 2" xfId="10772" xr:uid="{00000000-0005-0000-0000-00003A310000}"/>
    <cellStyle name="Normal 2 6 3 3 2 5_SSL" xfId="16458" xr:uid="{00000000-0005-0000-0000-00003B310000}"/>
    <cellStyle name="Normal 2 6 3 3 2 6" xfId="4943" xr:uid="{00000000-0005-0000-0000-00003C310000}"/>
    <cellStyle name="Normal 2 6 3 3 2 6 2" xfId="11582" xr:uid="{00000000-0005-0000-0000-00003D310000}"/>
    <cellStyle name="Normal 2 6 3 3 2 6_SSL" xfId="13964" xr:uid="{00000000-0005-0000-0000-00003E310000}"/>
    <cellStyle name="Normal 2 6 3 3 2 7" xfId="5753" xr:uid="{00000000-0005-0000-0000-00003F310000}"/>
    <cellStyle name="Normal 2 6 3 3 2 7 2" xfId="12391" xr:uid="{00000000-0005-0000-0000-000040310000}"/>
    <cellStyle name="Normal 2 6 3 3 2 7_SSL" xfId="14503" xr:uid="{00000000-0005-0000-0000-000041310000}"/>
    <cellStyle name="Normal 2 6 3 3 2 8" xfId="7646" xr:uid="{00000000-0005-0000-0000-000042310000}"/>
    <cellStyle name="Normal 2 6 3 3 2 9" xfId="6670" xr:uid="{00000000-0005-0000-0000-000043310000}"/>
    <cellStyle name="Normal 2 6 3 3 2_SSL" xfId="13269" xr:uid="{00000000-0005-0000-0000-000044310000}"/>
    <cellStyle name="Normal 2 6 3 3 3" xfId="1671" xr:uid="{00000000-0005-0000-0000-000045310000}"/>
    <cellStyle name="Normal 2 6 3 3 3 2" xfId="8326" xr:uid="{00000000-0005-0000-0000-000046310000}"/>
    <cellStyle name="Normal 2 6 3 3 3_SSL" xfId="16296" xr:uid="{00000000-0005-0000-0000-000047310000}"/>
    <cellStyle name="Normal 2 6 3 3 4" xfId="2491" xr:uid="{00000000-0005-0000-0000-000048310000}"/>
    <cellStyle name="Normal 2 6 3 3 4 2" xfId="9139" xr:uid="{00000000-0005-0000-0000-000049310000}"/>
    <cellStyle name="Normal 2 6 3 3 4_SSL" xfId="15708" xr:uid="{00000000-0005-0000-0000-00004A310000}"/>
    <cellStyle name="Normal 2 6 3 3 5" xfId="3310" xr:uid="{00000000-0005-0000-0000-00004B310000}"/>
    <cellStyle name="Normal 2 6 3 3 5 2" xfId="9955" xr:uid="{00000000-0005-0000-0000-00004C310000}"/>
    <cellStyle name="Normal 2 6 3 3 5_SSL" xfId="15811" xr:uid="{00000000-0005-0000-0000-00004D310000}"/>
    <cellStyle name="Normal 2 6 3 3 6" xfId="4131" xr:uid="{00000000-0005-0000-0000-00004E310000}"/>
    <cellStyle name="Normal 2 6 3 3 6 2" xfId="10771" xr:uid="{00000000-0005-0000-0000-00004F310000}"/>
    <cellStyle name="Normal 2 6 3 3 6_SSL" xfId="15408" xr:uid="{00000000-0005-0000-0000-000050310000}"/>
    <cellStyle name="Normal 2 6 3 3 7" xfId="4942" xr:uid="{00000000-0005-0000-0000-000051310000}"/>
    <cellStyle name="Normal 2 6 3 3 7 2" xfId="11581" xr:uid="{00000000-0005-0000-0000-000052310000}"/>
    <cellStyle name="Normal 2 6 3 3 7_SSL" xfId="15756" xr:uid="{00000000-0005-0000-0000-000053310000}"/>
    <cellStyle name="Normal 2 6 3 3 8" xfId="5752" xr:uid="{00000000-0005-0000-0000-000054310000}"/>
    <cellStyle name="Normal 2 6 3 3 8 2" xfId="12390" xr:uid="{00000000-0005-0000-0000-000055310000}"/>
    <cellStyle name="Normal 2 6 3 3 8_SSL" xfId="17159" xr:uid="{00000000-0005-0000-0000-000056310000}"/>
    <cellStyle name="Normal 2 6 3 3 9" xfId="7262" xr:uid="{00000000-0005-0000-0000-000057310000}"/>
    <cellStyle name="Normal 2 6 3 3_SSL" xfId="14938" xr:uid="{00000000-0005-0000-0000-000058310000}"/>
    <cellStyle name="Normal 2 6 3 4" xfId="521" xr:uid="{00000000-0005-0000-0000-000059310000}"/>
    <cellStyle name="Normal 2 6 3 4 2" xfId="1673" xr:uid="{00000000-0005-0000-0000-00005A310000}"/>
    <cellStyle name="Normal 2 6 3 4 2 2" xfId="8328" xr:uid="{00000000-0005-0000-0000-00005B310000}"/>
    <cellStyle name="Normal 2 6 3 4 2_SSL" xfId="15654" xr:uid="{00000000-0005-0000-0000-00005C310000}"/>
    <cellStyle name="Normal 2 6 3 4 3" xfId="2493" xr:uid="{00000000-0005-0000-0000-00005D310000}"/>
    <cellStyle name="Normal 2 6 3 4 3 2" xfId="9141" xr:uid="{00000000-0005-0000-0000-00005E310000}"/>
    <cellStyle name="Normal 2 6 3 4 3_SSL" xfId="6042" xr:uid="{00000000-0005-0000-0000-00005F310000}"/>
    <cellStyle name="Normal 2 6 3 4 4" xfId="3312" xr:uid="{00000000-0005-0000-0000-000060310000}"/>
    <cellStyle name="Normal 2 6 3 4 4 2" xfId="9957" xr:uid="{00000000-0005-0000-0000-000061310000}"/>
    <cellStyle name="Normal 2 6 3 4 4_SSL" xfId="16032" xr:uid="{00000000-0005-0000-0000-000062310000}"/>
    <cellStyle name="Normal 2 6 3 4 5" xfId="4133" xr:uid="{00000000-0005-0000-0000-000063310000}"/>
    <cellStyle name="Normal 2 6 3 4 5 2" xfId="10773" xr:uid="{00000000-0005-0000-0000-000064310000}"/>
    <cellStyle name="Normal 2 6 3 4 5_SSL" xfId="13002" xr:uid="{00000000-0005-0000-0000-000065310000}"/>
    <cellStyle name="Normal 2 6 3 4 6" xfId="4944" xr:uid="{00000000-0005-0000-0000-000066310000}"/>
    <cellStyle name="Normal 2 6 3 4 6 2" xfId="11583" xr:uid="{00000000-0005-0000-0000-000067310000}"/>
    <cellStyle name="Normal 2 6 3 4 6_SSL" xfId="17103" xr:uid="{00000000-0005-0000-0000-000068310000}"/>
    <cellStyle name="Normal 2 6 3 4 7" xfId="5754" xr:uid="{00000000-0005-0000-0000-000069310000}"/>
    <cellStyle name="Normal 2 6 3 4 7 2" xfId="12392" xr:uid="{00000000-0005-0000-0000-00006A310000}"/>
    <cellStyle name="Normal 2 6 3 4 7_SSL" xfId="17020" xr:uid="{00000000-0005-0000-0000-00006B310000}"/>
    <cellStyle name="Normal 2 6 3 4 8" xfId="7377" xr:uid="{00000000-0005-0000-0000-00006C310000}"/>
    <cellStyle name="Normal 2 6 3 4 9" xfId="6671" xr:uid="{00000000-0005-0000-0000-00006D310000}"/>
    <cellStyle name="Normal 2 6 3 4_SSL" xfId="13547" xr:uid="{00000000-0005-0000-0000-00006E310000}"/>
    <cellStyle name="Normal 2 6 3 5" xfId="1666" xr:uid="{00000000-0005-0000-0000-00006F310000}"/>
    <cellStyle name="Normal 2 6 3 5 2" xfId="8321" xr:uid="{00000000-0005-0000-0000-000070310000}"/>
    <cellStyle name="Normal 2 6 3 5_SSL" xfId="16376" xr:uid="{00000000-0005-0000-0000-000071310000}"/>
    <cellStyle name="Normal 2 6 3 6" xfId="2486" xr:uid="{00000000-0005-0000-0000-000072310000}"/>
    <cellStyle name="Normal 2 6 3 6 2" xfId="9134" xr:uid="{00000000-0005-0000-0000-000073310000}"/>
    <cellStyle name="Normal 2 6 3 6_SSL" xfId="16282" xr:uid="{00000000-0005-0000-0000-000074310000}"/>
    <cellStyle name="Normal 2 6 3 7" xfId="3305" xr:uid="{00000000-0005-0000-0000-000075310000}"/>
    <cellStyle name="Normal 2 6 3 7 2" xfId="9950" xr:uid="{00000000-0005-0000-0000-000076310000}"/>
    <cellStyle name="Normal 2 6 3 7_SSL" xfId="16244" xr:uid="{00000000-0005-0000-0000-000077310000}"/>
    <cellStyle name="Normal 2 6 3 8" xfId="4126" xr:uid="{00000000-0005-0000-0000-000078310000}"/>
    <cellStyle name="Normal 2 6 3 8 2" xfId="10766" xr:uid="{00000000-0005-0000-0000-000079310000}"/>
    <cellStyle name="Normal 2 6 3 8_SSL" xfId="12814" xr:uid="{00000000-0005-0000-0000-00007A310000}"/>
    <cellStyle name="Normal 2 6 3 9" xfId="4937" xr:uid="{00000000-0005-0000-0000-00007B310000}"/>
    <cellStyle name="Normal 2 6 3 9 2" xfId="11576" xr:uid="{00000000-0005-0000-0000-00007C310000}"/>
    <cellStyle name="Normal 2 6 3 9_SSL" xfId="15488" xr:uid="{00000000-0005-0000-0000-00007D310000}"/>
    <cellStyle name="Normal 2 6 3_SSL" xfId="13406" xr:uid="{00000000-0005-0000-0000-00007E310000}"/>
    <cellStyle name="Normal 2 6 4" xfId="141" xr:uid="{00000000-0005-0000-0000-00007F310000}"/>
    <cellStyle name="Normal 2 6 4 10" xfId="7018" xr:uid="{00000000-0005-0000-0000-000080310000}"/>
    <cellStyle name="Normal 2 6 4 11" xfId="6672" xr:uid="{00000000-0005-0000-0000-000081310000}"/>
    <cellStyle name="Normal 2 6 4 2" xfId="404" xr:uid="{00000000-0005-0000-0000-000082310000}"/>
    <cellStyle name="Normal 2 6 4 2 10" xfId="6673" xr:uid="{00000000-0005-0000-0000-000083310000}"/>
    <cellStyle name="Normal 2 6 4 2 2" xfId="792" xr:uid="{00000000-0005-0000-0000-000084310000}"/>
    <cellStyle name="Normal 2 6 4 2 2 2" xfId="1676" xr:uid="{00000000-0005-0000-0000-000085310000}"/>
    <cellStyle name="Normal 2 6 4 2 2 2 2" xfId="8331" xr:uid="{00000000-0005-0000-0000-000086310000}"/>
    <cellStyle name="Normal 2 6 4 2 2 2_SSL" xfId="17870" xr:uid="{00000000-0005-0000-0000-000087310000}"/>
    <cellStyle name="Normal 2 6 4 2 2 3" xfId="2496" xr:uid="{00000000-0005-0000-0000-000088310000}"/>
    <cellStyle name="Normal 2 6 4 2 2 3 2" xfId="9144" xr:uid="{00000000-0005-0000-0000-000089310000}"/>
    <cellStyle name="Normal 2 6 4 2 2 3_SSL" xfId="16066" xr:uid="{00000000-0005-0000-0000-00008A310000}"/>
    <cellStyle name="Normal 2 6 4 2 2 4" xfId="3315" xr:uid="{00000000-0005-0000-0000-00008B310000}"/>
    <cellStyle name="Normal 2 6 4 2 2 4 2" xfId="9960" xr:uid="{00000000-0005-0000-0000-00008C310000}"/>
    <cellStyle name="Normal 2 6 4 2 2 4_SSL" xfId="13961" xr:uid="{00000000-0005-0000-0000-00008D310000}"/>
    <cellStyle name="Normal 2 6 4 2 2 5" xfId="4136" xr:uid="{00000000-0005-0000-0000-00008E310000}"/>
    <cellStyle name="Normal 2 6 4 2 2 5 2" xfId="10776" xr:uid="{00000000-0005-0000-0000-00008F310000}"/>
    <cellStyle name="Normal 2 6 4 2 2 5_SSL" xfId="13179" xr:uid="{00000000-0005-0000-0000-000090310000}"/>
    <cellStyle name="Normal 2 6 4 2 2 6" xfId="4947" xr:uid="{00000000-0005-0000-0000-000091310000}"/>
    <cellStyle name="Normal 2 6 4 2 2 6 2" xfId="11586" xr:uid="{00000000-0005-0000-0000-000092310000}"/>
    <cellStyle name="Normal 2 6 4 2 2 6_SSL" xfId="15371" xr:uid="{00000000-0005-0000-0000-000093310000}"/>
    <cellStyle name="Normal 2 6 4 2 2 7" xfId="5757" xr:uid="{00000000-0005-0000-0000-000094310000}"/>
    <cellStyle name="Normal 2 6 4 2 2 7 2" xfId="12395" xr:uid="{00000000-0005-0000-0000-000095310000}"/>
    <cellStyle name="Normal 2 6 4 2 2 7_SSL" xfId="14740" xr:uid="{00000000-0005-0000-0000-000096310000}"/>
    <cellStyle name="Normal 2 6 4 2 2 8" xfId="7648" xr:uid="{00000000-0005-0000-0000-000097310000}"/>
    <cellStyle name="Normal 2 6 4 2 2 9" xfId="6674" xr:uid="{00000000-0005-0000-0000-000098310000}"/>
    <cellStyle name="Normal 2 6 4 2 2_SSL" xfId="14360" xr:uid="{00000000-0005-0000-0000-000099310000}"/>
    <cellStyle name="Normal 2 6 4 2 3" xfId="1675" xr:uid="{00000000-0005-0000-0000-00009A310000}"/>
    <cellStyle name="Normal 2 6 4 2 3 2" xfId="8330" xr:uid="{00000000-0005-0000-0000-00009B310000}"/>
    <cellStyle name="Normal 2 6 4 2 3_SSL" xfId="15288" xr:uid="{00000000-0005-0000-0000-00009C310000}"/>
    <cellStyle name="Normal 2 6 4 2 4" xfId="2495" xr:uid="{00000000-0005-0000-0000-00009D310000}"/>
    <cellStyle name="Normal 2 6 4 2 4 2" xfId="9143" xr:uid="{00000000-0005-0000-0000-00009E310000}"/>
    <cellStyle name="Normal 2 6 4 2 4_SSL" xfId="18000" xr:uid="{00000000-0005-0000-0000-00009F310000}"/>
    <cellStyle name="Normal 2 6 4 2 5" xfId="3314" xr:uid="{00000000-0005-0000-0000-0000A0310000}"/>
    <cellStyle name="Normal 2 6 4 2 5 2" xfId="9959" xr:uid="{00000000-0005-0000-0000-0000A1310000}"/>
    <cellStyle name="Normal 2 6 4 2 5_SSL" xfId="14402" xr:uid="{00000000-0005-0000-0000-0000A2310000}"/>
    <cellStyle name="Normal 2 6 4 2 6" xfId="4135" xr:uid="{00000000-0005-0000-0000-0000A3310000}"/>
    <cellStyle name="Normal 2 6 4 2 6 2" xfId="10775" xr:uid="{00000000-0005-0000-0000-0000A4310000}"/>
    <cellStyle name="Normal 2 6 4 2 6_SSL" xfId="15940" xr:uid="{00000000-0005-0000-0000-0000A5310000}"/>
    <cellStyle name="Normal 2 6 4 2 7" xfId="4946" xr:uid="{00000000-0005-0000-0000-0000A6310000}"/>
    <cellStyle name="Normal 2 6 4 2 7 2" xfId="11585" xr:uid="{00000000-0005-0000-0000-0000A7310000}"/>
    <cellStyle name="Normal 2 6 4 2 7_SSL" xfId="16209" xr:uid="{00000000-0005-0000-0000-0000A8310000}"/>
    <cellStyle name="Normal 2 6 4 2 8" xfId="5756" xr:uid="{00000000-0005-0000-0000-0000A9310000}"/>
    <cellStyle name="Normal 2 6 4 2 8 2" xfId="12394" xr:uid="{00000000-0005-0000-0000-0000AA310000}"/>
    <cellStyle name="Normal 2 6 4 2 8_SSL" xfId="17768" xr:uid="{00000000-0005-0000-0000-0000AB310000}"/>
    <cellStyle name="Normal 2 6 4 2 9" xfId="7264" xr:uid="{00000000-0005-0000-0000-0000AC310000}"/>
    <cellStyle name="Normal 2 6 4 2_SSL" xfId="15068" xr:uid="{00000000-0005-0000-0000-0000AD310000}"/>
    <cellStyle name="Normal 2 6 4 3" xfId="546" xr:uid="{00000000-0005-0000-0000-0000AE310000}"/>
    <cellStyle name="Normal 2 6 4 3 2" xfId="1677" xr:uid="{00000000-0005-0000-0000-0000AF310000}"/>
    <cellStyle name="Normal 2 6 4 3 2 2" xfId="8332" xr:uid="{00000000-0005-0000-0000-0000B0310000}"/>
    <cellStyle name="Normal 2 6 4 3 2_SSL" xfId="13343" xr:uid="{00000000-0005-0000-0000-0000B1310000}"/>
    <cellStyle name="Normal 2 6 4 3 3" xfId="2497" xr:uid="{00000000-0005-0000-0000-0000B2310000}"/>
    <cellStyle name="Normal 2 6 4 3 3 2" xfId="9145" xr:uid="{00000000-0005-0000-0000-0000B3310000}"/>
    <cellStyle name="Normal 2 6 4 3 3_SSL" xfId="14508" xr:uid="{00000000-0005-0000-0000-0000B4310000}"/>
    <cellStyle name="Normal 2 6 4 3 4" xfId="3316" xr:uid="{00000000-0005-0000-0000-0000B5310000}"/>
    <cellStyle name="Normal 2 6 4 3 4 2" xfId="9961" xr:uid="{00000000-0005-0000-0000-0000B6310000}"/>
    <cellStyle name="Normal 2 6 4 3 4_SSL" xfId="16535" xr:uid="{00000000-0005-0000-0000-0000B7310000}"/>
    <cellStyle name="Normal 2 6 4 3 5" xfId="4137" xr:uid="{00000000-0005-0000-0000-0000B8310000}"/>
    <cellStyle name="Normal 2 6 4 3 5 2" xfId="10777" xr:uid="{00000000-0005-0000-0000-0000B9310000}"/>
    <cellStyle name="Normal 2 6 4 3 5_SSL" xfId="15632" xr:uid="{00000000-0005-0000-0000-0000BA310000}"/>
    <cellStyle name="Normal 2 6 4 3 6" xfId="4948" xr:uid="{00000000-0005-0000-0000-0000BB310000}"/>
    <cellStyle name="Normal 2 6 4 3 6 2" xfId="11587" xr:uid="{00000000-0005-0000-0000-0000BC310000}"/>
    <cellStyle name="Normal 2 6 4 3 6_SSL" xfId="9378" xr:uid="{00000000-0005-0000-0000-0000BD310000}"/>
    <cellStyle name="Normal 2 6 4 3 7" xfId="5758" xr:uid="{00000000-0005-0000-0000-0000BE310000}"/>
    <cellStyle name="Normal 2 6 4 3 7 2" xfId="12396" xr:uid="{00000000-0005-0000-0000-0000BF310000}"/>
    <cellStyle name="Normal 2 6 4 3 7_SSL" xfId="17704" xr:uid="{00000000-0005-0000-0000-0000C0310000}"/>
    <cellStyle name="Normal 2 6 4 3 8" xfId="7402" xr:uid="{00000000-0005-0000-0000-0000C1310000}"/>
    <cellStyle name="Normal 2 6 4 3 9" xfId="6675" xr:uid="{00000000-0005-0000-0000-0000C2310000}"/>
    <cellStyle name="Normal 2 6 4 3_SSL" xfId="15267" xr:uid="{00000000-0005-0000-0000-0000C3310000}"/>
    <cellStyle name="Normal 2 6 4 4" xfId="1674" xr:uid="{00000000-0005-0000-0000-0000C4310000}"/>
    <cellStyle name="Normal 2 6 4 4 2" xfId="8329" xr:uid="{00000000-0005-0000-0000-0000C5310000}"/>
    <cellStyle name="Normal 2 6 4 4_SSL" xfId="17756" xr:uid="{00000000-0005-0000-0000-0000C6310000}"/>
    <cellStyle name="Normal 2 6 4 5" xfId="2494" xr:uid="{00000000-0005-0000-0000-0000C7310000}"/>
    <cellStyle name="Normal 2 6 4 5 2" xfId="9142" xr:uid="{00000000-0005-0000-0000-0000C8310000}"/>
    <cellStyle name="Normal 2 6 4 5_SSL" xfId="16952" xr:uid="{00000000-0005-0000-0000-0000C9310000}"/>
    <cellStyle name="Normal 2 6 4 6" xfId="3313" xr:uid="{00000000-0005-0000-0000-0000CA310000}"/>
    <cellStyle name="Normal 2 6 4 6 2" xfId="9958" xr:uid="{00000000-0005-0000-0000-0000CB310000}"/>
    <cellStyle name="Normal 2 6 4 6_SSL" xfId="14237" xr:uid="{00000000-0005-0000-0000-0000CC310000}"/>
    <cellStyle name="Normal 2 6 4 7" xfId="4134" xr:uid="{00000000-0005-0000-0000-0000CD310000}"/>
    <cellStyle name="Normal 2 6 4 7 2" xfId="10774" xr:uid="{00000000-0005-0000-0000-0000CE310000}"/>
    <cellStyle name="Normal 2 6 4 7_SSL" xfId="13519" xr:uid="{00000000-0005-0000-0000-0000CF310000}"/>
    <cellStyle name="Normal 2 6 4 8" xfId="4945" xr:uid="{00000000-0005-0000-0000-0000D0310000}"/>
    <cellStyle name="Normal 2 6 4 8 2" xfId="11584" xr:uid="{00000000-0005-0000-0000-0000D1310000}"/>
    <cellStyle name="Normal 2 6 4 8_SSL" xfId="13213" xr:uid="{00000000-0005-0000-0000-0000D2310000}"/>
    <cellStyle name="Normal 2 6 4 9" xfId="5755" xr:uid="{00000000-0005-0000-0000-0000D3310000}"/>
    <cellStyle name="Normal 2 6 4 9 2" xfId="12393" xr:uid="{00000000-0005-0000-0000-0000D4310000}"/>
    <cellStyle name="Normal 2 6 4 9_SSL" xfId="15492" xr:uid="{00000000-0005-0000-0000-0000D5310000}"/>
    <cellStyle name="Normal 2 6 4_SSL" xfId="16278" xr:uid="{00000000-0005-0000-0000-0000D6310000}"/>
    <cellStyle name="Normal 2 6 5" xfId="166" xr:uid="{00000000-0005-0000-0000-0000D7310000}"/>
    <cellStyle name="Normal 2 6 5 10" xfId="7043" xr:uid="{00000000-0005-0000-0000-0000D8310000}"/>
    <cellStyle name="Normal 2 6 5 11" xfId="6676" xr:uid="{00000000-0005-0000-0000-0000D9310000}"/>
    <cellStyle name="Normal 2 6 5 2" xfId="405" xr:uid="{00000000-0005-0000-0000-0000DA310000}"/>
    <cellStyle name="Normal 2 6 5 2 10" xfId="6677" xr:uid="{00000000-0005-0000-0000-0000DB310000}"/>
    <cellStyle name="Normal 2 6 5 2 2" xfId="793" xr:uid="{00000000-0005-0000-0000-0000DC310000}"/>
    <cellStyle name="Normal 2 6 5 2 2 2" xfId="1680" xr:uid="{00000000-0005-0000-0000-0000DD310000}"/>
    <cellStyle name="Normal 2 6 5 2 2 2 2" xfId="8335" xr:uid="{00000000-0005-0000-0000-0000DE310000}"/>
    <cellStyle name="Normal 2 6 5 2 2 2_SSL" xfId="6060" xr:uid="{00000000-0005-0000-0000-0000DF310000}"/>
    <cellStyle name="Normal 2 6 5 2 2 3" xfId="2500" xr:uid="{00000000-0005-0000-0000-0000E0310000}"/>
    <cellStyle name="Normal 2 6 5 2 2 3 2" xfId="9148" xr:uid="{00000000-0005-0000-0000-0000E1310000}"/>
    <cellStyle name="Normal 2 6 5 2 2 3_SSL" xfId="16481" xr:uid="{00000000-0005-0000-0000-0000E2310000}"/>
    <cellStyle name="Normal 2 6 5 2 2 4" xfId="3319" xr:uid="{00000000-0005-0000-0000-0000E3310000}"/>
    <cellStyle name="Normal 2 6 5 2 2 4 2" xfId="9964" xr:uid="{00000000-0005-0000-0000-0000E4310000}"/>
    <cellStyle name="Normal 2 6 5 2 2 4_SSL" xfId="13217" xr:uid="{00000000-0005-0000-0000-0000E5310000}"/>
    <cellStyle name="Normal 2 6 5 2 2 5" xfId="4140" xr:uid="{00000000-0005-0000-0000-0000E6310000}"/>
    <cellStyle name="Normal 2 6 5 2 2 5 2" xfId="10780" xr:uid="{00000000-0005-0000-0000-0000E7310000}"/>
    <cellStyle name="Normal 2 6 5 2 2 5_SSL" xfId="17416" xr:uid="{00000000-0005-0000-0000-0000E8310000}"/>
    <cellStyle name="Normal 2 6 5 2 2 6" xfId="4951" xr:uid="{00000000-0005-0000-0000-0000E9310000}"/>
    <cellStyle name="Normal 2 6 5 2 2 6 2" xfId="11590" xr:uid="{00000000-0005-0000-0000-0000EA310000}"/>
    <cellStyle name="Normal 2 6 5 2 2 6_SSL" xfId="16185" xr:uid="{00000000-0005-0000-0000-0000EB310000}"/>
    <cellStyle name="Normal 2 6 5 2 2 7" xfId="5761" xr:uid="{00000000-0005-0000-0000-0000EC310000}"/>
    <cellStyle name="Normal 2 6 5 2 2 7 2" xfId="12399" xr:uid="{00000000-0005-0000-0000-0000ED310000}"/>
    <cellStyle name="Normal 2 6 5 2 2 7_SSL" xfId="14258" xr:uid="{00000000-0005-0000-0000-0000EE310000}"/>
    <cellStyle name="Normal 2 6 5 2 2 8" xfId="7649" xr:uid="{00000000-0005-0000-0000-0000EF310000}"/>
    <cellStyle name="Normal 2 6 5 2 2 9" xfId="6678" xr:uid="{00000000-0005-0000-0000-0000F0310000}"/>
    <cellStyle name="Normal 2 6 5 2 2_SSL" xfId="14387" xr:uid="{00000000-0005-0000-0000-0000F1310000}"/>
    <cellStyle name="Normal 2 6 5 2 3" xfId="1679" xr:uid="{00000000-0005-0000-0000-0000F2310000}"/>
    <cellStyle name="Normal 2 6 5 2 3 2" xfId="8334" xr:uid="{00000000-0005-0000-0000-0000F3310000}"/>
    <cellStyle name="Normal 2 6 5 2 3_SSL" xfId="13575" xr:uid="{00000000-0005-0000-0000-0000F4310000}"/>
    <cellStyle name="Normal 2 6 5 2 4" xfId="2499" xr:uid="{00000000-0005-0000-0000-0000F5310000}"/>
    <cellStyle name="Normal 2 6 5 2 4 2" xfId="9147" xr:uid="{00000000-0005-0000-0000-0000F6310000}"/>
    <cellStyle name="Normal 2 6 5 2 4_SSL" xfId="6105" xr:uid="{00000000-0005-0000-0000-0000F7310000}"/>
    <cellStyle name="Normal 2 6 5 2 5" xfId="3318" xr:uid="{00000000-0005-0000-0000-0000F8310000}"/>
    <cellStyle name="Normal 2 6 5 2 5 2" xfId="9963" xr:uid="{00000000-0005-0000-0000-0000F9310000}"/>
    <cellStyle name="Normal 2 6 5 2 5_SSL" xfId="12956" xr:uid="{00000000-0005-0000-0000-0000FA310000}"/>
    <cellStyle name="Normal 2 6 5 2 6" xfId="4139" xr:uid="{00000000-0005-0000-0000-0000FB310000}"/>
    <cellStyle name="Normal 2 6 5 2 6 2" xfId="10779" xr:uid="{00000000-0005-0000-0000-0000FC310000}"/>
    <cellStyle name="Normal 2 6 5 2 6_SSL" xfId="13415" xr:uid="{00000000-0005-0000-0000-0000FD310000}"/>
    <cellStyle name="Normal 2 6 5 2 7" xfId="4950" xr:uid="{00000000-0005-0000-0000-0000FE310000}"/>
    <cellStyle name="Normal 2 6 5 2 7 2" xfId="11589" xr:uid="{00000000-0005-0000-0000-0000FF310000}"/>
    <cellStyle name="Normal 2 6 5 2 7_SSL" xfId="16538" xr:uid="{00000000-0005-0000-0000-000000320000}"/>
    <cellStyle name="Normal 2 6 5 2 8" xfId="5760" xr:uid="{00000000-0005-0000-0000-000001320000}"/>
    <cellStyle name="Normal 2 6 5 2 8 2" xfId="12398" xr:uid="{00000000-0005-0000-0000-000002320000}"/>
    <cellStyle name="Normal 2 6 5 2 8_SSL" xfId="15776" xr:uid="{00000000-0005-0000-0000-000003320000}"/>
    <cellStyle name="Normal 2 6 5 2 9" xfId="7265" xr:uid="{00000000-0005-0000-0000-000004320000}"/>
    <cellStyle name="Normal 2 6 5 2_SSL" xfId="13294" xr:uid="{00000000-0005-0000-0000-000005320000}"/>
    <cellStyle name="Normal 2 6 5 3" xfId="571" xr:uid="{00000000-0005-0000-0000-000006320000}"/>
    <cellStyle name="Normal 2 6 5 3 2" xfId="1681" xr:uid="{00000000-0005-0000-0000-000007320000}"/>
    <cellStyle name="Normal 2 6 5 3 2 2" xfId="8336" xr:uid="{00000000-0005-0000-0000-000008320000}"/>
    <cellStyle name="Normal 2 6 5 3 2_SSL" xfId="13898" xr:uid="{00000000-0005-0000-0000-000009320000}"/>
    <cellStyle name="Normal 2 6 5 3 3" xfId="2501" xr:uid="{00000000-0005-0000-0000-00000A320000}"/>
    <cellStyle name="Normal 2 6 5 3 3 2" xfId="9149" xr:uid="{00000000-0005-0000-0000-00000B320000}"/>
    <cellStyle name="Normal 2 6 5 3 3_SSL" xfId="13511" xr:uid="{00000000-0005-0000-0000-00000C320000}"/>
    <cellStyle name="Normal 2 6 5 3 4" xfId="3320" xr:uid="{00000000-0005-0000-0000-00000D320000}"/>
    <cellStyle name="Normal 2 6 5 3 4 2" xfId="9965" xr:uid="{00000000-0005-0000-0000-00000E320000}"/>
    <cellStyle name="Normal 2 6 5 3 4_SSL" xfId="6076" xr:uid="{00000000-0005-0000-0000-00000F320000}"/>
    <cellStyle name="Normal 2 6 5 3 5" xfId="4141" xr:uid="{00000000-0005-0000-0000-000010320000}"/>
    <cellStyle name="Normal 2 6 5 3 5 2" xfId="10781" xr:uid="{00000000-0005-0000-0000-000011320000}"/>
    <cellStyle name="Normal 2 6 5 3 5_SSL" xfId="14394" xr:uid="{00000000-0005-0000-0000-000012320000}"/>
    <cellStyle name="Normal 2 6 5 3 6" xfId="4952" xr:uid="{00000000-0005-0000-0000-000013320000}"/>
    <cellStyle name="Normal 2 6 5 3 6 2" xfId="11591" xr:uid="{00000000-0005-0000-0000-000014320000}"/>
    <cellStyle name="Normal 2 6 5 3 6_SSL" xfId="14643" xr:uid="{00000000-0005-0000-0000-000015320000}"/>
    <cellStyle name="Normal 2 6 5 3 7" xfId="5762" xr:uid="{00000000-0005-0000-0000-000016320000}"/>
    <cellStyle name="Normal 2 6 5 3 7 2" xfId="12400" xr:uid="{00000000-0005-0000-0000-000017320000}"/>
    <cellStyle name="Normal 2 6 5 3 7_SSL" xfId="17009" xr:uid="{00000000-0005-0000-0000-000018320000}"/>
    <cellStyle name="Normal 2 6 5 3 8" xfId="7427" xr:uid="{00000000-0005-0000-0000-000019320000}"/>
    <cellStyle name="Normal 2 6 5 3 9" xfId="6679" xr:uid="{00000000-0005-0000-0000-00001A320000}"/>
    <cellStyle name="Normal 2 6 5 3_SSL" xfId="15606" xr:uid="{00000000-0005-0000-0000-00001B320000}"/>
    <cellStyle name="Normal 2 6 5 4" xfId="1678" xr:uid="{00000000-0005-0000-0000-00001C320000}"/>
    <cellStyle name="Normal 2 6 5 4 2" xfId="8333" xr:uid="{00000000-0005-0000-0000-00001D320000}"/>
    <cellStyle name="Normal 2 6 5 4_SSL" xfId="16854" xr:uid="{00000000-0005-0000-0000-00001E320000}"/>
    <cellStyle name="Normal 2 6 5 5" xfId="2498" xr:uid="{00000000-0005-0000-0000-00001F320000}"/>
    <cellStyle name="Normal 2 6 5 5 2" xfId="9146" xr:uid="{00000000-0005-0000-0000-000020320000}"/>
    <cellStyle name="Normal 2 6 5 5_SSL" xfId="15399" xr:uid="{00000000-0005-0000-0000-000021320000}"/>
    <cellStyle name="Normal 2 6 5 6" xfId="3317" xr:uid="{00000000-0005-0000-0000-000022320000}"/>
    <cellStyle name="Normal 2 6 5 6 2" xfId="9962" xr:uid="{00000000-0005-0000-0000-000023320000}"/>
    <cellStyle name="Normal 2 6 5 6_SSL" xfId="17166" xr:uid="{00000000-0005-0000-0000-000024320000}"/>
    <cellStyle name="Normal 2 6 5 7" xfId="4138" xr:uid="{00000000-0005-0000-0000-000025320000}"/>
    <cellStyle name="Normal 2 6 5 7 2" xfId="10778" xr:uid="{00000000-0005-0000-0000-000026320000}"/>
    <cellStyle name="Normal 2 6 5 7_SSL" xfId="17805" xr:uid="{00000000-0005-0000-0000-000027320000}"/>
    <cellStyle name="Normal 2 6 5 8" xfId="4949" xr:uid="{00000000-0005-0000-0000-000028320000}"/>
    <cellStyle name="Normal 2 6 5 8 2" xfId="11588" xr:uid="{00000000-0005-0000-0000-000029320000}"/>
    <cellStyle name="Normal 2 6 5 8_SSL" xfId="13800" xr:uid="{00000000-0005-0000-0000-00002A320000}"/>
    <cellStyle name="Normal 2 6 5 9" xfId="5759" xr:uid="{00000000-0005-0000-0000-00002B320000}"/>
    <cellStyle name="Normal 2 6 5 9 2" xfId="12397" xr:uid="{00000000-0005-0000-0000-00002C320000}"/>
    <cellStyle name="Normal 2 6 5 9_SSL" xfId="17856" xr:uid="{00000000-0005-0000-0000-00002D320000}"/>
    <cellStyle name="Normal 2 6 5_SSL" xfId="16327" xr:uid="{00000000-0005-0000-0000-00002E320000}"/>
    <cellStyle name="Normal 2 6 6" xfId="237" xr:uid="{00000000-0005-0000-0000-00002F320000}"/>
    <cellStyle name="Normal 2 6 6 10" xfId="7114" xr:uid="{00000000-0005-0000-0000-000030320000}"/>
    <cellStyle name="Normal 2 6 6 11" xfId="6680" xr:uid="{00000000-0005-0000-0000-000031320000}"/>
    <cellStyle name="Normal 2 6 6 2" xfId="406" xr:uid="{00000000-0005-0000-0000-000032320000}"/>
    <cellStyle name="Normal 2 6 6 2 10" xfId="6681" xr:uid="{00000000-0005-0000-0000-000033320000}"/>
    <cellStyle name="Normal 2 6 6 2 2" xfId="794" xr:uid="{00000000-0005-0000-0000-000034320000}"/>
    <cellStyle name="Normal 2 6 6 2 2 2" xfId="1684" xr:uid="{00000000-0005-0000-0000-000035320000}"/>
    <cellStyle name="Normal 2 6 6 2 2 2 2" xfId="8339" xr:uid="{00000000-0005-0000-0000-000036320000}"/>
    <cellStyle name="Normal 2 6 6 2 2 2_SSL" xfId="14763" xr:uid="{00000000-0005-0000-0000-000037320000}"/>
    <cellStyle name="Normal 2 6 6 2 2 3" xfId="2504" xr:uid="{00000000-0005-0000-0000-000038320000}"/>
    <cellStyle name="Normal 2 6 6 2 2 3 2" xfId="9152" xr:uid="{00000000-0005-0000-0000-000039320000}"/>
    <cellStyle name="Normal 2 6 6 2 2 3_SSL" xfId="16274" xr:uid="{00000000-0005-0000-0000-00003A320000}"/>
    <cellStyle name="Normal 2 6 6 2 2 4" xfId="3323" xr:uid="{00000000-0005-0000-0000-00003B320000}"/>
    <cellStyle name="Normal 2 6 6 2 2 4 2" xfId="9968" xr:uid="{00000000-0005-0000-0000-00003C320000}"/>
    <cellStyle name="Normal 2 6 6 2 2 4_SSL" xfId="17232" xr:uid="{00000000-0005-0000-0000-00003D320000}"/>
    <cellStyle name="Normal 2 6 6 2 2 5" xfId="4144" xr:uid="{00000000-0005-0000-0000-00003E320000}"/>
    <cellStyle name="Normal 2 6 6 2 2 5 2" xfId="10784" xr:uid="{00000000-0005-0000-0000-00003F320000}"/>
    <cellStyle name="Normal 2 6 6 2 2 5_SSL" xfId="12959" xr:uid="{00000000-0005-0000-0000-000040320000}"/>
    <cellStyle name="Normal 2 6 6 2 2 6" xfId="4955" xr:uid="{00000000-0005-0000-0000-000041320000}"/>
    <cellStyle name="Normal 2 6 6 2 2 6 2" xfId="11594" xr:uid="{00000000-0005-0000-0000-000042320000}"/>
    <cellStyle name="Normal 2 6 6 2 2 6_SSL" xfId="17029" xr:uid="{00000000-0005-0000-0000-000043320000}"/>
    <cellStyle name="Normal 2 6 6 2 2 7" xfId="5765" xr:uid="{00000000-0005-0000-0000-000044320000}"/>
    <cellStyle name="Normal 2 6 6 2 2 7 2" xfId="12403" xr:uid="{00000000-0005-0000-0000-000045320000}"/>
    <cellStyle name="Normal 2 6 6 2 2 7_SSL" xfId="6048" xr:uid="{00000000-0005-0000-0000-000046320000}"/>
    <cellStyle name="Normal 2 6 6 2 2 8" xfId="7650" xr:uid="{00000000-0005-0000-0000-000047320000}"/>
    <cellStyle name="Normal 2 6 6 2 2 9" xfId="6682" xr:uid="{00000000-0005-0000-0000-000048320000}"/>
    <cellStyle name="Normal 2 6 6 2 2_SSL" xfId="16855" xr:uid="{00000000-0005-0000-0000-000049320000}"/>
    <cellStyle name="Normal 2 6 6 2 3" xfId="1683" xr:uid="{00000000-0005-0000-0000-00004A320000}"/>
    <cellStyle name="Normal 2 6 6 2 3 2" xfId="8338" xr:uid="{00000000-0005-0000-0000-00004B320000}"/>
    <cellStyle name="Normal 2 6 6 2 3_SSL" xfId="16211" xr:uid="{00000000-0005-0000-0000-00004C320000}"/>
    <cellStyle name="Normal 2 6 6 2 4" xfId="2503" xr:uid="{00000000-0005-0000-0000-00004D320000}"/>
    <cellStyle name="Normal 2 6 6 2 4 2" xfId="9151" xr:uid="{00000000-0005-0000-0000-00004E320000}"/>
    <cellStyle name="Normal 2 6 6 2 4_SSL" xfId="16734" xr:uid="{00000000-0005-0000-0000-00004F320000}"/>
    <cellStyle name="Normal 2 6 6 2 5" xfId="3322" xr:uid="{00000000-0005-0000-0000-000050320000}"/>
    <cellStyle name="Normal 2 6 6 2 5 2" xfId="9967" xr:uid="{00000000-0005-0000-0000-000051320000}"/>
    <cellStyle name="Normal 2 6 6 2 5_SSL" xfId="13015" xr:uid="{00000000-0005-0000-0000-000052320000}"/>
    <cellStyle name="Normal 2 6 6 2 6" xfId="4143" xr:uid="{00000000-0005-0000-0000-000053320000}"/>
    <cellStyle name="Normal 2 6 6 2 6 2" xfId="10783" xr:uid="{00000000-0005-0000-0000-000054320000}"/>
    <cellStyle name="Normal 2 6 6 2 6_SSL" xfId="16338" xr:uid="{00000000-0005-0000-0000-000055320000}"/>
    <cellStyle name="Normal 2 6 6 2 7" xfId="4954" xr:uid="{00000000-0005-0000-0000-000056320000}"/>
    <cellStyle name="Normal 2 6 6 2 7 2" xfId="11593" xr:uid="{00000000-0005-0000-0000-000057320000}"/>
    <cellStyle name="Normal 2 6 6 2 7_SSL" xfId="12698" xr:uid="{00000000-0005-0000-0000-000058320000}"/>
    <cellStyle name="Normal 2 6 6 2 8" xfId="5764" xr:uid="{00000000-0005-0000-0000-000059320000}"/>
    <cellStyle name="Normal 2 6 6 2 8 2" xfId="12402" xr:uid="{00000000-0005-0000-0000-00005A320000}"/>
    <cellStyle name="Normal 2 6 6 2 8_SSL" xfId="14120" xr:uid="{00000000-0005-0000-0000-00005B320000}"/>
    <cellStyle name="Normal 2 6 6 2 9" xfId="7266" xr:uid="{00000000-0005-0000-0000-00005C320000}"/>
    <cellStyle name="Normal 2 6 6 2_SSL" xfId="15384" xr:uid="{00000000-0005-0000-0000-00005D320000}"/>
    <cellStyle name="Normal 2 6 6 3" xfId="642" xr:uid="{00000000-0005-0000-0000-00005E320000}"/>
    <cellStyle name="Normal 2 6 6 3 2" xfId="1685" xr:uid="{00000000-0005-0000-0000-00005F320000}"/>
    <cellStyle name="Normal 2 6 6 3 2 2" xfId="8340" xr:uid="{00000000-0005-0000-0000-000060320000}"/>
    <cellStyle name="Normal 2 6 6 3 2_SSL" xfId="14852" xr:uid="{00000000-0005-0000-0000-000061320000}"/>
    <cellStyle name="Normal 2 6 6 3 3" xfId="2505" xr:uid="{00000000-0005-0000-0000-000062320000}"/>
    <cellStyle name="Normal 2 6 6 3 3 2" xfId="9153" xr:uid="{00000000-0005-0000-0000-000063320000}"/>
    <cellStyle name="Normal 2 6 6 3 3_SSL" xfId="15078" xr:uid="{00000000-0005-0000-0000-000064320000}"/>
    <cellStyle name="Normal 2 6 6 3 4" xfId="3324" xr:uid="{00000000-0005-0000-0000-000065320000}"/>
    <cellStyle name="Normal 2 6 6 3 4 2" xfId="9969" xr:uid="{00000000-0005-0000-0000-000066320000}"/>
    <cellStyle name="Normal 2 6 6 3 4_SSL" xfId="17476" xr:uid="{00000000-0005-0000-0000-000067320000}"/>
    <cellStyle name="Normal 2 6 6 3 5" xfId="4145" xr:uid="{00000000-0005-0000-0000-000068320000}"/>
    <cellStyle name="Normal 2 6 6 3 5 2" xfId="10785" xr:uid="{00000000-0005-0000-0000-000069320000}"/>
    <cellStyle name="Normal 2 6 6 3 5_SSL" xfId="15253" xr:uid="{00000000-0005-0000-0000-00006A320000}"/>
    <cellStyle name="Normal 2 6 6 3 6" xfId="4956" xr:uid="{00000000-0005-0000-0000-00006B320000}"/>
    <cellStyle name="Normal 2 6 6 3 6 2" xfId="11595" xr:uid="{00000000-0005-0000-0000-00006C320000}"/>
    <cellStyle name="Normal 2 6 6 3 6_SSL" xfId="12681" xr:uid="{00000000-0005-0000-0000-00006D320000}"/>
    <cellStyle name="Normal 2 6 6 3 7" xfId="5766" xr:uid="{00000000-0005-0000-0000-00006E320000}"/>
    <cellStyle name="Normal 2 6 6 3 7 2" xfId="12404" xr:uid="{00000000-0005-0000-0000-00006F320000}"/>
    <cellStyle name="Normal 2 6 6 3 7_SSL" xfId="16148" xr:uid="{00000000-0005-0000-0000-000070320000}"/>
    <cellStyle name="Normal 2 6 6 3 8" xfId="7498" xr:uid="{00000000-0005-0000-0000-000071320000}"/>
    <cellStyle name="Normal 2 6 6 3 9" xfId="6683" xr:uid="{00000000-0005-0000-0000-000072320000}"/>
    <cellStyle name="Normal 2 6 6 3_SSL" xfId="15061" xr:uid="{00000000-0005-0000-0000-000073320000}"/>
    <cellStyle name="Normal 2 6 6 4" xfId="1682" xr:uid="{00000000-0005-0000-0000-000074320000}"/>
    <cellStyle name="Normal 2 6 6 4 2" xfId="8337" xr:uid="{00000000-0005-0000-0000-000075320000}"/>
    <cellStyle name="Normal 2 6 6 4_SSL" xfId="17013" xr:uid="{00000000-0005-0000-0000-000076320000}"/>
    <cellStyle name="Normal 2 6 6 5" xfId="2502" xr:uid="{00000000-0005-0000-0000-000077320000}"/>
    <cellStyle name="Normal 2 6 6 5 2" xfId="9150" xr:uid="{00000000-0005-0000-0000-000078320000}"/>
    <cellStyle name="Normal 2 6 6 5_SSL" xfId="13253" xr:uid="{00000000-0005-0000-0000-000079320000}"/>
    <cellStyle name="Normal 2 6 6 6" xfId="3321" xr:uid="{00000000-0005-0000-0000-00007A320000}"/>
    <cellStyle name="Normal 2 6 6 6 2" xfId="9966" xr:uid="{00000000-0005-0000-0000-00007B320000}"/>
    <cellStyle name="Normal 2 6 6 6_SSL" xfId="15656" xr:uid="{00000000-0005-0000-0000-00007C320000}"/>
    <cellStyle name="Normal 2 6 6 7" xfId="4142" xr:uid="{00000000-0005-0000-0000-00007D320000}"/>
    <cellStyle name="Normal 2 6 6 7 2" xfId="10782" xr:uid="{00000000-0005-0000-0000-00007E320000}"/>
    <cellStyle name="Normal 2 6 6 7_SSL" xfId="15568" xr:uid="{00000000-0005-0000-0000-00007F320000}"/>
    <cellStyle name="Normal 2 6 6 8" xfId="4953" xr:uid="{00000000-0005-0000-0000-000080320000}"/>
    <cellStyle name="Normal 2 6 6 8 2" xfId="11592" xr:uid="{00000000-0005-0000-0000-000081320000}"/>
    <cellStyle name="Normal 2 6 6 8_SSL" xfId="14066" xr:uid="{00000000-0005-0000-0000-000082320000}"/>
    <cellStyle name="Normal 2 6 6 9" xfId="5763" xr:uid="{00000000-0005-0000-0000-000083320000}"/>
    <cellStyle name="Normal 2 6 6 9 2" xfId="12401" xr:uid="{00000000-0005-0000-0000-000084320000}"/>
    <cellStyle name="Normal 2 6 6 9_SSL" xfId="16677" xr:uid="{00000000-0005-0000-0000-000085320000}"/>
    <cellStyle name="Normal 2 6 6_SSL" xfId="12921" xr:uid="{00000000-0005-0000-0000-000086320000}"/>
    <cellStyle name="Normal 2 6 7" xfId="399" xr:uid="{00000000-0005-0000-0000-000087320000}"/>
    <cellStyle name="Normal 2 6 7 10" xfId="6684" xr:uid="{00000000-0005-0000-0000-000088320000}"/>
    <cellStyle name="Normal 2 6 7 2" xfId="787" xr:uid="{00000000-0005-0000-0000-000089320000}"/>
    <cellStyle name="Normal 2 6 7 2 2" xfId="1687" xr:uid="{00000000-0005-0000-0000-00008A320000}"/>
    <cellStyle name="Normal 2 6 7 2 2 2" xfId="8342" xr:uid="{00000000-0005-0000-0000-00008B320000}"/>
    <cellStyle name="Normal 2 6 7 2 2_SSL" xfId="14974" xr:uid="{00000000-0005-0000-0000-00008C320000}"/>
    <cellStyle name="Normal 2 6 7 2 3" xfId="2507" xr:uid="{00000000-0005-0000-0000-00008D320000}"/>
    <cellStyle name="Normal 2 6 7 2 3 2" xfId="9155" xr:uid="{00000000-0005-0000-0000-00008E320000}"/>
    <cellStyle name="Normal 2 6 7 2 3_SSL" xfId="17548" xr:uid="{00000000-0005-0000-0000-00008F320000}"/>
    <cellStyle name="Normal 2 6 7 2 4" xfId="3326" xr:uid="{00000000-0005-0000-0000-000090320000}"/>
    <cellStyle name="Normal 2 6 7 2 4 2" xfId="9971" xr:uid="{00000000-0005-0000-0000-000091320000}"/>
    <cellStyle name="Normal 2 6 7 2 4_SSL" xfId="14469" xr:uid="{00000000-0005-0000-0000-000092320000}"/>
    <cellStyle name="Normal 2 6 7 2 5" xfId="4147" xr:uid="{00000000-0005-0000-0000-000093320000}"/>
    <cellStyle name="Normal 2 6 7 2 5 2" xfId="10787" xr:uid="{00000000-0005-0000-0000-000094320000}"/>
    <cellStyle name="Normal 2 6 7 2 5_SSL" xfId="14959" xr:uid="{00000000-0005-0000-0000-000095320000}"/>
    <cellStyle name="Normal 2 6 7 2 6" xfId="4958" xr:uid="{00000000-0005-0000-0000-000096320000}"/>
    <cellStyle name="Normal 2 6 7 2 6 2" xfId="11597" xr:uid="{00000000-0005-0000-0000-000097320000}"/>
    <cellStyle name="Normal 2 6 7 2 6_SSL" xfId="16822" xr:uid="{00000000-0005-0000-0000-000098320000}"/>
    <cellStyle name="Normal 2 6 7 2 7" xfId="5768" xr:uid="{00000000-0005-0000-0000-000099320000}"/>
    <cellStyle name="Normal 2 6 7 2 7 2" xfId="12406" xr:uid="{00000000-0005-0000-0000-00009A320000}"/>
    <cellStyle name="Normal 2 6 7 2 7_SSL" xfId="16635" xr:uid="{00000000-0005-0000-0000-00009B320000}"/>
    <cellStyle name="Normal 2 6 7 2 8" xfId="7643" xr:uid="{00000000-0005-0000-0000-00009C320000}"/>
    <cellStyle name="Normal 2 6 7 2 9" xfId="6685" xr:uid="{00000000-0005-0000-0000-00009D320000}"/>
    <cellStyle name="Normal 2 6 7 2_SSL" xfId="16658" xr:uid="{00000000-0005-0000-0000-00009E320000}"/>
    <cellStyle name="Normal 2 6 7 3" xfId="1686" xr:uid="{00000000-0005-0000-0000-00009F320000}"/>
    <cellStyle name="Normal 2 6 7 3 2" xfId="8341" xr:uid="{00000000-0005-0000-0000-0000A0320000}"/>
    <cellStyle name="Normal 2 6 7 3_SSL" xfId="14619" xr:uid="{00000000-0005-0000-0000-0000A1320000}"/>
    <cellStyle name="Normal 2 6 7 4" xfId="2506" xr:uid="{00000000-0005-0000-0000-0000A2320000}"/>
    <cellStyle name="Normal 2 6 7 4 2" xfId="9154" xr:uid="{00000000-0005-0000-0000-0000A3320000}"/>
    <cellStyle name="Normal 2 6 7 4_SSL" xfId="16985" xr:uid="{00000000-0005-0000-0000-0000A4320000}"/>
    <cellStyle name="Normal 2 6 7 5" xfId="3325" xr:uid="{00000000-0005-0000-0000-0000A5320000}"/>
    <cellStyle name="Normal 2 6 7 5 2" xfId="9970" xr:uid="{00000000-0005-0000-0000-0000A6320000}"/>
    <cellStyle name="Normal 2 6 7 5_SSL" xfId="17673" xr:uid="{00000000-0005-0000-0000-0000A7320000}"/>
    <cellStyle name="Normal 2 6 7 6" xfId="4146" xr:uid="{00000000-0005-0000-0000-0000A8320000}"/>
    <cellStyle name="Normal 2 6 7 6 2" xfId="10786" xr:uid="{00000000-0005-0000-0000-0000A9320000}"/>
    <cellStyle name="Normal 2 6 7 6_SSL" xfId="12720" xr:uid="{00000000-0005-0000-0000-0000AA320000}"/>
    <cellStyle name="Normal 2 6 7 7" xfId="4957" xr:uid="{00000000-0005-0000-0000-0000AB320000}"/>
    <cellStyle name="Normal 2 6 7 7 2" xfId="11596" xr:uid="{00000000-0005-0000-0000-0000AC320000}"/>
    <cellStyle name="Normal 2 6 7 7_SSL" xfId="17978" xr:uid="{00000000-0005-0000-0000-0000AD320000}"/>
    <cellStyle name="Normal 2 6 7 8" xfId="5767" xr:uid="{00000000-0005-0000-0000-0000AE320000}"/>
    <cellStyle name="Normal 2 6 7 8 2" xfId="12405" xr:uid="{00000000-0005-0000-0000-0000AF320000}"/>
    <cellStyle name="Normal 2 6 7 8_SSL" xfId="15709" xr:uid="{00000000-0005-0000-0000-0000B0320000}"/>
    <cellStyle name="Normal 2 6 7 9" xfId="7259" xr:uid="{00000000-0005-0000-0000-0000B1320000}"/>
    <cellStyle name="Normal 2 6 7_SSL" xfId="13249" xr:uid="{00000000-0005-0000-0000-0000B2320000}"/>
    <cellStyle name="Normal 2 6 8" xfId="475" xr:uid="{00000000-0005-0000-0000-0000B3320000}"/>
    <cellStyle name="Normal 2 6 8 2" xfId="1688" xr:uid="{00000000-0005-0000-0000-0000B4320000}"/>
    <cellStyle name="Normal 2 6 8 2 2" xfId="8343" xr:uid="{00000000-0005-0000-0000-0000B5320000}"/>
    <cellStyle name="Normal 2 6 8 2_SSL" xfId="13279" xr:uid="{00000000-0005-0000-0000-0000B6320000}"/>
    <cellStyle name="Normal 2 6 8 3" xfId="2508" xr:uid="{00000000-0005-0000-0000-0000B7320000}"/>
    <cellStyle name="Normal 2 6 8 3 2" xfId="9156" xr:uid="{00000000-0005-0000-0000-0000B8320000}"/>
    <cellStyle name="Normal 2 6 8 3_SSL" xfId="13762" xr:uid="{00000000-0005-0000-0000-0000B9320000}"/>
    <cellStyle name="Normal 2 6 8 4" xfId="3327" xr:uid="{00000000-0005-0000-0000-0000BA320000}"/>
    <cellStyle name="Normal 2 6 8 4 2" xfId="9972" xr:uid="{00000000-0005-0000-0000-0000BB320000}"/>
    <cellStyle name="Normal 2 6 8 4_SSL" xfId="15236" xr:uid="{00000000-0005-0000-0000-0000BC320000}"/>
    <cellStyle name="Normal 2 6 8 5" xfId="4148" xr:uid="{00000000-0005-0000-0000-0000BD320000}"/>
    <cellStyle name="Normal 2 6 8 5 2" xfId="10788" xr:uid="{00000000-0005-0000-0000-0000BE320000}"/>
    <cellStyle name="Normal 2 6 8 5_SSL" xfId="14768" xr:uid="{00000000-0005-0000-0000-0000BF320000}"/>
    <cellStyle name="Normal 2 6 8 6" xfId="4959" xr:uid="{00000000-0005-0000-0000-0000C0320000}"/>
    <cellStyle name="Normal 2 6 8 6 2" xfId="11598" xr:uid="{00000000-0005-0000-0000-0000C1320000}"/>
    <cellStyle name="Normal 2 6 8 6_SSL" xfId="16788" xr:uid="{00000000-0005-0000-0000-0000C2320000}"/>
    <cellStyle name="Normal 2 6 8 7" xfId="5769" xr:uid="{00000000-0005-0000-0000-0000C3320000}"/>
    <cellStyle name="Normal 2 6 8 7 2" xfId="12407" xr:uid="{00000000-0005-0000-0000-0000C4320000}"/>
    <cellStyle name="Normal 2 6 8 7_SSL" xfId="14169" xr:uid="{00000000-0005-0000-0000-0000C5320000}"/>
    <cellStyle name="Normal 2 6 8 8" xfId="7331" xr:uid="{00000000-0005-0000-0000-0000C6320000}"/>
    <cellStyle name="Normal 2 6 8 9" xfId="6686" xr:uid="{00000000-0005-0000-0000-0000C7320000}"/>
    <cellStyle name="Normal 2 6 8_SSL" xfId="14278" xr:uid="{00000000-0005-0000-0000-0000C8320000}"/>
    <cellStyle name="Normal 2 6 9" xfId="1657" xr:uid="{00000000-0005-0000-0000-0000C9320000}"/>
    <cellStyle name="Normal 2 6 9 2" xfId="8312" xr:uid="{00000000-0005-0000-0000-0000CA320000}"/>
    <cellStyle name="Normal 2 6 9_SSL" xfId="14320" xr:uid="{00000000-0005-0000-0000-0000CB320000}"/>
    <cellStyle name="Normal 2 6_SSL" xfId="14572" xr:uid="{00000000-0005-0000-0000-0000CC320000}"/>
    <cellStyle name="Normal 2 7" xfId="75" xr:uid="{00000000-0005-0000-0000-0000CD320000}"/>
    <cellStyle name="Normal 2 8" xfId="22" xr:uid="{00000000-0005-0000-0000-0000CE320000}"/>
    <cellStyle name="Normal 2 8 10" xfId="5770" xr:uid="{00000000-0005-0000-0000-0000CF320000}"/>
    <cellStyle name="Normal 2 8 10 2" xfId="12408" xr:uid="{00000000-0005-0000-0000-0000D0320000}"/>
    <cellStyle name="Normal 2 8 10_SSL" xfId="15229" xr:uid="{00000000-0005-0000-0000-0000D1320000}"/>
    <cellStyle name="Normal 2 8 11" xfId="6933" xr:uid="{00000000-0005-0000-0000-0000D2320000}"/>
    <cellStyle name="Normal 2 8 12" xfId="6688" xr:uid="{00000000-0005-0000-0000-0000D3320000}"/>
    <cellStyle name="Normal 2 8 2" xfId="154" xr:uid="{00000000-0005-0000-0000-0000D4320000}"/>
    <cellStyle name="Normal 2 8 2 10" xfId="7031" xr:uid="{00000000-0005-0000-0000-0000D5320000}"/>
    <cellStyle name="Normal 2 8 2 11" xfId="6689" xr:uid="{00000000-0005-0000-0000-0000D6320000}"/>
    <cellStyle name="Normal 2 8 2 2" xfId="408" xr:uid="{00000000-0005-0000-0000-0000D7320000}"/>
    <cellStyle name="Normal 2 8 2 2 10" xfId="6690" xr:uid="{00000000-0005-0000-0000-0000D8320000}"/>
    <cellStyle name="Normal 2 8 2 2 2" xfId="796" xr:uid="{00000000-0005-0000-0000-0000D9320000}"/>
    <cellStyle name="Normal 2 8 2 2 2 2" xfId="1692" xr:uid="{00000000-0005-0000-0000-0000DA320000}"/>
    <cellStyle name="Normal 2 8 2 2 2 2 2" xfId="8347" xr:uid="{00000000-0005-0000-0000-0000DB320000}"/>
    <cellStyle name="Normal 2 8 2 2 2 2_SSL" xfId="13031" xr:uid="{00000000-0005-0000-0000-0000DC320000}"/>
    <cellStyle name="Normal 2 8 2 2 2 3" xfId="2512" xr:uid="{00000000-0005-0000-0000-0000DD320000}"/>
    <cellStyle name="Normal 2 8 2 2 2 3 2" xfId="9160" xr:uid="{00000000-0005-0000-0000-0000DE320000}"/>
    <cellStyle name="Normal 2 8 2 2 2 3_SSL" xfId="14705" xr:uid="{00000000-0005-0000-0000-0000DF320000}"/>
    <cellStyle name="Normal 2 8 2 2 2 4" xfId="3331" xr:uid="{00000000-0005-0000-0000-0000E0320000}"/>
    <cellStyle name="Normal 2 8 2 2 2 4 2" xfId="9976" xr:uid="{00000000-0005-0000-0000-0000E1320000}"/>
    <cellStyle name="Normal 2 8 2 2 2 4_SSL" xfId="15049" xr:uid="{00000000-0005-0000-0000-0000E2320000}"/>
    <cellStyle name="Normal 2 8 2 2 2 5" xfId="4152" xr:uid="{00000000-0005-0000-0000-0000E3320000}"/>
    <cellStyle name="Normal 2 8 2 2 2 5 2" xfId="10792" xr:uid="{00000000-0005-0000-0000-0000E4320000}"/>
    <cellStyle name="Normal 2 8 2 2 2 5_SSL" xfId="16421" xr:uid="{00000000-0005-0000-0000-0000E5320000}"/>
    <cellStyle name="Normal 2 8 2 2 2 6" xfId="4963" xr:uid="{00000000-0005-0000-0000-0000E6320000}"/>
    <cellStyle name="Normal 2 8 2 2 2 6 2" xfId="11602" xr:uid="{00000000-0005-0000-0000-0000E7320000}"/>
    <cellStyle name="Normal 2 8 2 2 2 6_SSL" xfId="16231" xr:uid="{00000000-0005-0000-0000-0000E8320000}"/>
    <cellStyle name="Normal 2 8 2 2 2 7" xfId="5773" xr:uid="{00000000-0005-0000-0000-0000E9320000}"/>
    <cellStyle name="Normal 2 8 2 2 2 7 2" xfId="12411" xr:uid="{00000000-0005-0000-0000-0000EA320000}"/>
    <cellStyle name="Normal 2 8 2 2 2 7_SSL" xfId="15820" xr:uid="{00000000-0005-0000-0000-0000EB320000}"/>
    <cellStyle name="Normal 2 8 2 2 2 8" xfId="7652" xr:uid="{00000000-0005-0000-0000-0000EC320000}"/>
    <cellStyle name="Normal 2 8 2 2 2 9" xfId="6691" xr:uid="{00000000-0005-0000-0000-0000ED320000}"/>
    <cellStyle name="Normal 2 8 2 2 2_SSL" xfId="14556" xr:uid="{00000000-0005-0000-0000-0000EE320000}"/>
    <cellStyle name="Normal 2 8 2 2 3" xfId="1691" xr:uid="{00000000-0005-0000-0000-0000EF320000}"/>
    <cellStyle name="Normal 2 8 2 2 3 2" xfId="8346" xr:uid="{00000000-0005-0000-0000-0000F0320000}"/>
    <cellStyle name="Normal 2 8 2 2 3_SSL" xfId="14760" xr:uid="{00000000-0005-0000-0000-0000F1320000}"/>
    <cellStyle name="Normal 2 8 2 2 4" xfId="2511" xr:uid="{00000000-0005-0000-0000-0000F2320000}"/>
    <cellStyle name="Normal 2 8 2 2 4 2" xfId="9159" xr:uid="{00000000-0005-0000-0000-0000F3320000}"/>
    <cellStyle name="Normal 2 8 2 2 4_SSL" xfId="15758" xr:uid="{00000000-0005-0000-0000-0000F4320000}"/>
    <cellStyle name="Normal 2 8 2 2 5" xfId="3330" xr:uid="{00000000-0005-0000-0000-0000F5320000}"/>
    <cellStyle name="Normal 2 8 2 2 5 2" xfId="9975" xr:uid="{00000000-0005-0000-0000-0000F6320000}"/>
    <cellStyle name="Normal 2 8 2 2 5_SSL" xfId="17064" xr:uid="{00000000-0005-0000-0000-0000F7320000}"/>
    <cellStyle name="Normal 2 8 2 2 6" xfId="4151" xr:uid="{00000000-0005-0000-0000-0000F8320000}"/>
    <cellStyle name="Normal 2 8 2 2 6 2" xfId="10791" xr:uid="{00000000-0005-0000-0000-0000F9320000}"/>
    <cellStyle name="Normal 2 8 2 2 6_SSL" xfId="13030" xr:uid="{00000000-0005-0000-0000-0000FA320000}"/>
    <cellStyle name="Normal 2 8 2 2 7" xfId="4962" xr:uid="{00000000-0005-0000-0000-0000FB320000}"/>
    <cellStyle name="Normal 2 8 2 2 7 2" xfId="11601" xr:uid="{00000000-0005-0000-0000-0000FC320000}"/>
    <cellStyle name="Normal 2 8 2 2 7_SSL" xfId="14828" xr:uid="{00000000-0005-0000-0000-0000FD320000}"/>
    <cellStyle name="Normal 2 8 2 2 8" xfId="5772" xr:uid="{00000000-0005-0000-0000-0000FE320000}"/>
    <cellStyle name="Normal 2 8 2 2 8 2" xfId="12410" xr:uid="{00000000-0005-0000-0000-0000FF320000}"/>
    <cellStyle name="Normal 2 8 2 2 8_SSL" xfId="16908" xr:uid="{00000000-0005-0000-0000-000000330000}"/>
    <cellStyle name="Normal 2 8 2 2 9" xfId="7268" xr:uid="{00000000-0005-0000-0000-000001330000}"/>
    <cellStyle name="Normal 2 8 2 2_SSL" xfId="14262" xr:uid="{00000000-0005-0000-0000-000002330000}"/>
    <cellStyle name="Normal 2 8 2 3" xfId="559" xr:uid="{00000000-0005-0000-0000-000003330000}"/>
    <cellStyle name="Normal 2 8 2 3 2" xfId="1693" xr:uid="{00000000-0005-0000-0000-000004330000}"/>
    <cellStyle name="Normal 2 8 2 3 2 2" xfId="8348" xr:uid="{00000000-0005-0000-0000-000005330000}"/>
    <cellStyle name="Normal 2 8 2 3 2_SSL" xfId="17054" xr:uid="{00000000-0005-0000-0000-000006330000}"/>
    <cellStyle name="Normal 2 8 2 3 3" xfId="2513" xr:uid="{00000000-0005-0000-0000-000007330000}"/>
    <cellStyle name="Normal 2 8 2 3 3 2" xfId="9161" xr:uid="{00000000-0005-0000-0000-000008330000}"/>
    <cellStyle name="Normal 2 8 2 3 3_SSL" xfId="15418" xr:uid="{00000000-0005-0000-0000-000009330000}"/>
    <cellStyle name="Normal 2 8 2 3 4" xfId="3332" xr:uid="{00000000-0005-0000-0000-00000A330000}"/>
    <cellStyle name="Normal 2 8 2 3 4 2" xfId="9977" xr:uid="{00000000-0005-0000-0000-00000B330000}"/>
    <cellStyle name="Normal 2 8 2 3 4_SSL" xfId="14032" xr:uid="{00000000-0005-0000-0000-00000C330000}"/>
    <cellStyle name="Normal 2 8 2 3 5" xfId="4153" xr:uid="{00000000-0005-0000-0000-00000D330000}"/>
    <cellStyle name="Normal 2 8 2 3 5 2" xfId="10793" xr:uid="{00000000-0005-0000-0000-00000E330000}"/>
    <cellStyle name="Normal 2 8 2 3 5_SSL" xfId="13201" xr:uid="{00000000-0005-0000-0000-00000F330000}"/>
    <cellStyle name="Normal 2 8 2 3 6" xfId="4964" xr:uid="{00000000-0005-0000-0000-000010330000}"/>
    <cellStyle name="Normal 2 8 2 3 6 2" xfId="11603" xr:uid="{00000000-0005-0000-0000-000011330000}"/>
    <cellStyle name="Normal 2 8 2 3 6_SSL" xfId="16742" xr:uid="{00000000-0005-0000-0000-000012330000}"/>
    <cellStyle name="Normal 2 8 2 3 7" xfId="5774" xr:uid="{00000000-0005-0000-0000-000013330000}"/>
    <cellStyle name="Normal 2 8 2 3 7 2" xfId="12412" xr:uid="{00000000-0005-0000-0000-000014330000}"/>
    <cellStyle name="Normal 2 8 2 3 7_SSL" xfId="17708" xr:uid="{00000000-0005-0000-0000-000015330000}"/>
    <cellStyle name="Normal 2 8 2 3 8" xfId="7415" xr:uid="{00000000-0005-0000-0000-000016330000}"/>
    <cellStyle name="Normal 2 8 2 3 9" xfId="6692" xr:uid="{00000000-0005-0000-0000-000017330000}"/>
    <cellStyle name="Normal 2 8 2 3_SSL" xfId="17816" xr:uid="{00000000-0005-0000-0000-000018330000}"/>
    <cellStyle name="Normal 2 8 2 4" xfId="1690" xr:uid="{00000000-0005-0000-0000-000019330000}"/>
    <cellStyle name="Normal 2 8 2 4 2" xfId="8345" xr:uid="{00000000-0005-0000-0000-00001A330000}"/>
    <cellStyle name="Normal 2 8 2 4_SSL" xfId="12822" xr:uid="{00000000-0005-0000-0000-00001B330000}"/>
    <cellStyle name="Normal 2 8 2 5" xfId="2510" xr:uid="{00000000-0005-0000-0000-00001C330000}"/>
    <cellStyle name="Normal 2 8 2 5 2" xfId="9158" xr:uid="{00000000-0005-0000-0000-00001D330000}"/>
    <cellStyle name="Normal 2 8 2 5_SSL" xfId="15278" xr:uid="{00000000-0005-0000-0000-00001E330000}"/>
    <cellStyle name="Normal 2 8 2 6" xfId="3329" xr:uid="{00000000-0005-0000-0000-00001F330000}"/>
    <cellStyle name="Normal 2 8 2 6 2" xfId="9974" xr:uid="{00000000-0005-0000-0000-000020330000}"/>
    <cellStyle name="Normal 2 8 2 6_SSL" xfId="17170" xr:uid="{00000000-0005-0000-0000-000021330000}"/>
    <cellStyle name="Normal 2 8 2 7" xfId="4150" xr:uid="{00000000-0005-0000-0000-000022330000}"/>
    <cellStyle name="Normal 2 8 2 7 2" xfId="10790" xr:uid="{00000000-0005-0000-0000-000023330000}"/>
    <cellStyle name="Normal 2 8 2 7_SSL" xfId="15478" xr:uid="{00000000-0005-0000-0000-000024330000}"/>
    <cellStyle name="Normal 2 8 2 8" xfId="4961" xr:uid="{00000000-0005-0000-0000-000025330000}"/>
    <cellStyle name="Normal 2 8 2 8 2" xfId="11600" xr:uid="{00000000-0005-0000-0000-000026330000}"/>
    <cellStyle name="Normal 2 8 2 8_SSL" xfId="16942" xr:uid="{00000000-0005-0000-0000-000027330000}"/>
    <cellStyle name="Normal 2 8 2 9" xfId="5771" xr:uid="{00000000-0005-0000-0000-000028330000}"/>
    <cellStyle name="Normal 2 8 2 9 2" xfId="12409" xr:uid="{00000000-0005-0000-0000-000029330000}"/>
    <cellStyle name="Normal 2 8 2 9_SSL" xfId="14813" xr:uid="{00000000-0005-0000-0000-00002A330000}"/>
    <cellStyle name="Normal 2 8 2_SSL" xfId="16000" xr:uid="{00000000-0005-0000-0000-00002B330000}"/>
    <cellStyle name="Normal 2 8 3" xfId="407" xr:uid="{00000000-0005-0000-0000-00002C330000}"/>
    <cellStyle name="Normal 2 8 3 10" xfId="6693" xr:uid="{00000000-0005-0000-0000-00002D330000}"/>
    <cellStyle name="Normal 2 8 3 2" xfId="795" xr:uid="{00000000-0005-0000-0000-00002E330000}"/>
    <cellStyle name="Normal 2 8 3 2 2" xfId="1695" xr:uid="{00000000-0005-0000-0000-00002F330000}"/>
    <cellStyle name="Normal 2 8 3 2 2 2" xfId="8350" xr:uid="{00000000-0005-0000-0000-000030330000}"/>
    <cellStyle name="Normal 2 8 3 2 2_SSL" xfId="14128" xr:uid="{00000000-0005-0000-0000-000031330000}"/>
    <cellStyle name="Normal 2 8 3 2 3" xfId="2515" xr:uid="{00000000-0005-0000-0000-000032330000}"/>
    <cellStyle name="Normal 2 8 3 2 3 2" xfId="9163" xr:uid="{00000000-0005-0000-0000-000033330000}"/>
    <cellStyle name="Normal 2 8 3 2 3_SSL" xfId="17406" xr:uid="{00000000-0005-0000-0000-000034330000}"/>
    <cellStyle name="Normal 2 8 3 2 4" xfId="3334" xr:uid="{00000000-0005-0000-0000-000035330000}"/>
    <cellStyle name="Normal 2 8 3 2 4 2" xfId="9979" xr:uid="{00000000-0005-0000-0000-000036330000}"/>
    <cellStyle name="Normal 2 8 3 2 4_SSL" xfId="14072" xr:uid="{00000000-0005-0000-0000-000037330000}"/>
    <cellStyle name="Normal 2 8 3 2 5" xfId="4155" xr:uid="{00000000-0005-0000-0000-000038330000}"/>
    <cellStyle name="Normal 2 8 3 2 5 2" xfId="10795" xr:uid="{00000000-0005-0000-0000-000039330000}"/>
    <cellStyle name="Normal 2 8 3 2 5_SSL" xfId="12749" xr:uid="{00000000-0005-0000-0000-00003A330000}"/>
    <cellStyle name="Normal 2 8 3 2 6" xfId="4966" xr:uid="{00000000-0005-0000-0000-00003B330000}"/>
    <cellStyle name="Normal 2 8 3 2 6 2" xfId="11605" xr:uid="{00000000-0005-0000-0000-00003C330000}"/>
    <cellStyle name="Normal 2 8 3 2 6_SSL" xfId="14383" xr:uid="{00000000-0005-0000-0000-00003D330000}"/>
    <cellStyle name="Normal 2 8 3 2 7" xfId="5776" xr:uid="{00000000-0005-0000-0000-00003E330000}"/>
    <cellStyle name="Normal 2 8 3 2 7 2" xfId="12414" xr:uid="{00000000-0005-0000-0000-00003F330000}"/>
    <cellStyle name="Normal 2 8 3 2 7_SSL" xfId="16676" xr:uid="{00000000-0005-0000-0000-000040330000}"/>
    <cellStyle name="Normal 2 8 3 2 8" xfId="7651" xr:uid="{00000000-0005-0000-0000-000041330000}"/>
    <cellStyle name="Normal 2 8 3 2 9" xfId="6694" xr:uid="{00000000-0005-0000-0000-000042330000}"/>
    <cellStyle name="Normal 2 8 3 2_SSL" xfId="16270" xr:uid="{00000000-0005-0000-0000-000043330000}"/>
    <cellStyle name="Normal 2 8 3 3" xfId="1694" xr:uid="{00000000-0005-0000-0000-000044330000}"/>
    <cellStyle name="Normal 2 8 3 3 2" xfId="8349" xr:uid="{00000000-0005-0000-0000-000045330000}"/>
    <cellStyle name="Normal 2 8 3 3_SSL" xfId="13789" xr:uid="{00000000-0005-0000-0000-000046330000}"/>
    <cellStyle name="Normal 2 8 3 4" xfId="2514" xr:uid="{00000000-0005-0000-0000-000047330000}"/>
    <cellStyle name="Normal 2 8 3 4 2" xfId="9162" xr:uid="{00000000-0005-0000-0000-000048330000}"/>
    <cellStyle name="Normal 2 8 3 4_SSL" xfId="6020" xr:uid="{00000000-0005-0000-0000-000049330000}"/>
    <cellStyle name="Normal 2 8 3 5" xfId="3333" xr:uid="{00000000-0005-0000-0000-00004A330000}"/>
    <cellStyle name="Normal 2 8 3 5 2" xfId="9978" xr:uid="{00000000-0005-0000-0000-00004B330000}"/>
    <cellStyle name="Normal 2 8 3 5_SSL" xfId="15988" xr:uid="{00000000-0005-0000-0000-00004C330000}"/>
    <cellStyle name="Normal 2 8 3 6" xfId="4154" xr:uid="{00000000-0005-0000-0000-00004D330000}"/>
    <cellStyle name="Normal 2 8 3 6 2" xfId="10794" xr:uid="{00000000-0005-0000-0000-00004E330000}"/>
    <cellStyle name="Normal 2 8 3 6_SSL" xfId="16476" xr:uid="{00000000-0005-0000-0000-00004F330000}"/>
    <cellStyle name="Normal 2 8 3 7" xfId="4965" xr:uid="{00000000-0005-0000-0000-000050330000}"/>
    <cellStyle name="Normal 2 8 3 7 2" xfId="11604" xr:uid="{00000000-0005-0000-0000-000051330000}"/>
    <cellStyle name="Normal 2 8 3 7_SSL" xfId="13072" xr:uid="{00000000-0005-0000-0000-000052330000}"/>
    <cellStyle name="Normal 2 8 3 8" xfId="5775" xr:uid="{00000000-0005-0000-0000-000053330000}"/>
    <cellStyle name="Normal 2 8 3 8 2" xfId="12413" xr:uid="{00000000-0005-0000-0000-000054330000}"/>
    <cellStyle name="Normal 2 8 3 8_SSL" xfId="13678" xr:uid="{00000000-0005-0000-0000-000055330000}"/>
    <cellStyle name="Normal 2 8 3 9" xfId="7267" xr:uid="{00000000-0005-0000-0000-000056330000}"/>
    <cellStyle name="Normal 2 8 3_SSL" xfId="16517" xr:uid="{00000000-0005-0000-0000-000057330000}"/>
    <cellStyle name="Normal 2 8 4" xfId="463" xr:uid="{00000000-0005-0000-0000-000058330000}"/>
    <cellStyle name="Normal 2 8 4 2" xfId="1696" xr:uid="{00000000-0005-0000-0000-000059330000}"/>
    <cellStyle name="Normal 2 8 4 2 2" xfId="8351" xr:uid="{00000000-0005-0000-0000-00005A330000}"/>
    <cellStyle name="Normal 2 8 4 2_SSL" xfId="13493" xr:uid="{00000000-0005-0000-0000-00005B330000}"/>
    <cellStyle name="Normal 2 8 4 3" xfId="2516" xr:uid="{00000000-0005-0000-0000-00005C330000}"/>
    <cellStyle name="Normal 2 8 4 3 2" xfId="9164" xr:uid="{00000000-0005-0000-0000-00005D330000}"/>
    <cellStyle name="Normal 2 8 4 3_SSL" xfId="6704" xr:uid="{00000000-0005-0000-0000-00005E330000}"/>
    <cellStyle name="Normal 2 8 4 4" xfId="3335" xr:uid="{00000000-0005-0000-0000-00005F330000}"/>
    <cellStyle name="Normal 2 8 4 4 2" xfId="9980" xr:uid="{00000000-0005-0000-0000-000060330000}"/>
    <cellStyle name="Normal 2 8 4 4_SSL" xfId="17421" xr:uid="{00000000-0005-0000-0000-000061330000}"/>
    <cellStyle name="Normal 2 8 4 5" xfId="4156" xr:uid="{00000000-0005-0000-0000-000062330000}"/>
    <cellStyle name="Normal 2 8 4 5 2" xfId="10796" xr:uid="{00000000-0005-0000-0000-000063330000}"/>
    <cellStyle name="Normal 2 8 4 5_SSL" xfId="15901" xr:uid="{00000000-0005-0000-0000-000064330000}"/>
    <cellStyle name="Normal 2 8 4 6" xfId="4967" xr:uid="{00000000-0005-0000-0000-000065330000}"/>
    <cellStyle name="Normal 2 8 4 6 2" xfId="11606" xr:uid="{00000000-0005-0000-0000-000066330000}"/>
    <cellStyle name="Normal 2 8 4 6_SSL" xfId="13645" xr:uid="{00000000-0005-0000-0000-000067330000}"/>
    <cellStyle name="Normal 2 8 4 7" xfId="5777" xr:uid="{00000000-0005-0000-0000-000068330000}"/>
    <cellStyle name="Normal 2 8 4 7 2" xfId="12415" xr:uid="{00000000-0005-0000-0000-000069330000}"/>
    <cellStyle name="Normal 2 8 4 7_SSL" xfId="16358" xr:uid="{00000000-0005-0000-0000-00006A330000}"/>
    <cellStyle name="Normal 2 8 4 8" xfId="7319" xr:uid="{00000000-0005-0000-0000-00006B330000}"/>
    <cellStyle name="Normal 2 8 4 9" xfId="6695" xr:uid="{00000000-0005-0000-0000-00006C330000}"/>
    <cellStyle name="Normal 2 8 4_SSL" xfId="15685" xr:uid="{00000000-0005-0000-0000-00006D330000}"/>
    <cellStyle name="Normal 2 8 5" xfId="1689" xr:uid="{00000000-0005-0000-0000-00006E330000}"/>
    <cellStyle name="Normal 2 8 5 2" xfId="8344" xr:uid="{00000000-0005-0000-0000-00006F330000}"/>
    <cellStyle name="Normal 2 8 5_SSL" xfId="13283" xr:uid="{00000000-0005-0000-0000-000070330000}"/>
    <cellStyle name="Normal 2 8 6" xfId="2509" xr:uid="{00000000-0005-0000-0000-000071330000}"/>
    <cellStyle name="Normal 2 8 6 2" xfId="9157" xr:uid="{00000000-0005-0000-0000-000072330000}"/>
    <cellStyle name="Normal 2 8 6_SSL" xfId="14799" xr:uid="{00000000-0005-0000-0000-000073330000}"/>
    <cellStyle name="Normal 2 8 7" xfId="3328" xr:uid="{00000000-0005-0000-0000-000074330000}"/>
    <cellStyle name="Normal 2 8 7 2" xfId="9973" xr:uid="{00000000-0005-0000-0000-000075330000}"/>
    <cellStyle name="Normal 2 8 7_SSL" xfId="16037" xr:uid="{00000000-0005-0000-0000-000076330000}"/>
    <cellStyle name="Normal 2 8 8" xfId="4149" xr:uid="{00000000-0005-0000-0000-000077330000}"/>
    <cellStyle name="Normal 2 8 8 2" xfId="10789" xr:uid="{00000000-0005-0000-0000-000078330000}"/>
    <cellStyle name="Normal 2 8 8_SSL" xfId="15591" xr:uid="{00000000-0005-0000-0000-000079330000}"/>
    <cellStyle name="Normal 2 8 9" xfId="4960" xr:uid="{00000000-0005-0000-0000-00007A330000}"/>
    <cellStyle name="Normal 2 8 9 2" xfId="11599" xr:uid="{00000000-0005-0000-0000-00007B330000}"/>
    <cellStyle name="Normal 2 8 9_SSL" xfId="15349" xr:uid="{00000000-0005-0000-0000-00007C330000}"/>
    <cellStyle name="Normal 2 8_SSL" xfId="16478" xr:uid="{00000000-0005-0000-0000-00007D330000}"/>
    <cellStyle name="Normal 2 9" xfId="77" xr:uid="{00000000-0005-0000-0000-00007E330000}"/>
    <cellStyle name="Normal 2 9 10" xfId="5778" xr:uid="{00000000-0005-0000-0000-00007F330000}"/>
    <cellStyle name="Normal 2 9 10 2" xfId="12416" xr:uid="{00000000-0005-0000-0000-000080330000}"/>
    <cellStyle name="Normal 2 9 10_SSL" xfId="16814" xr:uid="{00000000-0005-0000-0000-000081330000}"/>
    <cellStyle name="Normal 2 9 11" xfId="6958" xr:uid="{00000000-0005-0000-0000-000082330000}"/>
    <cellStyle name="Normal 2 9 12" xfId="6696" xr:uid="{00000000-0005-0000-0000-000083330000}"/>
    <cellStyle name="Normal 2 9 2" xfId="177" xr:uid="{00000000-0005-0000-0000-000084330000}"/>
    <cellStyle name="Normal 2 9 2 10" xfId="7054" xr:uid="{00000000-0005-0000-0000-000085330000}"/>
    <cellStyle name="Normal 2 9 2 11" xfId="6697" xr:uid="{00000000-0005-0000-0000-000086330000}"/>
    <cellStyle name="Normal 2 9 2 2" xfId="410" xr:uid="{00000000-0005-0000-0000-000087330000}"/>
    <cellStyle name="Normal 2 9 2 2 10" xfId="6698" xr:uid="{00000000-0005-0000-0000-000088330000}"/>
    <cellStyle name="Normal 2 9 2 2 2" xfId="798" xr:uid="{00000000-0005-0000-0000-000089330000}"/>
    <cellStyle name="Normal 2 9 2 2 2 2" xfId="1700" xr:uid="{00000000-0005-0000-0000-00008A330000}"/>
    <cellStyle name="Normal 2 9 2 2 2 2 2" xfId="8355" xr:uid="{00000000-0005-0000-0000-00008B330000}"/>
    <cellStyle name="Normal 2 9 2 2 2 2_SSL" xfId="14178" xr:uid="{00000000-0005-0000-0000-00008C330000}"/>
    <cellStyle name="Normal 2 9 2 2 2 3" xfId="2520" xr:uid="{00000000-0005-0000-0000-00008D330000}"/>
    <cellStyle name="Normal 2 9 2 2 2 3 2" xfId="9168" xr:uid="{00000000-0005-0000-0000-00008E330000}"/>
    <cellStyle name="Normal 2 9 2 2 2 3_SSL" xfId="14124" xr:uid="{00000000-0005-0000-0000-00008F330000}"/>
    <cellStyle name="Normal 2 9 2 2 2 4" xfId="3339" xr:uid="{00000000-0005-0000-0000-000090330000}"/>
    <cellStyle name="Normal 2 9 2 2 2 4 2" xfId="9984" xr:uid="{00000000-0005-0000-0000-000091330000}"/>
    <cellStyle name="Normal 2 9 2 2 2 4_SSL" xfId="17995" xr:uid="{00000000-0005-0000-0000-000092330000}"/>
    <cellStyle name="Normal 2 9 2 2 2 5" xfId="4160" xr:uid="{00000000-0005-0000-0000-000093330000}"/>
    <cellStyle name="Normal 2 9 2 2 2 5 2" xfId="10800" xr:uid="{00000000-0005-0000-0000-000094330000}"/>
    <cellStyle name="Normal 2 9 2 2 2 5_SSL" xfId="14791" xr:uid="{00000000-0005-0000-0000-000095330000}"/>
    <cellStyle name="Normal 2 9 2 2 2 6" xfId="4971" xr:uid="{00000000-0005-0000-0000-000096330000}"/>
    <cellStyle name="Normal 2 9 2 2 2 6 2" xfId="11610" xr:uid="{00000000-0005-0000-0000-000097330000}"/>
    <cellStyle name="Normal 2 9 2 2 2 6_SSL" xfId="16695" xr:uid="{00000000-0005-0000-0000-000098330000}"/>
    <cellStyle name="Normal 2 9 2 2 2 7" xfId="5781" xr:uid="{00000000-0005-0000-0000-000099330000}"/>
    <cellStyle name="Normal 2 9 2 2 2 7 2" xfId="12419" xr:uid="{00000000-0005-0000-0000-00009A330000}"/>
    <cellStyle name="Normal 2 9 2 2 2 7_SSL" xfId="17237" xr:uid="{00000000-0005-0000-0000-00009B330000}"/>
    <cellStyle name="Normal 2 9 2 2 2 8" xfId="7654" xr:uid="{00000000-0005-0000-0000-00009C330000}"/>
    <cellStyle name="Normal 2 9 2 2 2 9" xfId="6699" xr:uid="{00000000-0005-0000-0000-00009D330000}"/>
    <cellStyle name="Normal 2 9 2 2 2_SSL" xfId="14551" xr:uid="{00000000-0005-0000-0000-00009E330000}"/>
    <cellStyle name="Normal 2 9 2 2 3" xfId="1699" xr:uid="{00000000-0005-0000-0000-00009F330000}"/>
    <cellStyle name="Normal 2 9 2 2 3 2" xfId="8354" xr:uid="{00000000-0005-0000-0000-0000A0330000}"/>
    <cellStyle name="Normal 2 9 2 2 3_SSL" xfId="14872" xr:uid="{00000000-0005-0000-0000-0000A1330000}"/>
    <cellStyle name="Normal 2 9 2 2 4" xfId="2519" xr:uid="{00000000-0005-0000-0000-0000A2330000}"/>
    <cellStyle name="Normal 2 9 2 2 4 2" xfId="9167" xr:uid="{00000000-0005-0000-0000-0000A3330000}"/>
    <cellStyle name="Normal 2 9 2 2 4_SSL" xfId="15321" xr:uid="{00000000-0005-0000-0000-0000A4330000}"/>
    <cellStyle name="Normal 2 9 2 2 5" xfId="3338" xr:uid="{00000000-0005-0000-0000-0000A5330000}"/>
    <cellStyle name="Normal 2 9 2 2 5 2" xfId="9983" xr:uid="{00000000-0005-0000-0000-0000A6330000}"/>
    <cellStyle name="Normal 2 9 2 2 5_SSL" xfId="16975" xr:uid="{00000000-0005-0000-0000-0000A7330000}"/>
    <cellStyle name="Normal 2 9 2 2 6" xfId="4159" xr:uid="{00000000-0005-0000-0000-0000A8330000}"/>
    <cellStyle name="Normal 2 9 2 2 6 2" xfId="10799" xr:uid="{00000000-0005-0000-0000-0000A9330000}"/>
    <cellStyle name="Normal 2 9 2 2 6_SSL" xfId="16663" xr:uid="{00000000-0005-0000-0000-0000AA330000}"/>
    <cellStyle name="Normal 2 9 2 2 7" xfId="4970" xr:uid="{00000000-0005-0000-0000-0000AB330000}"/>
    <cellStyle name="Normal 2 9 2 2 7 2" xfId="11609" xr:uid="{00000000-0005-0000-0000-0000AC330000}"/>
    <cellStyle name="Normal 2 9 2 2 7_SSL" xfId="12810" xr:uid="{00000000-0005-0000-0000-0000AD330000}"/>
    <cellStyle name="Normal 2 9 2 2 8" xfId="5780" xr:uid="{00000000-0005-0000-0000-0000AE330000}"/>
    <cellStyle name="Normal 2 9 2 2 8 2" xfId="12418" xr:uid="{00000000-0005-0000-0000-0000AF330000}"/>
    <cellStyle name="Normal 2 9 2 2 8_SSL" xfId="17716" xr:uid="{00000000-0005-0000-0000-0000B0330000}"/>
    <cellStyle name="Normal 2 9 2 2 9" xfId="7270" xr:uid="{00000000-0005-0000-0000-0000B1330000}"/>
    <cellStyle name="Normal 2 9 2 2_SSL" xfId="15414" xr:uid="{00000000-0005-0000-0000-0000B2330000}"/>
    <cellStyle name="Normal 2 9 2 3" xfId="582" xr:uid="{00000000-0005-0000-0000-0000B3330000}"/>
    <cellStyle name="Normal 2 9 2 3 2" xfId="1701" xr:uid="{00000000-0005-0000-0000-0000B4330000}"/>
    <cellStyle name="Normal 2 9 2 3 2 2" xfId="8356" xr:uid="{00000000-0005-0000-0000-0000B5330000}"/>
    <cellStyle name="Normal 2 9 2 3 2_SSL" xfId="15723" xr:uid="{00000000-0005-0000-0000-0000B6330000}"/>
    <cellStyle name="Normal 2 9 2 3 3" xfId="2521" xr:uid="{00000000-0005-0000-0000-0000B7330000}"/>
    <cellStyle name="Normal 2 9 2 3 3 2" xfId="9169" xr:uid="{00000000-0005-0000-0000-0000B8330000}"/>
    <cellStyle name="Normal 2 9 2 3 3_SSL" xfId="16157" xr:uid="{00000000-0005-0000-0000-0000B9330000}"/>
    <cellStyle name="Normal 2 9 2 3 4" xfId="3340" xr:uid="{00000000-0005-0000-0000-0000BA330000}"/>
    <cellStyle name="Normal 2 9 2 3 4 2" xfId="9985" xr:uid="{00000000-0005-0000-0000-0000BB330000}"/>
    <cellStyle name="Normal 2 9 2 3 4_SSL" xfId="15193" xr:uid="{00000000-0005-0000-0000-0000BC330000}"/>
    <cellStyle name="Normal 2 9 2 3 5" xfId="4161" xr:uid="{00000000-0005-0000-0000-0000BD330000}"/>
    <cellStyle name="Normal 2 9 2 3 5 2" xfId="10801" xr:uid="{00000000-0005-0000-0000-0000BE330000}"/>
    <cellStyle name="Normal 2 9 2 3 5_SSL" xfId="17697" xr:uid="{00000000-0005-0000-0000-0000BF330000}"/>
    <cellStyle name="Normal 2 9 2 3 6" xfId="4972" xr:uid="{00000000-0005-0000-0000-0000C0330000}"/>
    <cellStyle name="Normal 2 9 2 3 6 2" xfId="11611" xr:uid="{00000000-0005-0000-0000-0000C1330000}"/>
    <cellStyle name="Normal 2 9 2 3 6_SSL" xfId="13868" xr:uid="{00000000-0005-0000-0000-0000C2330000}"/>
    <cellStyle name="Normal 2 9 2 3 7" xfId="5782" xr:uid="{00000000-0005-0000-0000-0000C3330000}"/>
    <cellStyle name="Normal 2 9 2 3 7 2" xfId="12420" xr:uid="{00000000-0005-0000-0000-0000C4330000}"/>
    <cellStyle name="Normal 2 9 2 3 7_SSL" xfId="14749" xr:uid="{00000000-0005-0000-0000-0000C5330000}"/>
    <cellStyle name="Normal 2 9 2 3 8" xfId="7438" xr:uid="{00000000-0005-0000-0000-0000C6330000}"/>
    <cellStyle name="Normal 2 9 2 3 9" xfId="6700" xr:uid="{00000000-0005-0000-0000-0000C7330000}"/>
    <cellStyle name="Normal 2 9 2 3_SSL" xfId="15923" xr:uid="{00000000-0005-0000-0000-0000C8330000}"/>
    <cellStyle name="Normal 2 9 2 4" xfId="1698" xr:uid="{00000000-0005-0000-0000-0000C9330000}"/>
    <cellStyle name="Normal 2 9 2 4 2" xfId="8353" xr:uid="{00000000-0005-0000-0000-0000CA330000}"/>
    <cellStyle name="Normal 2 9 2 4_SSL" xfId="13358" xr:uid="{00000000-0005-0000-0000-0000CB330000}"/>
    <cellStyle name="Normal 2 9 2 5" xfId="2518" xr:uid="{00000000-0005-0000-0000-0000CC330000}"/>
    <cellStyle name="Normal 2 9 2 5 2" xfId="9166" xr:uid="{00000000-0005-0000-0000-0000CD330000}"/>
    <cellStyle name="Normal 2 9 2 5_SSL" xfId="18017" xr:uid="{00000000-0005-0000-0000-0000CE330000}"/>
    <cellStyle name="Normal 2 9 2 6" xfId="3337" xr:uid="{00000000-0005-0000-0000-0000CF330000}"/>
    <cellStyle name="Normal 2 9 2 6 2" xfId="9982" xr:uid="{00000000-0005-0000-0000-0000D0330000}"/>
    <cellStyle name="Normal 2 9 2 6_SSL" xfId="15257" xr:uid="{00000000-0005-0000-0000-0000D1330000}"/>
    <cellStyle name="Normal 2 9 2 7" xfId="4158" xr:uid="{00000000-0005-0000-0000-0000D2330000}"/>
    <cellStyle name="Normal 2 9 2 7 2" xfId="10798" xr:uid="{00000000-0005-0000-0000-0000D3330000}"/>
    <cellStyle name="Normal 2 9 2 7_SSL" xfId="17931" xr:uid="{00000000-0005-0000-0000-0000D4330000}"/>
    <cellStyle name="Normal 2 9 2 8" xfId="4969" xr:uid="{00000000-0005-0000-0000-0000D5330000}"/>
    <cellStyle name="Normal 2 9 2 8 2" xfId="11608" xr:uid="{00000000-0005-0000-0000-0000D6330000}"/>
    <cellStyle name="Normal 2 9 2 8_SSL" xfId="13133" xr:uid="{00000000-0005-0000-0000-0000D7330000}"/>
    <cellStyle name="Normal 2 9 2 9" xfId="5779" xr:uid="{00000000-0005-0000-0000-0000D8330000}"/>
    <cellStyle name="Normal 2 9 2 9 2" xfId="12417" xr:uid="{00000000-0005-0000-0000-0000D9330000}"/>
    <cellStyle name="Normal 2 9 2 9_SSL" xfId="14606" xr:uid="{00000000-0005-0000-0000-0000DA330000}"/>
    <cellStyle name="Normal 2 9 2_SSL" xfId="14918" xr:uid="{00000000-0005-0000-0000-0000DB330000}"/>
    <cellStyle name="Normal 2 9 3" xfId="409" xr:uid="{00000000-0005-0000-0000-0000DC330000}"/>
    <cellStyle name="Normal 2 9 3 10" xfId="6701" xr:uid="{00000000-0005-0000-0000-0000DD330000}"/>
    <cellStyle name="Normal 2 9 3 2" xfId="797" xr:uid="{00000000-0005-0000-0000-0000DE330000}"/>
    <cellStyle name="Normal 2 9 3 2 2" xfId="1703" xr:uid="{00000000-0005-0000-0000-0000DF330000}"/>
    <cellStyle name="Normal 2 9 3 2 2 2" xfId="8358" xr:uid="{00000000-0005-0000-0000-0000E0330000}"/>
    <cellStyle name="Normal 2 9 3 2 2_SSL" xfId="14533" xr:uid="{00000000-0005-0000-0000-0000E1330000}"/>
    <cellStyle name="Normal 2 9 3 2 3" xfId="2523" xr:uid="{00000000-0005-0000-0000-0000E2330000}"/>
    <cellStyle name="Normal 2 9 3 2 3 2" xfId="9171" xr:uid="{00000000-0005-0000-0000-0000E3330000}"/>
    <cellStyle name="Normal 2 9 3 2 3_SSL" xfId="13465" xr:uid="{00000000-0005-0000-0000-0000E4330000}"/>
    <cellStyle name="Normal 2 9 3 2 4" xfId="3342" xr:uid="{00000000-0005-0000-0000-0000E5330000}"/>
    <cellStyle name="Normal 2 9 3 2 4 2" xfId="9987" xr:uid="{00000000-0005-0000-0000-0000E6330000}"/>
    <cellStyle name="Normal 2 9 3 2 4_SSL" xfId="15639" xr:uid="{00000000-0005-0000-0000-0000E7330000}"/>
    <cellStyle name="Normal 2 9 3 2 5" xfId="4163" xr:uid="{00000000-0005-0000-0000-0000E8330000}"/>
    <cellStyle name="Normal 2 9 3 2 5 2" xfId="10803" xr:uid="{00000000-0005-0000-0000-0000E9330000}"/>
    <cellStyle name="Normal 2 9 3 2 5_SSL" xfId="13399" xr:uid="{00000000-0005-0000-0000-0000EA330000}"/>
    <cellStyle name="Normal 2 9 3 2 6" xfId="4974" xr:uid="{00000000-0005-0000-0000-0000EB330000}"/>
    <cellStyle name="Normal 2 9 3 2 6 2" xfId="11613" xr:uid="{00000000-0005-0000-0000-0000EC330000}"/>
    <cellStyle name="Normal 2 9 3 2 6_SSL" xfId="12953" xr:uid="{00000000-0005-0000-0000-0000ED330000}"/>
    <cellStyle name="Normal 2 9 3 2 7" xfId="5784" xr:uid="{00000000-0005-0000-0000-0000EE330000}"/>
    <cellStyle name="Normal 2 9 3 2 7 2" xfId="12422" xr:uid="{00000000-0005-0000-0000-0000EF330000}"/>
    <cellStyle name="Normal 2 9 3 2 7_SSL" xfId="12640" xr:uid="{00000000-0005-0000-0000-0000F0330000}"/>
    <cellStyle name="Normal 2 9 3 2 8" xfId="7653" xr:uid="{00000000-0005-0000-0000-0000F1330000}"/>
    <cellStyle name="Normal 2 9 3 2 9" xfId="6702" xr:uid="{00000000-0005-0000-0000-0000F2330000}"/>
    <cellStyle name="Normal 2 9 3 2_SSL" xfId="12854" xr:uid="{00000000-0005-0000-0000-0000F3330000}"/>
    <cellStyle name="Normal 2 9 3 3" xfId="1702" xr:uid="{00000000-0005-0000-0000-0000F4330000}"/>
    <cellStyle name="Normal 2 9 3 3 2" xfId="8357" xr:uid="{00000000-0005-0000-0000-0000F5330000}"/>
    <cellStyle name="Normal 2 9 3 3_SSL" xfId="14477" xr:uid="{00000000-0005-0000-0000-0000F6330000}"/>
    <cellStyle name="Normal 2 9 3 4" xfId="2522" xr:uid="{00000000-0005-0000-0000-0000F7330000}"/>
    <cellStyle name="Normal 2 9 3 4 2" xfId="9170" xr:uid="{00000000-0005-0000-0000-0000F8330000}"/>
    <cellStyle name="Normal 2 9 3 4_SSL" xfId="16504" xr:uid="{00000000-0005-0000-0000-0000F9330000}"/>
    <cellStyle name="Normal 2 9 3 5" xfId="3341" xr:uid="{00000000-0005-0000-0000-0000FA330000}"/>
    <cellStyle name="Normal 2 9 3 5 2" xfId="9986" xr:uid="{00000000-0005-0000-0000-0000FB330000}"/>
    <cellStyle name="Normal 2 9 3 5_SSL" xfId="15201" xr:uid="{00000000-0005-0000-0000-0000FC330000}"/>
    <cellStyle name="Normal 2 9 3 6" xfId="4162" xr:uid="{00000000-0005-0000-0000-0000FD330000}"/>
    <cellStyle name="Normal 2 9 3 6 2" xfId="10802" xr:uid="{00000000-0005-0000-0000-0000FE330000}"/>
    <cellStyle name="Normal 2 9 3 6_SSL" xfId="16795" xr:uid="{00000000-0005-0000-0000-0000FF330000}"/>
    <cellStyle name="Normal 2 9 3 7" xfId="4973" xr:uid="{00000000-0005-0000-0000-000000340000}"/>
    <cellStyle name="Normal 2 9 3 7 2" xfId="11612" xr:uid="{00000000-0005-0000-0000-000001340000}"/>
    <cellStyle name="Normal 2 9 3 7_SSL" xfId="16770" xr:uid="{00000000-0005-0000-0000-000002340000}"/>
    <cellStyle name="Normal 2 9 3 8" xfId="5783" xr:uid="{00000000-0005-0000-0000-000003340000}"/>
    <cellStyle name="Normal 2 9 3 8 2" xfId="12421" xr:uid="{00000000-0005-0000-0000-000004340000}"/>
    <cellStyle name="Normal 2 9 3 8_SSL" xfId="17585" xr:uid="{00000000-0005-0000-0000-000005340000}"/>
    <cellStyle name="Normal 2 9 3 9" xfId="7269" xr:uid="{00000000-0005-0000-0000-000006340000}"/>
    <cellStyle name="Normal 2 9 3_SSL" xfId="15681" xr:uid="{00000000-0005-0000-0000-000007340000}"/>
    <cellStyle name="Normal 2 9 4" xfId="486" xr:uid="{00000000-0005-0000-0000-000008340000}"/>
    <cellStyle name="Normal 2 9 4 2" xfId="1704" xr:uid="{00000000-0005-0000-0000-000009340000}"/>
    <cellStyle name="Normal 2 9 4 2 2" xfId="8359" xr:uid="{00000000-0005-0000-0000-00000A340000}"/>
    <cellStyle name="Normal 2 9 4 2_SSL" xfId="17525" xr:uid="{00000000-0005-0000-0000-00000B340000}"/>
    <cellStyle name="Normal 2 9 4 3" xfId="2524" xr:uid="{00000000-0005-0000-0000-00000C340000}"/>
    <cellStyle name="Normal 2 9 4 3 2" xfId="9172" xr:uid="{00000000-0005-0000-0000-00000D340000}"/>
    <cellStyle name="Normal 2 9 4 3_SSL" xfId="17779" xr:uid="{00000000-0005-0000-0000-00000E340000}"/>
    <cellStyle name="Normal 2 9 4 4" xfId="3343" xr:uid="{00000000-0005-0000-0000-00000F340000}"/>
    <cellStyle name="Normal 2 9 4 4 2" xfId="9988" xr:uid="{00000000-0005-0000-0000-000010340000}"/>
    <cellStyle name="Normal 2 9 4 4_SSL" xfId="13136" xr:uid="{00000000-0005-0000-0000-000011340000}"/>
    <cellStyle name="Normal 2 9 4 5" xfId="4164" xr:uid="{00000000-0005-0000-0000-000012340000}"/>
    <cellStyle name="Normal 2 9 4 5 2" xfId="10804" xr:uid="{00000000-0005-0000-0000-000013340000}"/>
    <cellStyle name="Normal 2 9 4 5_SSL" xfId="17176" xr:uid="{00000000-0005-0000-0000-000014340000}"/>
    <cellStyle name="Normal 2 9 4 6" xfId="4975" xr:uid="{00000000-0005-0000-0000-000015340000}"/>
    <cellStyle name="Normal 2 9 4 6 2" xfId="11614" xr:uid="{00000000-0005-0000-0000-000016340000}"/>
    <cellStyle name="Normal 2 9 4 6_SSL" xfId="13558" xr:uid="{00000000-0005-0000-0000-000017340000}"/>
    <cellStyle name="Normal 2 9 4 7" xfId="5785" xr:uid="{00000000-0005-0000-0000-000018340000}"/>
    <cellStyle name="Normal 2 9 4 7 2" xfId="12423" xr:uid="{00000000-0005-0000-0000-000019340000}"/>
    <cellStyle name="Normal 2 9 4 7_SSL" xfId="14125" xr:uid="{00000000-0005-0000-0000-00001A340000}"/>
    <cellStyle name="Normal 2 9 4 8" xfId="7342" xr:uid="{00000000-0005-0000-0000-00001B340000}"/>
    <cellStyle name="Normal 2 9 4 9" xfId="6703" xr:uid="{00000000-0005-0000-0000-00001C340000}"/>
    <cellStyle name="Normal 2 9 4_SSL" xfId="15889" xr:uid="{00000000-0005-0000-0000-00001D340000}"/>
    <cellStyle name="Normal 2 9 5" xfId="1697" xr:uid="{00000000-0005-0000-0000-00001E340000}"/>
    <cellStyle name="Normal 2 9 5 2" xfId="8352" xr:uid="{00000000-0005-0000-0000-00001F340000}"/>
    <cellStyle name="Normal 2 9 5_SSL" xfId="13608" xr:uid="{00000000-0005-0000-0000-000020340000}"/>
    <cellStyle name="Normal 2 9 6" xfId="2517" xr:uid="{00000000-0005-0000-0000-000021340000}"/>
    <cellStyle name="Normal 2 9 6 2" xfId="9165" xr:uid="{00000000-0005-0000-0000-000022340000}"/>
    <cellStyle name="Normal 2 9 6_SSL" xfId="17601" xr:uid="{00000000-0005-0000-0000-000023340000}"/>
    <cellStyle name="Normal 2 9 7" xfId="3336" xr:uid="{00000000-0005-0000-0000-000024340000}"/>
    <cellStyle name="Normal 2 9 7 2" xfId="9981" xr:uid="{00000000-0005-0000-0000-000025340000}"/>
    <cellStyle name="Normal 2 9 7_SSL" xfId="12785" xr:uid="{00000000-0005-0000-0000-000026340000}"/>
    <cellStyle name="Normal 2 9 8" xfId="4157" xr:uid="{00000000-0005-0000-0000-000027340000}"/>
    <cellStyle name="Normal 2 9 8 2" xfId="10797" xr:uid="{00000000-0005-0000-0000-000028340000}"/>
    <cellStyle name="Normal 2 9 8_SSL" xfId="17560" xr:uid="{00000000-0005-0000-0000-000029340000}"/>
    <cellStyle name="Normal 2 9 9" xfId="4968" xr:uid="{00000000-0005-0000-0000-00002A340000}"/>
    <cellStyle name="Normal 2 9 9 2" xfId="11607" xr:uid="{00000000-0005-0000-0000-00002B340000}"/>
    <cellStyle name="Normal 2 9 9_SSL" xfId="16746" xr:uid="{00000000-0005-0000-0000-00002C340000}"/>
    <cellStyle name="Normal 2 9_SSL" xfId="16332" xr:uid="{00000000-0005-0000-0000-00002D340000}"/>
    <cellStyle name="Normal 2_9 75 MO W91CRB-09-D-0039 Task 2 Jul 22 2010 DRAFT" xfId="12" xr:uid="{00000000-0005-0000-0000-00002E340000}"/>
    <cellStyle name="Normal 20" xfId="1047" xr:uid="{00000000-0005-0000-0000-00002F340000}"/>
    <cellStyle name="Normal 21" xfId="1052" xr:uid="{00000000-0005-0000-0000-000030340000}"/>
    <cellStyle name="Normal 22" xfId="1033" xr:uid="{00000000-0005-0000-0000-000031340000}"/>
    <cellStyle name="Normal 23" xfId="1051" xr:uid="{00000000-0005-0000-0000-000032340000}"/>
    <cellStyle name="Normal 24" xfId="1034" xr:uid="{00000000-0005-0000-0000-000033340000}"/>
    <cellStyle name="Normal 25" xfId="1050" xr:uid="{00000000-0005-0000-0000-000034340000}"/>
    <cellStyle name="Normal 26" xfId="1032" xr:uid="{00000000-0005-0000-0000-000035340000}"/>
    <cellStyle name="Normal 27" xfId="1038" xr:uid="{00000000-0005-0000-0000-000036340000}"/>
    <cellStyle name="Normal 28" xfId="1035" xr:uid="{00000000-0005-0000-0000-000037340000}"/>
    <cellStyle name="Normal 29" xfId="1037" xr:uid="{00000000-0005-0000-0000-000038340000}"/>
    <cellStyle name="Normal 3" xfId="13" xr:uid="{00000000-0005-0000-0000-000039340000}"/>
    <cellStyle name="Normal 3 2" xfId="29" xr:uid="{00000000-0005-0000-0000-00003A340000}"/>
    <cellStyle name="Normal 3 2 2" xfId="254" xr:uid="{00000000-0005-0000-0000-00003B340000}"/>
    <cellStyle name="Normal 3 2_SSL" xfId="12769" xr:uid="{00000000-0005-0000-0000-00003C340000}"/>
    <cellStyle name="Normal 30" xfId="1036" xr:uid="{00000000-0005-0000-0000-00003D340000}"/>
    <cellStyle name="Normal 31" xfId="1053" xr:uid="{00000000-0005-0000-0000-00003E340000}"/>
    <cellStyle name="Normal 31 2" xfId="1705" xr:uid="{00000000-0005-0000-0000-00003F340000}"/>
    <cellStyle name="Normal 31 2 2" xfId="8360" xr:uid="{00000000-0005-0000-0000-000040340000}"/>
    <cellStyle name="Normal 31 2_SSL" xfId="16103" xr:uid="{00000000-0005-0000-0000-000041340000}"/>
    <cellStyle name="Normal 31 3" xfId="2525" xr:uid="{00000000-0005-0000-0000-000042340000}"/>
    <cellStyle name="Normal 31 3 2" xfId="9173" xr:uid="{00000000-0005-0000-0000-000043340000}"/>
    <cellStyle name="Normal 31 3_SSL" xfId="13090" xr:uid="{00000000-0005-0000-0000-000044340000}"/>
    <cellStyle name="Normal 31 4" xfId="3345" xr:uid="{00000000-0005-0000-0000-000045340000}"/>
    <cellStyle name="Normal 31 4 2" xfId="9990" xr:uid="{00000000-0005-0000-0000-000046340000}"/>
    <cellStyle name="Normal 31 4_SSL" xfId="17994" xr:uid="{00000000-0005-0000-0000-000047340000}"/>
    <cellStyle name="Normal 31 5" xfId="4165" xr:uid="{00000000-0005-0000-0000-000048340000}"/>
    <cellStyle name="Normal 31 5 2" xfId="10805" xr:uid="{00000000-0005-0000-0000-000049340000}"/>
    <cellStyle name="Normal 31 5_SSL" xfId="13785" xr:uid="{00000000-0005-0000-0000-00004A340000}"/>
    <cellStyle name="Normal 31 6" xfId="4976" xr:uid="{00000000-0005-0000-0000-00004B340000}"/>
    <cellStyle name="Normal 31 6 2" xfId="11615" xr:uid="{00000000-0005-0000-0000-00004C340000}"/>
    <cellStyle name="Normal 31 6_SSL" xfId="12925" xr:uid="{00000000-0005-0000-0000-00004D340000}"/>
    <cellStyle name="Normal 31 7" xfId="5786" xr:uid="{00000000-0005-0000-0000-00004E340000}"/>
    <cellStyle name="Normal 31 7 2" xfId="12424" xr:uid="{00000000-0005-0000-0000-00004F340000}"/>
    <cellStyle name="Normal 31 7_SSL" xfId="12777" xr:uid="{00000000-0005-0000-0000-000050340000}"/>
    <cellStyle name="Normal 31 8" xfId="7717" xr:uid="{00000000-0005-0000-0000-000051340000}"/>
    <cellStyle name="Normal 31 9" xfId="6715" xr:uid="{00000000-0005-0000-0000-000052340000}"/>
    <cellStyle name="Normal 31_SSL" xfId="15668" xr:uid="{00000000-0005-0000-0000-000053340000}"/>
    <cellStyle name="Normal 32" xfId="1058" xr:uid="{00000000-0005-0000-0000-000054340000}"/>
    <cellStyle name="Normal 32 2" xfId="1706" xr:uid="{00000000-0005-0000-0000-000055340000}"/>
    <cellStyle name="Normal 32 2 2" xfId="8361" xr:uid="{00000000-0005-0000-0000-000056340000}"/>
    <cellStyle name="Normal 32 2_SSL" xfId="16766" xr:uid="{00000000-0005-0000-0000-000057340000}"/>
    <cellStyle name="Normal 32 3" xfId="2526" xr:uid="{00000000-0005-0000-0000-000058340000}"/>
    <cellStyle name="Normal 32 3 2" xfId="9174" xr:uid="{00000000-0005-0000-0000-000059340000}"/>
    <cellStyle name="Normal 32 3_SSL" xfId="16936" xr:uid="{00000000-0005-0000-0000-00005A340000}"/>
    <cellStyle name="Normal 32 4" xfId="3346" xr:uid="{00000000-0005-0000-0000-00005B340000}"/>
    <cellStyle name="Normal 32 4 2" xfId="9991" xr:uid="{00000000-0005-0000-0000-00005C340000}"/>
    <cellStyle name="Normal 32 4_SSL" xfId="16657" xr:uid="{00000000-0005-0000-0000-00005D340000}"/>
    <cellStyle name="Normal 32 5" xfId="4166" xr:uid="{00000000-0005-0000-0000-00005E340000}"/>
    <cellStyle name="Normal 32 5 2" xfId="10806" xr:uid="{00000000-0005-0000-0000-00005F340000}"/>
    <cellStyle name="Normal 32 5_SSL" xfId="17050" xr:uid="{00000000-0005-0000-0000-000060340000}"/>
    <cellStyle name="Normal 32 6" xfId="4977" xr:uid="{00000000-0005-0000-0000-000061340000}"/>
    <cellStyle name="Normal 32 6 2" xfId="11616" xr:uid="{00000000-0005-0000-0000-000062340000}"/>
    <cellStyle name="Normal 32 6_SSL" xfId="15065" xr:uid="{00000000-0005-0000-0000-000063340000}"/>
    <cellStyle name="Normal 32 7" xfId="5787" xr:uid="{00000000-0005-0000-0000-000064340000}"/>
    <cellStyle name="Normal 32 7 2" xfId="12425" xr:uid="{00000000-0005-0000-0000-000065340000}"/>
    <cellStyle name="Normal 32 7_SSL" xfId="15819" xr:uid="{00000000-0005-0000-0000-000066340000}"/>
    <cellStyle name="Normal 32 8" xfId="7722" xr:uid="{00000000-0005-0000-0000-000067340000}"/>
    <cellStyle name="Normal 32 9" xfId="6716" xr:uid="{00000000-0005-0000-0000-000068340000}"/>
    <cellStyle name="Normal 32_SSL" xfId="12852" xr:uid="{00000000-0005-0000-0000-000069340000}"/>
    <cellStyle name="Normal 33" xfId="1054" xr:uid="{00000000-0005-0000-0000-00006A340000}"/>
    <cellStyle name="Normal 33 2" xfId="1707" xr:uid="{00000000-0005-0000-0000-00006B340000}"/>
    <cellStyle name="Normal 33 2 2" xfId="8362" xr:uid="{00000000-0005-0000-0000-00006C340000}"/>
    <cellStyle name="Normal 33 2_SSL" xfId="16062" xr:uid="{00000000-0005-0000-0000-00006D340000}"/>
    <cellStyle name="Normal 33 3" xfId="2527" xr:uid="{00000000-0005-0000-0000-00006E340000}"/>
    <cellStyle name="Normal 33 3 2" xfId="9175" xr:uid="{00000000-0005-0000-0000-00006F340000}"/>
    <cellStyle name="Normal 33 3_SSL" xfId="13730" xr:uid="{00000000-0005-0000-0000-000070340000}"/>
    <cellStyle name="Normal 33 4" xfId="3347" xr:uid="{00000000-0005-0000-0000-000071340000}"/>
    <cellStyle name="Normal 33 4 2" xfId="9992" xr:uid="{00000000-0005-0000-0000-000072340000}"/>
    <cellStyle name="Normal 33 4_SSL" xfId="14239" xr:uid="{00000000-0005-0000-0000-000073340000}"/>
    <cellStyle name="Normal 33 5" xfId="4167" xr:uid="{00000000-0005-0000-0000-000074340000}"/>
    <cellStyle name="Normal 33 5 2" xfId="10807" xr:uid="{00000000-0005-0000-0000-000075340000}"/>
    <cellStyle name="Normal 33 5_SSL" xfId="14497" xr:uid="{00000000-0005-0000-0000-000076340000}"/>
    <cellStyle name="Normal 33 6" xfId="4978" xr:uid="{00000000-0005-0000-0000-000077340000}"/>
    <cellStyle name="Normal 33 6 2" xfId="11617" xr:uid="{00000000-0005-0000-0000-000078340000}"/>
    <cellStyle name="Normal 33 6_SSL" xfId="17139" xr:uid="{00000000-0005-0000-0000-000079340000}"/>
    <cellStyle name="Normal 33 7" xfId="5788" xr:uid="{00000000-0005-0000-0000-00007A340000}"/>
    <cellStyle name="Normal 33 7 2" xfId="12426" xr:uid="{00000000-0005-0000-0000-00007B340000}"/>
    <cellStyle name="Normal 33 7_SSL" xfId="15132" xr:uid="{00000000-0005-0000-0000-00007C340000}"/>
    <cellStyle name="Normal 33 8" xfId="7718" xr:uid="{00000000-0005-0000-0000-00007D340000}"/>
    <cellStyle name="Normal 33 9" xfId="6717" xr:uid="{00000000-0005-0000-0000-00007E340000}"/>
    <cellStyle name="Normal 33_SSL" xfId="14824" xr:uid="{00000000-0005-0000-0000-00007F340000}"/>
    <cellStyle name="Normal 34" xfId="1057" xr:uid="{00000000-0005-0000-0000-000080340000}"/>
    <cellStyle name="Normal 34 10" xfId="18031" xr:uid="{00000000-0005-0000-0000-000081340000}"/>
    <cellStyle name="Normal 34 2" xfId="1708" xr:uid="{00000000-0005-0000-0000-000082340000}"/>
    <cellStyle name="Normal 34 2 2" xfId="8363" xr:uid="{00000000-0005-0000-0000-000083340000}"/>
    <cellStyle name="Normal 34 2_SSL" xfId="17000" xr:uid="{00000000-0005-0000-0000-000084340000}"/>
    <cellStyle name="Normal 34 3" xfId="2528" xr:uid="{00000000-0005-0000-0000-000085340000}"/>
    <cellStyle name="Normal 34 3 2" xfId="9176" xr:uid="{00000000-0005-0000-0000-000086340000}"/>
    <cellStyle name="Normal 34 3_SSL" xfId="16830" xr:uid="{00000000-0005-0000-0000-000087340000}"/>
    <cellStyle name="Normal 34 4" xfId="3348" xr:uid="{00000000-0005-0000-0000-000088340000}"/>
    <cellStyle name="Normal 34 4 2" xfId="9993" xr:uid="{00000000-0005-0000-0000-000089340000}"/>
    <cellStyle name="Normal 34 4_SSL" xfId="17546" xr:uid="{00000000-0005-0000-0000-00008A340000}"/>
    <cellStyle name="Normal 34 5" xfId="4168" xr:uid="{00000000-0005-0000-0000-00008B340000}"/>
    <cellStyle name="Normal 34 5 2" xfId="10808" xr:uid="{00000000-0005-0000-0000-00008C340000}"/>
    <cellStyle name="Normal 34 5_SSL" xfId="15935" xr:uid="{00000000-0005-0000-0000-00008D340000}"/>
    <cellStyle name="Normal 34 6" xfId="4979" xr:uid="{00000000-0005-0000-0000-00008E340000}"/>
    <cellStyle name="Normal 34 6 2" xfId="11618" xr:uid="{00000000-0005-0000-0000-00008F340000}"/>
    <cellStyle name="Normal 34 6_SSL" xfId="6009" xr:uid="{00000000-0005-0000-0000-000090340000}"/>
    <cellStyle name="Normal 34 7" xfId="5789" xr:uid="{00000000-0005-0000-0000-000091340000}"/>
    <cellStyle name="Normal 34 7 2" xfId="12427" xr:uid="{00000000-0005-0000-0000-000092340000}"/>
    <cellStyle name="Normal 34 7_SSL" xfId="13529" xr:uid="{00000000-0005-0000-0000-000093340000}"/>
    <cellStyle name="Normal 34 8" xfId="7721" xr:uid="{00000000-0005-0000-0000-000094340000}"/>
    <cellStyle name="Normal 34 9" xfId="6718" xr:uid="{00000000-0005-0000-0000-000095340000}"/>
    <cellStyle name="Normal 34_SSL" xfId="12859" xr:uid="{00000000-0005-0000-0000-000096340000}"/>
    <cellStyle name="Normal 35" xfId="1063" xr:uid="{00000000-0005-0000-0000-000097340000}"/>
    <cellStyle name="Normal 35 10" xfId="18030" xr:uid="{00000000-0005-0000-0000-000098340000}"/>
    <cellStyle name="Normal 35 2" xfId="1709" xr:uid="{00000000-0005-0000-0000-000099340000}"/>
    <cellStyle name="Normal 35 2 2" xfId="8364" xr:uid="{00000000-0005-0000-0000-00009A340000}"/>
    <cellStyle name="Normal 35 2_SSL" xfId="13881" xr:uid="{00000000-0005-0000-0000-00009B340000}"/>
    <cellStyle name="Normal 35 3" xfId="2529" xr:uid="{00000000-0005-0000-0000-00009C340000}"/>
    <cellStyle name="Normal 35 3 2" xfId="9177" xr:uid="{00000000-0005-0000-0000-00009D340000}"/>
    <cellStyle name="Normal 35 3_SSL" xfId="17291" xr:uid="{00000000-0005-0000-0000-00009E340000}"/>
    <cellStyle name="Normal 35 4" xfId="3349" xr:uid="{00000000-0005-0000-0000-00009F340000}"/>
    <cellStyle name="Normal 35 4 2" xfId="9994" xr:uid="{00000000-0005-0000-0000-0000A0340000}"/>
    <cellStyle name="Normal 35 4_SSL" xfId="14588" xr:uid="{00000000-0005-0000-0000-0000A1340000}"/>
    <cellStyle name="Normal 35 5" xfId="4169" xr:uid="{00000000-0005-0000-0000-0000A2340000}"/>
    <cellStyle name="Normal 35 5 2" xfId="10809" xr:uid="{00000000-0005-0000-0000-0000A3340000}"/>
    <cellStyle name="Normal 35 5_SSL" xfId="12997" xr:uid="{00000000-0005-0000-0000-0000A4340000}"/>
    <cellStyle name="Normal 35 6" xfId="4980" xr:uid="{00000000-0005-0000-0000-0000A5340000}"/>
    <cellStyle name="Normal 35 6 2" xfId="11619" xr:uid="{00000000-0005-0000-0000-0000A6340000}"/>
    <cellStyle name="Normal 35 6_SSL" xfId="16710" xr:uid="{00000000-0005-0000-0000-0000A7340000}"/>
    <cellStyle name="Normal 35 7" xfId="5790" xr:uid="{00000000-0005-0000-0000-0000A8340000}"/>
    <cellStyle name="Normal 35 7 2" xfId="12428" xr:uid="{00000000-0005-0000-0000-0000A9340000}"/>
    <cellStyle name="Normal 35 7_SSL" xfId="13123" xr:uid="{00000000-0005-0000-0000-0000AA340000}"/>
    <cellStyle name="Normal 35 8" xfId="7727" xr:uid="{00000000-0005-0000-0000-0000AB340000}"/>
    <cellStyle name="Normal 35 9" xfId="6719" xr:uid="{00000000-0005-0000-0000-0000AC340000}"/>
    <cellStyle name="Normal 35_SSL" xfId="13893" xr:uid="{00000000-0005-0000-0000-0000AD340000}"/>
    <cellStyle name="Normal 36" xfId="1068" xr:uid="{00000000-0005-0000-0000-0000AE340000}"/>
    <cellStyle name="Normal 36 10" xfId="18032" xr:uid="{00000000-0005-0000-0000-0000AF340000}"/>
    <cellStyle name="Normal 36 2" xfId="1904" xr:uid="{00000000-0005-0000-0000-0000B0340000}"/>
    <cellStyle name="Normal 36 2 2" xfId="8558" xr:uid="{00000000-0005-0000-0000-0000B1340000}"/>
    <cellStyle name="Normal 36 2_SSL" xfId="17775" xr:uid="{00000000-0005-0000-0000-0000B2340000}"/>
    <cellStyle name="Normal 36 3" xfId="2723" xr:uid="{00000000-0005-0000-0000-0000B3340000}"/>
    <cellStyle name="Normal 36 3 2" xfId="9371" xr:uid="{00000000-0005-0000-0000-0000B4340000}"/>
    <cellStyle name="Normal 36 3_SSL" xfId="13631" xr:uid="{00000000-0005-0000-0000-0000B5340000}"/>
    <cellStyle name="Normal 36 4" xfId="3546" xr:uid="{00000000-0005-0000-0000-0000B6340000}"/>
    <cellStyle name="Normal 36 4 2" xfId="10190" xr:uid="{00000000-0005-0000-0000-0000B7340000}"/>
    <cellStyle name="Normal 36 4_SSL" xfId="13331" xr:uid="{00000000-0005-0000-0000-0000B8340000}"/>
    <cellStyle name="Normal 36 5" xfId="4363" xr:uid="{00000000-0005-0000-0000-0000B9340000}"/>
    <cellStyle name="Normal 36 5 2" xfId="11003" xr:uid="{00000000-0005-0000-0000-0000BA340000}"/>
    <cellStyle name="Normal 36 5_SSL" xfId="17730" xr:uid="{00000000-0005-0000-0000-0000BB340000}"/>
    <cellStyle name="Normal 36 6" xfId="5174" xr:uid="{00000000-0005-0000-0000-0000BC340000}"/>
    <cellStyle name="Normal 36 6 2" xfId="11813" xr:uid="{00000000-0005-0000-0000-0000BD340000}"/>
    <cellStyle name="Normal 36 6_SSL" xfId="16146" xr:uid="{00000000-0005-0000-0000-0000BE340000}"/>
    <cellStyle name="Normal 36 7" xfId="5984" xr:uid="{00000000-0005-0000-0000-0000BF340000}"/>
    <cellStyle name="Normal 36 7 2" xfId="12622" xr:uid="{00000000-0005-0000-0000-0000C0340000}"/>
    <cellStyle name="Normal 36 7_SSL" xfId="13459" xr:uid="{00000000-0005-0000-0000-0000C1340000}"/>
    <cellStyle name="Normal 36 8" xfId="7732" xr:uid="{00000000-0005-0000-0000-0000C2340000}"/>
    <cellStyle name="Normal 36 9" xfId="6924" xr:uid="{00000000-0005-0000-0000-0000C3340000}"/>
    <cellStyle name="Normal 36_SSL" xfId="13124" xr:uid="{00000000-0005-0000-0000-0000C4340000}"/>
    <cellStyle name="Normal 37" xfId="1069" xr:uid="{00000000-0005-0000-0000-0000C5340000}"/>
    <cellStyle name="Normal 37 2" xfId="1907" xr:uid="{00000000-0005-0000-0000-0000C6340000}"/>
    <cellStyle name="Normal 37 2 2" xfId="8561" xr:uid="{00000000-0005-0000-0000-0000C7340000}"/>
    <cellStyle name="Normal 37 2_SSL" xfId="17802" xr:uid="{00000000-0005-0000-0000-0000C8340000}"/>
    <cellStyle name="Normal 37 3" xfId="2726" xr:uid="{00000000-0005-0000-0000-0000C9340000}"/>
    <cellStyle name="Normal 37 3 2" xfId="9374" xr:uid="{00000000-0005-0000-0000-0000CA340000}"/>
    <cellStyle name="Normal 37 3_SSL" xfId="13390" xr:uid="{00000000-0005-0000-0000-0000CB340000}"/>
    <cellStyle name="Normal 37 4" xfId="3549" xr:uid="{00000000-0005-0000-0000-0000CC340000}"/>
    <cellStyle name="Normal 37 4 2" xfId="10193" xr:uid="{00000000-0005-0000-0000-0000CD340000}"/>
    <cellStyle name="Normal 37 4_SSL" xfId="13053" xr:uid="{00000000-0005-0000-0000-0000CE340000}"/>
    <cellStyle name="Normal 37 5" xfId="4366" xr:uid="{00000000-0005-0000-0000-0000CF340000}"/>
    <cellStyle name="Normal 37 5 2" xfId="11006" xr:uid="{00000000-0005-0000-0000-0000D0340000}"/>
    <cellStyle name="Normal 37 5_SSL" xfId="13108" xr:uid="{00000000-0005-0000-0000-0000D1340000}"/>
    <cellStyle name="Normal 37 6" xfId="5177" xr:uid="{00000000-0005-0000-0000-0000D2340000}"/>
    <cellStyle name="Normal 37 6 2" xfId="11816" xr:uid="{00000000-0005-0000-0000-0000D3340000}"/>
    <cellStyle name="Normal 37 6_SSL" xfId="15815" xr:uid="{00000000-0005-0000-0000-0000D4340000}"/>
    <cellStyle name="Normal 37 7" xfId="5987" xr:uid="{00000000-0005-0000-0000-0000D5340000}"/>
    <cellStyle name="Normal 37 7 2" xfId="12625" xr:uid="{00000000-0005-0000-0000-0000D6340000}"/>
    <cellStyle name="Normal 37 7_SSL" xfId="15004" xr:uid="{00000000-0005-0000-0000-0000D7340000}"/>
    <cellStyle name="Normal 37 8" xfId="7733" xr:uid="{00000000-0005-0000-0000-0000D8340000}"/>
    <cellStyle name="Normal 37 9" xfId="6927" xr:uid="{00000000-0005-0000-0000-0000D9340000}"/>
    <cellStyle name="Normal 38" xfId="1070" xr:uid="{00000000-0005-0000-0000-0000DA340000}"/>
    <cellStyle name="Normal 39" xfId="1072" xr:uid="{00000000-0005-0000-0000-0000DB340000}"/>
    <cellStyle name="Normal 4" xfId="14" xr:uid="{00000000-0005-0000-0000-0000DC340000}"/>
    <cellStyle name="Normal 4 10" xfId="1066" xr:uid="{00000000-0005-0000-0000-0000DD340000}"/>
    <cellStyle name="Normal 4 10 2" xfId="1710" xr:uid="{00000000-0005-0000-0000-0000DE340000}"/>
    <cellStyle name="Normal 4 10 2 2" xfId="8365" xr:uid="{00000000-0005-0000-0000-0000DF340000}"/>
    <cellStyle name="Normal 4 10 2_SSL" xfId="16409" xr:uid="{00000000-0005-0000-0000-0000E0340000}"/>
    <cellStyle name="Normal 4 10 3" xfId="2530" xr:uid="{00000000-0005-0000-0000-0000E1340000}"/>
    <cellStyle name="Normal 4 10 3 2" xfId="9178" xr:uid="{00000000-0005-0000-0000-0000E2340000}"/>
    <cellStyle name="Normal 4 10 3_SSL" xfId="16603" xr:uid="{00000000-0005-0000-0000-0000E3340000}"/>
    <cellStyle name="Normal 4 10 4" xfId="3350" xr:uid="{00000000-0005-0000-0000-0000E4340000}"/>
    <cellStyle name="Normal 4 10 4 2" xfId="9995" xr:uid="{00000000-0005-0000-0000-0000E5340000}"/>
    <cellStyle name="Normal 4 10 4_SSL" xfId="15447" xr:uid="{00000000-0005-0000-0000-0000E6340000}"/>
    <cellStyle name="Normal 4 10 5" xfId="4170" xr:uid="{00000000-0005-0000-0000-0000E7340000}"/>
    <cellStyle name="Normal 4 10 5 2" xfId="10810" xr:uid="{00000000-0005-0000-0000-0000E8340000}"/>
    <cellStyle name="Normal 4 10 5_SSL" xfId="16915" xr:uid="{00000000-0005-0000-0000-0000E9340000}"/>
    <cellStyle name="Normal 4 10 6" xfId="4981" xr:uid="{00000000-0005-0000-0000-0000EA340000}"/>
    <cellStyle name="Normal 4 10 6 2" xfId="11620" xr:uid="{00000000-0005-0000-0000-0000EB340000}"/>
    <cellStyle name="Normal 4 10 6_SSL" xfId="15908" xr:uid="{00000000-0005-0000-0000-0000EC340000}"/>
    <cellStyle name="Normal 4 10 7" xfId="5791" xr:uid="{00000000-0005-0000-0000-0000ED340000}"/>
    <cellStyle name="Normal 4 10 7 2" xfId="12429" xr:uid="{00000000-0005-0000-0000-0000EE340000}"/>
    <cellStyle name="Normal 4 10 7_SSL" xfId="14876" xr:uid="{00000000-0005-0000-0000-0000EF340000}"/>
    <cellStyle name="Normal 4 10 8" xfId="7730" xr:uid="{00000000-0005-0000-0000-0000F0340000}"/>
    <cellStyle name="Normal 4 10 9" xfId="6720" xr:uid="{00000000-0005-0000-0000-0000F1340000}"/>
    <cellStyle name="Normal 4 10_SSL" xfId="15041" xr:uid="{00000000-0005-0000-0000-0000F2340000}"/>
    <cellStyle name="Normal 4 11" xfId="1096" xr:uid="{00000000-0005-0000-0000-0000F3340000}"/>
    <cellStyle name="Normal 4 11 2" xfId="7754" xr:uid="{00000000-0005-0000-0000-0000F4340000}"/>
    <cellStyle name="Normal 4 11_SSL" xfId="12945" xr:uid="{00000000-0005-0000-0000-0000F5340000}"/>
    <cellStyle name="Normal 4 12" xfId="1920" xr:uid="{00000000-0005-0000-0000-0000F6340000}"/>
    <cellStyle name="Normal 4 12 2" xfId="8568" xr:uid="{00000000-0005-0000-0000-0000F7340000}"/>
    <cellStyle name="Normal 4 12_SSL" xfId="13151" xr:uid="{00000000-0005-0000-0000-0000F8340000}"/>
    <cellStyle name="Normal 4 13" xfId="2738" xr:uid="{00000000-0005-0000-0000-0000F9340000}"/>
    <cellStyle name="Normal 4 13 2" xfId="9383" xr:uid="{00000000-0005-0000-0000-0000FA340000}"/>
    <cellStyle name="Normal 4 13_SSL" xfId="17456" xr:uid="{00000000-0005-0000-0000-0000FB340000}"/>
    <cellStyle name="Normal 4 14" xfId="3560" xr:uid="{00000000-0005-0000-0000-0000FC340000}"/>
    <cellStyle name="Normal 4 14 2" xfId="10201" xr:uid="{00000000-0005-0000-0000-0000FD340000}"/>
    <cellStyle name="Normal 4 14_SSL" xfId="13119" xr:uid="{00000000-0005-0000-0000-0000FE340000}"/>
    <cellStyle name="Normal 4 15" xfId="4372" xr:uid="{00000000-0005-0000-0000-0000FF340000}"/>
    <cellStyle name="Normal 4 15 2" xfId="11011" xr:uid="{00000000-0005-0000-0000-000000350000}"/>
    <cellStyle name="Normal 4 15_SSL" xfId="14138" xr:uid="{00000000-0005-0000-0000-000001350000}"/>
    <cellStyle name="Normal 4 16" xfId="5182" xr:uid="{00000000-0005-0000-0000-000002350000}"/>
    <cellStyle name="Normal 4 16 2" xfId="11820" xr:uid="{00000000-0005-0000-0000-000003350000}"/>
    <cellStyle name="Normal 4 16_SSL" xfId="14682" xr:uid="{00000000-0005-0000-0000-000004350000}"/>
    <cellStyle name="Normal 4 17" xfId="6075" xr:uid="{00000000-0005-0000-0000-000005350000}"/>
    <cellStyle name="Normal 4 2" xfId="41" xr:uid="{00000000-0005-0000-0000-000006350000}"/>
    <cellStyle name="Normal 4 2 10" xfId="1045" xr:uid="{00000000-0005-0000-0000-000007350000}"/>
    <cellStyle name="Normal 4 2 11" xfId="6942" xr:uid="{00000000-0005-0000-0000-000008350000}"/>
    <cellStyle name="Normal 4 2 2" xfId="71" xr:uid="{00000000-0005-0000-0000-000009350000}"/>
    <cellStyle name="Normal 4 2 2 10" xfId="2531" xr:uid="{00000000-0005-0000-0000-00000A350000}"/>
    <cellStyle name="Normal 4 2 2 10 2" xfId="9179" xr:uid="{00000000-0005-0000-0000-00000B350000}"/>
    <cellStyle name="Normal 4 2 2 10_SSL" xfId="16010" xr:uid="{00000000-0005-0000-0000-00000C350000}"/>
    <cellStyle name="Normal 4 2 2 11" xfId="3351" xr:uid="{00000000-0005-0000-0000-00000D350000}"/>
    <cellStyle name="Normal 4 2 2 11 2" xfId="9996" xr:uid="{00000000-0005-0000-0000-00000E350000}"/>
    <cellStyle name="Normal 4 2 2 11_SSL" xfId="12779" xr:uid="{00000000-0005-0000-0000-00000F350000}"/>
    <cellStyle name="Normal 4 2 2 12" xfId="4171" xr:uid="{00000000-0005-0000-0000-000010350000}"/>
    <cellStyle name="Normal 4 2 2 12 2" xfId="10811" xr:uid="{00000000-0005-0000-0000-000011350000}"/>
    <cellStyle name="Normal 4 2 2 12_SSL" xfId="16861" xr:uid="{00000000-0005-0000-0000-000012350000}"/>
    <cellStyle name="Normal 4 2 2 13" xfId="4982" xr:uid="{00000000-0005-0000-0000-000013350000}"/>
    <cellStyle name="Normal 4 2 2 13 2" xfId="11621" xr:uid="{00000000-0005-0000-0000-000014350000}"/>
    <cellStyle name="Normal 4 2 2 13_SSL" xfId="10197" xr:uid="{00000000-0005-0000-0000-000015350000}"/>
    <cellStyle name="Normal 4 2 2 14" xfId="5792" xr:uid="{00000000-0005-0000-0000-000016350000}"/>
    <cellStyle name="Normal 4 2 2 14 2" xfId="12430" xr:uid="{00000000-0005-0000-0000-000017350000}"/>
    <cellStyle name="Normal 4 2 2 14_SSL" xfId="17493" xr:uid="{00000000-0005-0000-0000-000018350000}"/>
    <cellStyle name="Normal 4 2 2 15" xfId="6956" xr:uid="{00000000-0005-0000-0000-000019350000}"/>
    <cellStyle name="Normal 4 2 2 16" xfId="6722" xr:uid="{00000000-0005-0000-0000-00001A350000}"/>
    <cellStyle name="Normal 4 2 2 2" xfId="100" xr:uid="{00000000-0005-0000-0000-00001B350000}"/>
    <cellStyle name="Normal 4 2 2 2 10" xfId="5793" xr:uid="{00000000-0005-0000-0000-00001C350000}"/>
    <cellStyle name="Normal 4 2 2 2 10 2" xfId="12431" xr:uid="{00000000-0005-0000-0000-00001D350000}"/>
    <cellStyle name="Normal 4 2 2 2 10_SSL" xfId="14902" xr:uid="{00000000-0005-0000-0000-00001E350000}"/>
    <cellStyle name="Normal 4 2 2 2 11" xfId="6979" xr:uid="{00000000-0005-0000-0000-00001F350000}"/>
    <cellStyle name="Normal 4 2 2 2 12" xfId="6723" xr:uid="{00000000-0005-0000-0000-000020350000}"/>
    <cellStyle name="Normal 4 2 2 2 2" xfId="198" xr:uid="{00000000-0005-0000-0000-000021350000}"/>
    <cellStyle name="Normal 4 2 2 2 2 10" xfId="7075" xr:uid="{00000000-0005-0000-0000-000022350000}"/>
    <cellStyle name="Normal 4 2 2 2 2 11" xfId="6724" xr:uid="{00000000-0005-0000-0000-000023350000}"/>
    <cellStyle name="Normal 4 2 2 2 2 2" xfId="414" xr:uid="{00000000-0005-0000-0000-000024350000}"/>
    <cellStyle name="Normal 4 2 2 2 2 2 10" xfId="6725" xr:uid="{00000000-0005-0000-0000-000025350000}"/>
    <cellStyle name="Normal 4 2 2 2 2 2 2" xfId="802" xr:uid="{00000000-0005-0000-0000-000026350000}"/>
    <cellStyle name="Normal 4 2 2 2 2 2 2 2" xfId="1715" xr:uid="{00000000-0005-0000-0000-000027350000}"/>
    <cellStyle name="Normal 4 2 2 2 2 2 2 2 2" xfId="8370" xr:uid="{00000000-0005-0000-0000-000028350000}"/>
    <cellStyle name="Normal 4 2 2 2 2 2 2 2_SSL" xfId="14752" xr:uid="{00000000-0005-0000-0000-000029350000}"/>
    <cellStyle name="Normal 4 2 2 2 2 2 2 3" xfId="2535" xr:uid="{00000000-0005-0000-0000-00002A350000}"/>
    <cellStyle name="Normal 4 2 2 2 2 2 2 3 2" xfId="9183" xr:uid="{00000000-0005-0000-0000-00002B350000}"/>
    <cellStyle name="Normal 4 2 2 2 2 2 2 3_SSL" xfId="16820" xr:uid="{00000000-0005-0000-0000-00002C350000}"/>
    <cellStyle name="Normal 4 2 2 2 2 2 2 4" xfId="3355" xr:uid="{00000000-0005-0000-0000-00002D350000}"/>
    <cellStyle name="Normal 4 2 2 2 2 2 2 4 2" xfId="10000" xr:uid="{00000000-0005-0000-0000-00002E350000}"/>
    <cellStyle name="Normal 4 2 2 2 2 2 2 4_SSL" xfId="15276" xr:uid="{00000000-0005-0000-0000-00002F350000}"/>
    <cellStyle name="Normal 4 2 2 2 2 2 2 5" xfId="4175" xr:uid="{00000000-0005-0000-0000-000030350000}"/>
    <cellStyle name="Normal 4 2 2 2 2 2 2 5 2" xfId="10815" xr:uid="{00000000-0005-0000-0000-000031350000}"/>
    <cellStyle name="Normal 4 2 2 2 2 2 2 5_SSL" xfId="13223" xr:uid="{00000000-0005-0000-0000-000032350000}"/>
    <cellStyle name="Normal 4 2 2 2 2 2 2 6" xfId="4986" xr:uid="{00000000-0005-0000-0000-000033350000}"/>
    <cellStyle name="Normal 4 2 2 2 2 2 2 6 2" xfId="11625" xr:uid="{00000000-0005-0000-0000-000034350000}"/>
    <cellStyle name="Normal 4 2 2 2 2 2 2 6_SSL" xfId="16726" xr:uid="{00000000-0005-0000-0000-000035350000}"/>
    <cellStyle name="Normal 4 2 2 2 2 2 2 7" xfId="5796" xr:uid="{00000000-0005-0000-0000-000036350000}"/>
    <cellStyle name="Normal 4 2 2 2 2 2 2 7 2" xfId="12434" xr:uid="{00000000-0005-0000-0000-000037350000}"/>
    <cellStyle name="Normal 4 2 2 2 2 2 2 7_SSL" xfId="15994" xr:uid="{00000000-0005-0000-0000-000038350000}"/>
    <cellStyle name="Normal 4 2 2 2 2 2 2 8" xfId="7658" xr:uid="{00000000-0005-0000-0000-000039350000}"/>
    <cellStyle name="Normal 4 2 2 2 2 2 2 9" xfId="6726" xr:uid="{00000000-0005-0000-0000-00003A350000}"/>
    <cellStyle name="Normal 4 2 2 2 2 2 2_SSL" xfId="15743" xr:uid="{00000000-0005-0000-0000-00003B350000}"/>
    <cellStyle name="Normal 4 2 2 2 2 2 3" xfId="1714" xr:uid="{00000000-0005-0000-0000-00003C350000}"/>
    <cellStyle name="Normal 4 2 2 2 2 2 3 2" xfId="8369" xr:uid="{00000000-0005-0000-0000-00003D350000}"/>
    <cellStyle name="Normal 4 2 2 2 2 2 3_SSL" xfId="12686" xr:uid="{00000000-0005-0000-0000-00003E350000}"/>
    <cellStyle name="Normal 4 2 2 2 2 2 4" xfId="2534" xr:uid="{00000000-0005-0000-0000-00003F350000}"/>
    <cellStyle name="Normal 4 2 2 2 2 2 4 2" xfId="9182" xr:uid="{00000000-0005-0000-0000-000040350000}"/>
    <cellStyle name="Normal 4 2 2 2 2 2 4_SSL" xfId="15868" xr:uid="{00000000-0005-0000-0000-000041350000}"/>
    <cellStyle name="Normal 4 2 2 2 2 2 5" xfId="3354" xr:uid="{00000000-0005-0000-0000-000042350000}"/>
    <cellStyle name="Normal 4 2 2 2 2 2 5 2" xfId="9999" xr:uid="{00000000-0005-0000-0000-000043350000}"/>
    <cellStyle name="Normal 4 2 2 2 2 2 5_SSL" xfId="14886" xr:uid="{00000000-0005-0000-0000-000044350000}"/>
    <cellStyle name="Normal 4 2 2 2 2 2 6" xfId="4174" xr:uid="{00000000-0005-0000-0000-000045350000}"/>
    <cellStyle name="Normal 4 2 2 2 2 2 6 2" xfId="10814" xr:uid="{00000000-0005-0000-0000-000046350000}"/>
    <cellStyle name="Normal 4 2 2 2 2 2 6_SSL" xfId="16299" xr:uid="{00000000-0005-0000-0000-000047350000}"/>
    <cellStyle name="Normal 4 2 2 2 2 2 7" xfId="4985" xr:uid="{00000000-0005-0000-0000-000048350000}"/>
    <cellStyle name="Normal 4 2 2 2 2 2 7 2" xfId="11624" xr:uid="{00000000-0005-0000-0000-000049350000}"/>
    <cellStyle name="Normal 4 2 2 2 2 2 7_SSL" xfId="14104" xr:uid="{00000000-0005-0000-0000-00004A350000}"/>
    <cellStyle name="Normal 4 2 2 2 2 2 8" xfId="5795" xr:uid="{00000000-0005-0000-0000-00004B350000}"/>
    <cellStyle name="Normal 4 2 2 2 2 2 8 2" xfId="12433" xr:uid="{00000000-0005-0000-0000-00004C350000}"/>
    <cellStyle name="Normal 4 2 2 2 2 2 8_SSL" xfId="17927" xr:uid="{00000000-0005-0000-0000-00004D350000}"/>
    <cellStyle name="Normal 4 2 2 2 2 2 9" xfId="7274" xr:uid="{00000000-0005-0000-0000-00004E350000}"/>
    <cellStyle name="Normal 4 2 2 2 2 2_SSL" xfId="17711" xr:uid="{00000000-0005-0000-0000-00004F350000}"/>
    <cellStyle name="Normal 4 2 2 2 2 3" xfId="603" xr:uid="{00000000-0005-0000-0000-000050350000}"/>
    <cellStyle name="Normal 4 2 2 2 2 3 2" xfId="1716" xr:uid="{00000000-0005-0000-0000-000051350000}"/>
    <cellStyle name="Normal 4 2 2 2 2 3 2 2" xfId="8371" xr:uid="{00000000-0005-0000-0000-000052350000}"/>
    <cellStyle name="Normal 4 2 2 2 2 3 2_SSL" xfId="17485" xr:uid="{00000000-0005-0000-0000-000053350000}"/>
    <cellStyle name="Normal 4 2 2 2 2 3 3" xfId="2536" xr:uid="{00000000-0005-0000-0000-000054350000}"/>
    <cellStyle name="Normal 4 2 2 2 2 3 3 2" xfId="9184" xr:uid="{00000000-0005-0000-0000-000055350000}"/>
    <cellStyle name="Normal 4 2 2 2 2 3 3_SSL" xfId="14275" xr:uid="{00000000-0005-0000-0000-000056350000}"/>
    <cellStyle name="Normal 4 2 2 2 2 3 4" xfId="3356" xr:uid="{00000000-0005-0000-0000-000057350000}"/>
    <cellStyle name="Normal 4 2 2 2 2 3 4 2" xfId="10001" xr:uid="{00000000-0005-0000-0000-000058350000}"/>
    <cellStyle name="Normal 4 2 2 2 2 3 4_SSL" xfId="16026" xr:uid="{00000000-0005-0000-0000-000059350000}"/>
    <cellStyle name="Normal 4 2 2 2 2 3 5" xfId="4176" xr:uid="{00000000-0005-0000-0000-00005A350000}"/>
    <cellStyle name="Normal 4 2 2 2 2 3 5 2" xfId="10816" xr:uid="{00000000-0005-0000-0000-00005B350000}"/>
    <cellStyle name="Normal 4 2 2 2 2 3 5_SSL" xfId="16362" xr:uid="{00000000-0005-0000-0000-00005C350000}"/>
    <cellStyle name="Normal 4 2 2 2 2 3 6" xfId="4987" xr:uid="{00000000-0005-0000-0000-00005D350000}"/>
    <cellStyle name="Normal 4 2 2 2 2 3 6 2" xfId="11626" xr:uid="{00000000-0005-0000-0000-00005E350000}"/>
    <cellStyle name="Normal 4 2 2 2 2 3 6_SSL" xfId="12775" xr:uid="{00000000-0005-0000-0000-00005F350000}"/>
    <cellStyle name="Normal 4 2 2 2 2 3 7" xfId="5797" xr:uid="{00000000-0005-0000-0000-000060350000}"/>
    <cellStyle name="Normal 4 2 2 2 2 3 7 2" xfId="12435" xr:uid="{00000000-0005-0000-0000-000061350000}"/>
    <cellStyle name="Normal 4 2 2 2 2 3 7_SSL" xfId="14049" xr:uid="{00000000-0005-0000-0000-000062350000}"/>
    <cellStyle name="Normal 4 2 2 2 2 3 8" xfId="7459" xr:uid="{00000000-0005-0000-0000-000063350000}"/>
    <cellStyle name="Normal 4 2 2 2 2 3 9" xfId="6727" xr:uid="{00000000-0005-0000-0000-000064350000}"/>
    <cellStyle name="Normal 4 2 2 2 2 3_SSL" xfId="13452" xr:uid="{00000000-0005-0000-0000-000065350000}"/>
    <cellStyle name="Normal 4 2 2 2 2 4" xfId="1713" xr:uid="{00000000-0005-0000-0000-000066350000}"/>
    <cellStyle name="Normal 4 2 2 2 2 4 2" xfId="8368" xr:uid="{00000000-0005-0000-0000-000067350000}"/>
    <cellStyle name="Normal 4 2 2 2 2 4_SSL" xfId="12910" xr:uid="{00000000-0005-0000-0000-000068350000}"/>
    <cellStyle name="Normal 4 2 2 2 2 5" xfId="2533" xr:uid="{00000000-0005-0000-0000-000069350000}"/>
    <cellStyle name="Normal 4 2 2 2 2 5 2" xfId="9181" xr:uid="{00000000-0005-0000-0000-00006A350000}"/>
    <cellStyle name="Normal 4 2 2 2 2 5_SSL" xfId="17770" xr:uid="{00000000-0005-0000-0000-00006B350000}"/>
    <cellStyle name="Normal 4 2 2 2 2 6" xfId="3353" xr:uid="{00000000-0005-0000-0000-00006C350000}"/>
    <cellStyle name="Normal 4 2 2 2 2 6 2" xfId="9998" xr:uid="{00000000-0005-0000-0000-00006D350000}"/>
    <cellStyle name="Normal 4 2 2 2 2 6_SSL" xfId="16637" xr:uid="{00000000-0005-0000-0000-00006E350000}"/>
    <cellStyle name="Normal 4 2 2 2 2 7" xfId="4173" xr:uid="{00000000-0005-0000-0000-00006F350000}"/>
    <cellStyle name="Normal 4 2 2 2 2 7 2" xfId="10813" xr:uid="{00000000-0005-0000-0000-000070350000}"/>
    <cellStyle name="Normal 4 2 2 2 2 7_SSL" xfId="17216" xr:uid="{00000000-0005-0000-0000-000071350000}"/>
    <cellStyle name="Normal 4 2 2 2 2 8" xfId="4984" xr:uid="{00000000-0005-0000-0000-000072350000}"/>
    <cellStyle name="Normal 4 2 2 2 2 8 2" xfId="11623" xr:uid="{00000000-0005-0000-0000-000073350000}"/>
    <cellStyle name="Normal 4 2 2 2 2 8_SSL" xfId="14342" xr:uid="{00000000-0005-0000-0000-000074350000}"/>
    <cellStyle name="Normal 4 2 2 2 2 9" xfId="5794" xr:uid="{00000000-0005-0000-0000-000075350000}"/>
    <cellStyle name="Normal 4 2 2 2 2 9 2" xfId="12432" xr:uid="{00000000-0005-0000-0000-000076350000}"/>
    <cellStyle name="Normal 4 2 2 2 2 9_SSL" xfId="6687" xr:uid="{00000000-0005-0000-0000-000077350000}"/>
    <cellStyle name="Normal 4 2 2 2 2_SSL" xfId="16210" xr:uid="{00000000-0005-0000-0000-000078350000}"/>
    <cellStyle name="Normal 4 2 2 2 3" xfId="413" xr:uid="{00000000-0005-0000-0000-000079350000}"/>
    <cellStyle name="Normal 4 2 2 2 3 10" xfId="6728" xr:uid="{00000000-0005-0000-0000-00007A350000}"/>
    <cellStyle name="Normal 4 2 2 2 3 2" xfId="801" xr:uid="{00000000-0005-0000-0000-00007B350000}"/>
    <cellStyle name="Normal 4 2 2 2 3 2 2" xfId="1718" xr:uid="{00000000-0005-0000-0000-00007C350000}"/>
    <cellStyle name="Normal 4 2 2 2 3 2 2 2" xfId="8373" xr:uid="{00000000-0005-0000-0000-00007D350000}"/>
    <cellStyle name="Normal 4 2 2 2 3 2 2_SSL" xfId="13591" xr:uid="{00000000-0005-0000-0000-00007E350000}"/>
    <cellStyle name="Normal 4 2 2 2 3 2 3" xfId="2538" xr:uid="{00000000-0005-0000-0000-00007F350000}"/>
    <cellStyle name="Normal 4 2 2 2 3 2 3 2" xfId="9186" xr:uid="{00000000-0005-0000-0000-000080350000}"/>
    <cellStyle name="Normal 4 2 2 2 3 2 3_SSL" xfId="13605" xr:uid="{00000000-0005-0000-0000-000081350000}"/>
    <cellStyle name="Normal 4 2 2 2 3 2 4" xfId="3358" xr:uid="{00000000-0005-0000-0000-000082350000}"/>
    <cellStyle name="Normal 4 2 2 2 3 2 4 2" xfId="10003" xr:uid="{00000000-0005-0000-0000-000083350000}"/>
    <cellStyle name="Normal 4 2 2 2 3 2 4_SSL" xfId="17321" xr:uid="{00000000-0005-0000-0000-000084350000}"/>
    <cellStyle name="Normal 4 2 2 2 3 2 5" xfId="4178" xr:uid="{00000000-0005-0000-0000-000085350000}"/>
    <cellStyle name="Normal 4 2 2 2 3 2 5 2" xfId="10818" xr:uid="{00000000-0005-0000-0000-000086350000}"/>
    <cellStyle name="Normal 4 2 2 2 3 2 5_SSL" xfId="15626" xr:uid="{00000000-0005-0000-0000-000087350000}"/>
    <cellStyle name="Normal 4 2 2 2 3 2 6" xfId="4989" xr:uid="{00000000-0005-0000-0000-000088350000}"/>
    <cellStyle name="Normal 4 2 2 2 3 2 6 2" xfId="11628" xr:uid="{00000000-0005-0000-0000-000089350000}"/>
    <cellStyle name="Normal 4 2 2 2 3 2 6_SSL" xfId="13003" xr:uid="{00000000-0005-0000-0000-00008A350000}"/>
    <cellStyle name="Normal 4 2 2 2 3 2 7" xfId="5799" xr:uid="{00000000-0005-0000-0000-00008B350000}"/>
    <cellStyle name="Normal 4 2 2 2 3 2 7 2" xfId="12437" xr:uid="{00000000-0005-0000-0000-00008C350000}"/>
    <cellStyle name="Normal 4 2 2 2 3 2 7_SSL" xfId="18015" xr:uid="{00000000-0005-0000-0000-00008D350000}"/>
    <cellStyle name="Normal 4 2 2 2 3 2 8" xfId="7657" xr:uid="{00000000-0005-0000-0000-00008E350000}"/>
    <cellStyle name="Normal 4 2 2 2 3 2 9" xfId="6729" xr:uid="{00000000-0005-0000-0000-00008F350000}"/>
    <cellStyle name="Normal 4 2 2 2 3 2_SSL" xfId="17148" xr:uid="{00000000-0005-0000-0000-000090350000}"/>
    <cellStyle name="Normal 4 2 2 2 3 3" xfId="1717" xr:uid="{00000000-0005-0000-0000-000091350000}"/>
    <cellStyle name="Normal 4 2 2 2 3 3 2" xfId="8372" xr:uid="{00000000-0005-0000-0000-000092350000}"/>
    <cellStyle name="Normal 4 2 2 2 3 3_SSL" xfId="17751" xr:uid="{00000000-0005-0000-0000-000093350000}"/>
    <cellStyle name="Normal 4 2 2 2 3 4" xfId="2537" xr:uid="{00000000-0005-0000-0000-000094350000}"/>
    <cellStyle name="Normal 4 2 2 2 3 4 2" xfId="9185" xr:uid="{00000000-0005-0000-0000-000095350000}"/>
    <cellStyle name="Normal 4 2 2 2 3 4_SSL" xfId="17419" xr:uid="{00000000-0005-0000-0000-000096350000}"/>
    <cellStyle name="Normal 4 2 2 2 3 5" xfId="3357" xr:uid="{00000000-0005-0000-0000-000097350000}"/>
    <cellStyle name="Normal 4 2 2 2 3 5 2" xfId="10002" xr:uid="{00000000-0005-0000-0000-000098350000}"/>
    <cellStyle name="Normal 4 2 2 2 3 5_SSL" xfId="14173" xr:uid="{00000000-0005-0000-0000-000099350000}"/>
    <cellStyle name="Normal 4 2 2 2 3 6" xfId="4177" xr:uid="{00000000-0005-0000-0000-00009A350000}"/>
    <cellStyle name="Normal 4 2 2 2 3 6 2" xfId="10817" xr:uid="{00000000-0005-0000-0000-00009B350000}"/>
    <cellStyle name="Normal 4 2 2 2 3 6_SSL" xfId="14912" xr:uid="{00000000-0005-0000-0000-00009C350000}"/>
    <cellStyle name="Normal 4 2 2 2 3 7" xfId="4988" xr:uid="{00000000-0005-0000-0000-00009D350000}"/>
    <cellStyle name="Normal 4 2 2 2 3 7 2" xfId="11627" xr:uid="{00000000-0005-0000-0000-00009E350000}"/>
    <cellStyle name="Normal 4 2 2 2 3 7_SSL" xfId="17357" xr:uid="{00000000-0005-0000-0000-00009F350000}"/>
    <cellStyle name="Normal 4 2 2 2 3 8" xfId="5798" xr:uid="{00000000-0005-0000-0000-0000A0350000}"/>
    <cellStyle name="Normal 4 2 2 2 3 8 2" xfId="12436" xr:uid="{00000000-0005-0000-0000-0000A1350000}"/>
    <cellStyle name="Normal 4 2 2 2 3 8_SSL" xfId="12663" xr:uid="{00000000-0005-0000-0000-0000A2350000}"/>
    <cellStyle name="Normal 4 2 2 2 3 9" xfId="7273" xr:uid="{00000000-0005-0000-0000-0000A3350000}"/>
    <cellStyle name="Normal 4 2 2 2 3_SSL" xfId="13819" xr:uid="{00000000-0005-0000-0000-0000A4350000}"/>
    <cellStyle name="Normal 4 2 2 2 4" xfId="507" xr:uid="{00000000-0005-0000-0000-0000A5350000}"/>
    <cellStyle name="Normal 4 2 2 2 4 2" xfId="1719" xr:uid="{00000000-0005-0000-0000-0000A6350000}"/>
    <cellStyle name="Normal 4 2 2 2 4 2 2" xfId="8374" xr:uid="{00000000-0005-0000-0000-0000A7350000}"/>
    <cellStyle name="Normal 4 2 2 2 4 2_SSL" xfId="16660" xr:uid="{00000000-0005-0000-0000-0000A8350000}"/>
    <cellStyle name="Normal 4 2 2 2 4 3" xfId="2539" xr:uid="{00000000-0005-0000-0000-0000A9350000}"/>
    <cellStyle name="Normal 4 2 2 2 4 3 2" xfId="9187" xr:uid="{00000000-0005-0000-0000-0000AA350000}"/>
    <cellStyle name="Normal 4 2 2 2 4 3_SSL" xfId="15251" xr:uid="{00000000-0005-0000-0000-0000AB350000}"/>
    <cellStyle name="Normal 4 2 2 2 4 4" xfId="3359" xr:uid="{00000000-0005-0000-0000-0000AC350000}"/>
    <cellStyle name="Normal 4 2 2 2 4 4 2" xfId="10004" xr:uid="{00000000-0005-0000-0000-0000AD350000}"/>
    <cellStyle name="Normal 4 2 2 2 4 4_SSL" xfId="16704" xr:uid="{00000000-0005-0000-0000-0000AE350000}"/>
    <cellStyle name="Normal 4 2 2 2 4 5" xfId="4179" xr:uid="{00000000-0005-0000-0000-0000AF350000}"/>
    <cellStyle name="Normal 4 2 2 2 4 5 2" xfId="10819" xr:uid="{00000000-0005-0000-0000-0000B0350000}"/>
    <cellStyle name="Normal 4 2 2 2 4 5_SSL" xfId="17413" xr:uid="{00000000-0005-0000-0000-0000B1350000}"/>
    <cellStyle name="Normal 4 2 2 2 4 6" xfId="4990" xr:uid="{00000000-0005-0000-0000-0000B2350000}"/>
    <cellStyle name="Normal 4 2 2 2 4 6 2" xfId="11629" xr:uid="{00000000-0005-0000-0000-0000B3350000}"/>
    <cellStyle name="Normal 4 2 2 2 4 6_SSL" xfId="16886" xr:uid="{00000000-0005-0000-0000-0000B4350000}"/>
    <cellStyle name="Normal 4 2 2 2 4 7" xfId="5800" xr:uid="{00000000-0005-0000-0000-0000B5350000}"/>
    <cellStyle name="Normal 4 2 2 2 4 7 2" xfId="12438" xr:uid="{00000000-0005-0000-0000-0000B6350000}"/>
    <cellStyle name="Normal 4 2 2 2 4 7_SSL" xfId="13796" xr:uid="{00000000-0005-0000-0000-0000B7350000}"/>
    <cellStyle name="Normal 4 2 2 2 4 8" xfId="7363" xr:uid="{00000000-0005-0000-0000-0000B8350000}"/>
    <cellStyle name="Normal 4 2 2 2 4 9" xfId="6730" xr:uid="{00000000-0005-0000-0000-0000B9350000}"/>
    <cellStyle name="Normal 4 2 2 2 4_SSL" xfId="13501" xr:uid="{00000000-0005-0000-0000-0000BA350000}"/>
    <cellStyle name="Normal 4 2 2 2 5" xfId="1712" xr:uid="{00000000-0005-0000-0000-0000BB350000}"/>
    <cellStyle name="Normal 4 2 2 2 5 2" xfId="8367" xr:uid="{00000000-0005-0000-0000-0000BC350000}"/>
    <cellStyle name="Normal 4 2 2 2 5_SSL" xfId="13304" xr:uid="{00000000-0005-0000-0000-0000BD350000}"/>
    <cellStyle name="Normal 4 2 2 2 6" xfId="2532" xr:uid="{00000000-0005-0000-0000-0000BE350000}"/>
    <cellStyle name="Normal 4 2 2 2 6 2" xfId="9180" xr:uid="{00000000-0005-0000-0000-0000BF350000}"/>
    <cellStyle name="Normal 4 2 2 2 6_SSL" xfId="15085" xr:uid="{00000000-0005-0000-0000-0000C0350000}"/>
    <cellStyle name="Normal 4 2 2 2 7" xfId="3352" xr:uid="{00000000-0005-0000-0000-0000C1350000}"/>
    <cellStyle name="Normal 4 2 2 2 7 2" xfId="9997" xr:uid="{00000000-0005-0000-0000-0000C2350000}"/>
    <cellStyle name="Normal 4 2 2 2 7_SSL" xfId="12628" xr:uid="{00000000-0005-0000-0000-0000C3350000}"/>
    <cellStyle name="Normal 4 2 2 2 8" xfId="4172" xr:uid="{00000000-0005-0000-0000-0000C4350000}"/>
    <cellStyle name="Normal 4 2 2 2 8 2" xfId="10812" xr:uid="{00000000-0005-0000-0000-0000C5350000}"/>
    <cellStyle name="Normal 4 2 2 2 8_SSL" xfId="17939" xr:uid="{00000000-0005-0000-0000-0000C6350000}"/>
    <cellStyle name="Normal 4 2 2 2 9" xfId="4983" xr:uid="{00000000-0005-0000-0000-0000C7350000}"/>
    <cellStyle name="Normal 4 2 2 2 9 2" xfId="11622" xr:uid="{00000000-0005-0000-0000-0000C8350000}"/>
    <cellStyle name="Normal 4 2 2 2 9_SSL" xfId="15996" xr:uid="{00000000-0005-0000-0000-0000C9350000}"/>
    <cellStyle name="Normal 4 2 2 2_SSL" xfId="14587" xr:uid="{00000000-0005-0000-0000-0000CA350000}"/>
    <cellStyle name="Normal 4 2 2 3" xfId="125" xr:uid="{00000000-0005-0000-0000-0000CB350000}"/>
    <cellStyle name="Normal 4 2 2 3 10" xfId="5801" xr:uid="{00000000-0005-0000-0000-0000CC350000}"/>
    <cellStyle name="Normal 4 2 2 3 10 2" xfId="12439" xr:uid="{00000000-0005-0000-0000-0000CD350000}"/>
    <cellStyle name="Normal 4 2 2 3 10_SSL" xfId="15929" xr:uid="{00000000-0005-0000-0000-0000CE350000}"/>
    <cellStyle name="Normal 4 2 2 3 11" xfId="7002" xr:uid="{00000000-0005-0000-0000-0000CF350000}"/>
    <cellStyle name="Normal 4 2 2 3 12" xfId="6731" xr:uid="{00000000-0005-0000-0000-0000D0350000}"/>
    <cellStyle name="Normal 4 2 2 3 2" xfId="221" xr:uid="{00000000-0005-0000-0000-0000D1350000}"/>
    <cellStyle name="Normal 4 2 2 3 2 10" xfId="7098" xr:uid="{00000000-0005-0000-0000-0000D2350000}"/>
    <cellStyle name="Normal 4 2 2 3 2 11" xfId="6732" xr:uid="{00000000-0005-0000-0000-0000D3350000}"/>
    <cellStyle name="Normal 4 2 2 3 2 2" xfId="416" xr:uid="{00000000-0005-0000-0000-0000D4350000}"/>
    <cellStyle name="Normal 4 2 2 3 2 2 10" xfId="6733" xr:uid="{00000000-0005-0000-0000-0000D5350000}"/>
    <cellStyle name="Normal 4 2 2 3 2 2 2" xfId="804" xr:uid="{00000000-0005-0000-0000-0000D6350000}"/>
    <cellStyle name="Normal 4 2 2 3 2 2 2 2" xfId="1723" xr:uid="{00000000-0005-0000-0000-0000D7350000}"/>
    <cellStyle name="Normal 4 2 2 3 2 2 2 2 2" xfId="8378" xr:uid="{00000000-0005-0000-0000-0000D8350000}"/>
    <cellStyle name="Normal 4 2 2 3 2 2 2 2_SSL" xfId="15197" xr:uid="{00000000-0005-0000-0000-0000D9350000}"/>
    <cellStyle name="Normal 4 2 2 3 2 2 2 3" xfId="2543" xr:uid="{00000000-0005-0000-0000-0000DA350000}"/>
    <cellStyle name="Normal 4 2 2 3 2 2 2 3 2" xfId="9191" xr:uid="{00000000-0005-0000-0000-0000DB350000}"/>
    <cellStyle name="Normal 4 2 2 3 2 2 2 3_SSL" xfId="17885" xr:uid="{00000000-0005-0000-0000-0000DC350000}"/>
    <cellStyle name="Normal 4 2 2 3 2 2 2 4" xfId="3363" xr:uid="{00000000-0005-0000-0000-0000DD350000}"/>
    <cellStyle name="Normal 4 2 2 3 2 2 2 4 2" xfId="10008" xr:uid="{00000000-0005-0000-0000-0000DE350000}"/>
    <cellStyle name="Normal 4 2 2 3 2 2 2 4_SSL" xfId="13303" xr:uid="{00000000-0005-0000-0000-0000DF350000}"/>
    <cellStyle name="Normal 4 2 2 3 2 2 2 5" xfId="4183" xr:uid="{00000000-0005-0000-0000-0000E0350000}"/>
    <cellStyle name="Normal 4 2 2 3 2 2 2 5 2" xfId="10823" xr:uid="{00000000-0005-0000-0000-0000E1350000}"/>
    <cellStyle name="Normal 4 2 2 3 2 2 2 5_SSL" xfId="15338" xr:uid="{00000000-0005-0000-0000-0000E2350000}"/>
    <cellStyle name="Normal 4 2 2 3 2 2 2 6" xfId="4994" xr:uid="{00000000-0005-0000-0000-0000E3350000}"/>
    <cellStyle name="Normal 4 2 2 3 2 2 2 6 2" xfId="11633" xr:uid="{00000000-0005-0000-0000-0000E4350000}"/>
    <cellStyle name="Normal 4 2 2 3 2 2 2 6_SSL" xfId="16415" xr:uid="{00000000-0005-0000-0000-0000E5350000}"/>
    <cellStyle name="Normal 4 2 2 3 2 2 2 7" xfId="5804" xr:uid="{00000000-0005-0000-0000-0000E6350000}"/>
    <cellStyle name="Normal 4 2 2 3 2 2 2 7 2" xfId="12442" xr:uid="{00000000-0005-0000-0000-0000E7350000}"/>
    <cellStyle name="Normal 4 2 2 3 2 2 2 7_SSL" xfId="14227" xr:uid="{00000000-0005-0000-0000-0000E8350000}"/>
    <cellStyle name="Normal 4 2 2 3 2 2 2 8" xfId="7660" xr:uid="{00000000-0005-0000-0000-0000E9350000}"/>
    <cellStyle name="Normal 4 2 2 3 2 2 2 9" xfId="6734" xr:uid="{00000000-0005-0000-0000-0000EA350000}"/>
    <cellStyle name="Normal 4 2 2 3 2 2 2_SSL" xfId="13798" xr:uid="{00000000-0005-0000-0000-0000EB350000}"/>
    <cellStyle name="Normal 4 2 2 3 2 2 3" xfId="1722" xr:uid="{00000000-0005-0000-0000-0000EC350000}"/>
    <cellStyle name="Normal 4 2 2 3 2 2 3 2" xfId="8377" xr:uid="{00000000-0005-0000-0000-0000ED350000}"/>
    <cellStyle name="Normal 4 2 2 3 2 2 3_SSL" xfId="16840" xr:uid="{00000000-0005-0000-0000-0000EE350000}"/>
    <cellStyle name="Normal 4 2 2 3 2 2 4" xfId="2542" xr:uid="{00000000-0005-0000-0000-0000EF350000}"/>
    <cellStyle name="Normal 4 2 2 3 2 2 4 2" xfId="9190" xr:uid="{00000000-0005-0000-0000-0000F0350000}"/>
    <cellStyle name="Normal 4 2 2 3 2 2 4_SSL" xfId="15998" xr:uid="{00000000-0005-0000-0000-0000F1350000}"/>
    <cellStyle name="Normal 4 2 2 3 2 2 5" xfId="3362" xr:uid="{00000000-0005-0000-0000-0000F2350000}"/>
    <cellStyle name="Normal 4 2 2 3 2 2 5 2" xfId="10007" xr:uid="{00000000-0005-0000-0000-0000F3350000}"/>
    <cellStyle name="Normal 4 2 2 3 2 2 5_SSL" xfId="17909" xr:uid="{00000000-0005-0000-0000-0000F4350000}"/>
    <cellStyle name="Normal 4 2 2 3 2 2 6" xfId="4182" xr:uid="{00000000-0005-0000-0000-0000F5350000}"/>
    <cellStyle name="Normal 4 2 2 3 2 2 6 2" xfId="10822" xr:uid="{00000000-0005-0000-0000-0000F6350000}"/>
    <cellStyle name="Normal 4 2 2 3 2 2 6_SSL" xfId="14260" xr:uid="{00000000-0005-0000-0000-0000F7350000}"/>
    <cellStyle name="Normal 4 2 2 3 2 2 7" xfId="4993" xr:uid="{00000000-0005-0000-0000-0000F8350000}"/>
    <cellStyle name="Normal 4 2 2 3 2 2 7 2" xfId="11632" xr:uid="{00000000-0005-0000-0000-0000F9350000}"/>
    <cellStyle name="Normal 4 2 2 3 2 2 7_SSL" xfId="16997" xr:uid="{00000000-0005-0000-0000-0000FA350000}"/>
    <cellStyle name="Normal 4 2 2 3 2 2 8" xfId="5803" xr:uid="{00000000-0005-0000-0000-0000FB350000}"/>
    <cellStyle name="Normal 4 2 2 3 2 2 8 2" xfId="12441" xr:uid="{00000000-0005-0000-0000-0000FC350000}"/>
    <cellStyle name="Normal 4 2 2 3 2 2 8_SSL" xfId="16853" xr:uid="{00000000-0005-0000-0000-0000FD350000}"/>
    <cellStyle name="Normal 4 2 2 3 2 2 9" xfId="7276" xr:uid="{00000000-0005-0000-0000-0000FE350000}"/>
    <cellStyle name="Normal 4 2 2 3 2 2_SSL" xfId="16012" xr:uid="{00000000-0005-0000-0000-0000FF350000}"/>
    <cellStyle name="Normal 4 2 2 3 2 3" xfId="626" xr:uid="{00000000-0005-0000-0000-000000360000}"/>
    <cellStyle name="Normal 4 2 2 3 2 3 2" xfId="1724" xr:uid="{00000000-0005-0000-0000-000001360000}"/>
    <cellStyle name="Normal 4 2 2 3 2 3 2 2" xfId="8379" xr:uid="{00000000-0005-0000-0000-000002360000}"/>
    <cellStyle name="Normal 4 2 2 3 2 3 2_SSL" xfId="13432" xr:uid="{00000000-0005-0000-0000-000003360000}"/>
    <cellStyle name="Normal 4 2 2 3 2 3 3" xfId="2544" xr:uid="{00000000-0005-0000-0000-000004360000}"/>
    <cellStyle name="Normal 4 2 2 3 2 3 3 2" xfId="9192" xr:uid="{00000000-0005-0000-0000-000005360000}"/>
    <cellStyle name="Normal 4 2 2 3 2 3 3_SSL" xfId="15188" xr:uid="{00000000-0005-0000-0000-000006360000}"/>
    <cellStyle name="Normal 4 2 2 3 2 3 4" xfId="3364" xr:uid="{00000000-0005-0000-0000-000007360000}"/>
    <cellStyle name="Normal 4 2 2 3 2 3 4 2" xfId="10009" xr:uid="{00000000-0005-0000-0000-000008360000}"/>
    <cellStyle name="Normal 4 2 2 3 2 3 4_SSL" xfId="15070" xr:uid="{00000000-0005-0000-0000-000009360000}"/>
    <cellStyle name="Normal 4 2 2 3 2 3 5" xfId="4184" xr:uid="{00000000-0005-0000-0000-00000A360000}"/>
    <cellStyle name="Normal 4 2 2 3 2 3 5 2" xfId="10824" xr:uid="{00000000-0005-0000-0000-00000B360000}"/>
    <cellStyle name="Normal 4 2 2 3 2 3 5_SSL" xfId="12715" xr:uid="{00000000-0005-0000-0000-00000C360000}"/>
    <cellStyle name="Normal 4 2 2 3 2 3 6" xfId="4995" xr:uid="{00000000-0005-0000-0000-00000D360000}"/>
    <cellStyle name="Normal 4 2 2 3 2 3 6 2" xfId="11634" xr:uid="{00000000-0005-0000-0000-00000E360000}"/>
    <cellStyle name="Normal 4 2 2 3 2 3 6_SSL" xfId="15003" xr:uid="{00000000-0005-0000-0000-00000F360000}"/>
    <cellStyle name="Normal 4 2 2 3 2 3 7" xfId="5805" xr:uid="{00000000-0005-0000-0000-000010360000}"/>
    <cellStyle name="Normal 4 2 2 3 2 3 7 2" xfId="12443" xr:uid="{00000000-0005-0000-0000-000011360000}"/>
    <cellStyle name="Normal 4 2 2 3 2 3 7_SSL" xfId="14649" xr:uid="{00000000-0005-0000-0000-000012360000}"/>
    <cellStyle name="Normal 4 2 2 3 2 3 8" xfId="7482" xr:uid="{00000000-0005-0000-0000-000013360000}"/>
    <cellStyle name="Normal 4 2 2 3 2 3 9" xfId="6735" xr:uid="{00000000-0005-0000-0000-000014360000}"/>
    <cellStyle name="Normal 4 2 2 3 2 3_SSL" xfId="16594" xr:uid="{00000000-0005-0000-0000-000015360000}"/>
    <cellStyle name="Normal 4 2 2 3 2 4" xfId="1721" xr:uid="{00000000-0005-0000-0000-000016360000}"/>
    <cellStyle name="Normal 4 2 2 3 2 4 2" xfId="8376" xr:uid="{00000000-0005-0000-0000-000017360000}"/>
    <cellStyle name="Normal 4 2 2 3 2 4_SSL" xfId="14927" xr:uid="{00000000-0005-0000-0000-000018360000}"/>
    <cellStyle name="Normal 4 2 2 3 2 5" xfId="2541" xr:uid="{00000000-0005-0000-0000-000019360000}"/>
    <cellStyle name="Normal 4 2 2 3 2 5 2" xfId="9189" xr:uid="{00000000-0005-0000-0000-00001A360000}"/>
    <cellStyle name="Normal 4 2 2 3 2 5_SSL" xfId="15316" xr:uid="{00000000-0005-0000-0000-00001B360000}"/>
    <cellStyle name="Normal 4 2 2 3 2 6" xfId="3361" xr:uid="{00000000-0005-0000-0000-00001C360000}"/>
    <cellStyle name="Normal 4 2 2 3 2 6 2" xfId="10006" xr:uid="{00000000-0005-0000-0000-00001D360000}"/>
    <cellStyle name="Normal 4 2 2 3 2 6_SSL" xfId="15541" xr:uid="{00000000-0005-0000-0000-00001E360000}"/>
    <cellStyle name="Normal 4 2 2 3 2 7" xfId="4181" xr:uid="{00000000-0005-0000-0000-00001F360000}"/>
    <cellStyle name="Normal 4 2 2 3 2 7 2" xfId="10821" xr:uid="{00000000-0005-0000-0000-000020360000}"/>
    <cellStyle name="Normal 4 2 2 3 2 7_SSL" xfId="16259" xr:uid="{00000000-0005-0000-0000-000021360000}"/>
    <cellStyle name="Normal 4 2 2 3 2 8" xfId="4992" xr:uid="{00000000-0005-0000-0000-000022360000}"/>
    <cellStyle name="Normal 4 2 2 3 2 8 2" xfId="11631" xr:uid="{00000000-0005-0000-0000-000023360000}"/>
    <cellStyle name="Normal 4 2 2 3 2 8_SSL" xfId="14314" xr:uid="{00000000-0005-0000-0000-000024360000}"/>
    <cellStyle name="Normal 4 2 2 3 2 9" xfId="5802" xr:uid="{00000000-0005-0000-0000-000025360000}"/>
    <cellStyle name="Normal 4 2 2 3 2 9 2" xfId="12440" xr:uid="{00000000-0005-0000-0000-000026360000}"/>
    <cellStyle name="Normal 4 2 2 3 2 9_SSL" xfId="17096" xr:uid="{00000000-0005-0000-0000-000027360000}"/>
    <cellStyle name="Normal 4 2 2 3 2_SSL" xfId="12966" xr:uid="{00000000-0005-0000-0000-000028360000}"/>
    <cellStyle name="Normal 4 2 2 3 3" xfId="415" xr:uid="{00000000-0005-0000-0000-000029360000}"/>
    <cellStyle name="Normal 4 2 2 3 3 10" xfId="6736" xr:uid="{00000000-0005-0000-0000-00002A360000}"/>
    <cellStyle name="Normal 4 2 2 3 3 2" xfId="803" xr:uid="{00000000-0005-0000-0000-00002B360000}"/>
    <cellStyle name="Normal 4 2 2 3 3 2 2" xfId="1726" xr:uid="{00000000-0005-0000-0000-00002C360000}"/>
    <cellStyle name="Normal 4 2 2 3 3 2 2 2" xfId="8381" xr:uid="{00000000-0005-0000-0000-00002D360000}"/>
    <cellStyle name="Normal 4 2 2 3 3 2 2_SSL" xfId="14231" xr:uid="{00000000-0005-0000-0000-00002E360000}"/>
    <cellStyle name="Normal 4 2 2 3 3 2 3" xfId="2546" xr:uid="{00000000-0005-0000-0000-00002F360000}"/>
    <cellStyle name="Normal 4 2 2 3 3 2 3 2" xfId="9194" xr:uid="{00000000-0005-0000-0000-000030360000}"/>
    <cellStyle name="Normal 4 2 2 3 3 2 3_SSL" xfId="17255" xr:uid="{00000000-0005-0000-0000-000031360000}"/>
    <cellStyle name="Normal 4 2 2 3 3 2 4" xfId="3366" xr:uid="{00000000-0005-0000-0000-000032360000}"/>
    <cellStyle name="Normal 4 2 2 3 3 2 4 2" xfId="10011" xr:uid="{00000000-0005-0000-0000-000033360000}"/>
    <cellStyle name="Normal 4 2 2 3 3 2 4_SSL" xfId="14856" xr:uid="{00000000-0005-0000-0000-000034360000}"/>
    <cellStyle name="Normal 4 2 2 3 3 2 5" xfId="4186" xr:uid="{00000000-0005-0000-0000-000035360000}"/>
    <cellStyle name="Normal 4 2 2 3 3 2 5 2" xfId="10826" xr:uid="{00000000-0005-0000-0000-000036360000}"/>
    <cellStyle name="Normal 4 2 2 3 3 2 5_SSL" xfId="12771" xr:uid="{00000000-0005-0000-0000-000037360000}"/>
    <cellStyle name="Normal 4 2 2 3 3 2 6" xfId="4997" xr:uid="{00000000-0005-0000-0000-000038360000}"/>
    <cellStyle name="Normal 4 2 2 3 3 2 6 2" xfId="11636" xr:uid="{00000000-0005-0000-0000-000039360000}"/>
    <cellStyle name="Normal 4 2 2 3 3 2 6_SSL" xfId="13738" xr:uid="{00000000-0005-0000-0000-00003A360000}"/>
    <cellStyle name="Normal 4 2 2 3 3 2 7" xfId="5807" xr:uid="{00000000-0005-0000-0000-00003B360000}"/>
    <cellStyle name="Normal 4 2 2 3 3 2 7 2" xfId="12445" xr:uid="{00000000-0005-0000-0000-00003C360000}"/>
    <cellStyle name="Normal 4 2 2 3 3 2 7_SSL" xfId="14286" xr:uid="{00000000-0005-0000-0000-00003D360000}"/>
    <cellStyle name="Normal 4 2 2 3 3 2 8" xfId="7659" xr:uid="{00000000-0005-0000-0000-00003E360000}"/>
    <cellStyle name="Normal 4 2 2 3 3 2 9" xfId="6737" xr:uid="{00000000-0005-0000-0000-00003F360000}"/>
    <cellStyle name="Normal 4 2 2 3 3 2_SSL" xfId="17426" xr:uid="{00000000-0005-0000-0000-000040360000}"/>
    <cellStyle name="Normal 4 2 2 3 3 3" xfId="1725" xr:uid="{00000000-0005-0000-0000-000041360000}"/>
    <cellStyle name="Normal 4 2 2 3 3 3 2" xfId="8380" xr:uid="{00000000-0005-0000-0000-000042360000}"/>
    <cellStyle name="Normal 4 2 2 3 3 3_SSL" xfId="13118" xr:uid="{00000000-0005-0000-0000-000043360000}"/>
    <cellStyle name="Normal 4 2 2 3 3 4" xfId="2545" xr:uid="{00000000-0005-0000-0000-000044360000}"/>
    <cellStyle name="Normal 4 2 2 3 3 4 2" xfId="9193" xr:uid="{00000000-0005-0000-0000-000045360000}"/>
    <cellStyle name="Normal 4 2 2 3 3 4_SSL" xfId="16969" xr:uid="{00000000-0005-0000-0000-000046360000}"/>
    <cellStyle name="Normal 4 2 2 3 3 5" xfId="3365" xr:uid="{00000000-0005-0000-0000-000047360000}"/>
    <cellStyle name="Normal 4 2 2 3 3 5 2" xfId="10010" xr:uid="{00000000-0005-0000-0000-000048360000}"/>
    <cellStyle name="Normal 4 2 2 3 3 5_SSL" xfId="15392" xr:uid="{00000000-0005-0000-0000-000049360000}"/>
    <cellStyle name="Normal 4 2 2 3 3 6" xfId="4185" xr:uid="{00000000-0005-0000-0000-00004A360000}"/>
    <cellStyle name="Normal 4 2 2 3 3 6 2" xfId="10825" xr:uid="{00000000-0005-0000-0000-00004B360000}"/>
    <cellStyle name="Normal 4 2 2 3 3 6_SSL" xfId="15938" xr:uid="{00000000-0005-0000-0000-00004C360000}"/>
    <cellStyle name="Normal 4 2 2 3 3 7" xfId="4996" xr:uid="{00000000-0005-0000-0000-00004D360000}"/>
    <cellStyle name="Normal 4 2 2 3 3 7 2" xfId="11635" xr:uid="{00000000-0005-0000-0000-00004E360000}"/>
    <cellStyle name="Normal 4 2 2 3 3 7_SSL" xfId="14195" xr:uid="{00000000-0005-0000-0000-00004F360000}"/>
    <cellStyle name="Normal 4 2 2 3 3 8" xfId="5806" xr:uid="{00000000-0005-0000-0000-000050360000}"/>
    <cellStyle name="Normal 4 2 2 3 3 8 2" xfId="12444" xr:uid="{00000000-0005-0000-0000-000051360000}"/>
    <cellStyle name="Normal 4 2 2 3 3 8_SSL" xfId="12888" xr:uid="{00000000-0005-0000-0000-000052360000}"/>
    <cellStyle name="Normal 4 2 2 3 3 9" xfId="7275" xr:uid="{00000000-0005-0000-0000-000053360000}"/>
    <cellStyle name="Normal 4 2 2 3 3_SSL" xfId="12739" xr:uid="{00000000-0005-0000-0000-000054360000}"/>
    <cellStyle name="Normal 4 2 2 3 4" xfId="530" xr:uid="{00000000-0005-0000-0000-000055360000}"/>
    <cellStyle name="Normal 4 2 2 3 4 2" xfId="1727" xr:uid="{00000000-0005-0000-0000-000056360000}"/>
    <cellStyle name="Normal 4 2 2 3 4 2 2" xfId="8382" xr:uid="{00000000-0005-0000-0000-000057360000}"/>
    <cellStyle name="Normal 4 2 2 3 4 2_SSL" xfId="14323" xr:uid="{00000000-0005-0000-0000-000058360000}"/>
    <cellStyle name="Normal 4 2 2 3 4 3" xfId="2547" xr:uid="{00000000-0005-0000-0000-000059360000}"/>
    <cellStyle name="Normal 4 2 2 3 4 3 2" xfId="9195" xr:uid="{00000000-0005-0000-0000-00005A360000}"/>
    <cellStyle name="Normal 4 2 2 3 4 3_SSL" xfId="13512" xr:uid="{00000000-0005-0000-0000-00005B360000}"/>
    <cellStyle name="Normal 4 2 2 3 4 4" xfId="3367" xr:uid="{00000000-0005-0000-0000-00005C360000}"/>
    <cellStyle name="Normal 4 2 2 3 4 4 2" xfId="10012" xr:uid="{00000000-0005-0000-0000-00005D360000}"/>
    <cellStyle name="Normal 4 2 2 3 4 4_SSL" xfId="15582" xr:uid="{00000000-0005-0000-0000-00005E360000}"/>
    <cellStyle name="Normal 4 2 2 3 4 5" xfId="4187" xr:uid="{00000000-0005-0000-0000-00005F360000}"/>
    <cellStyle name="Normal 4 2 2 3 4 5 2" xfId="10827" xr:uid="{00000000-0005-0000-0000-000060360000}"/>
    <cellStyle name="Normal 4 2 2 3 4 5_SSL" xfId="16482" xr:uid="{00000000-0005-0000-0000-000061360000}"/>
    <cellStyle name="Normal 4 2 2 3 4 6" xfId="4998" xr:uid="{00000000-0005-0000-0000-000062360000}"/>
    <cellStyle name="Normal 4 2 2 3 4 6 2" xfId="11637" xr:uid="{00000000-0005-0000-0000-000063360000}"/>
    <cellStyle name="Normal 4 2 2 3 4 6_SSL" xfId="17788" xr:uid="{00000000-0005-0000-0000-000064360000}"/>
    <cellStyle name="Normal 4 2 2 3 4 7" xfId="5808" xr:uid="{00000000-0005-0000-0000-000065360000}"/>
    <cellStyle name="Normal 4 2 2 3 4 7 2" xfId="12446" xr:uid="{00000000-0005-0000-0000-000066360000}"/>
    <cellStyle name="Normal 4 2 2 3 4 7_SSL" xfId="12755" xr:uid="{00000000-0005-0000-0000-000067360000}"/>
    <cellStyle name="Normal 4 2 2 3 4 8" xfId="7386" xr:uid="{00000000-0005-0000-0000-000068360000}"/>
    <cellStyle name="Normal 4 2 2 3 4 9" xfId="6738" xr:uid="{00000000-0005-0000-0000-000069360000}"/>
    <cellStyle name="Normal 4 2 2 3 4_SSL" xfId="16374" xr:uid="{00000000-0005-0000-0000-00006A360000}"/>
    <cellStyle name="Normal 4 2 2 3 5" xfId="1720" xr:uid="{00000000-0005-0000-0000-00006B360000}"/>
    <cellStyle name="Normal 4 2 2 3 5 2" xfId="8375" xr:uid="{00000000-0005-0000-0000-00006C360000}"/>
    <cellStyle name="Normal 4 2 2 3 5_SSL" xfId="15415" xr:uid="{00000000-0005-0000-0000-00006D360000}"/>
    <cellStyle name="Normal 4 2 2 3 6" xfId="2540" xr:uid="{00000000-0005-0000-0000-00006E360000}"/>
    <cellStyle name="Normal 4 2 2 3 6 2" xfId="9188" xr:uid="{00000000-0005-0000-0000-00006F360000}"/>
    <cellStyle name="Normal 4 2 2 3 6_SSL" xfId="6011" xr:uid="{00000000-0005-0000-0000-000070360000}"/>
    <cellStyle name="Normal 4 2 2 3 7" xfId="3360" xr:uid="{00000000-0005-0000-0000-000071360000}"/>
    <cellStyle name="Normal 4 2 2 3 7 2" xfId="10005" xr:uid="{00000000-0005-0000-0000-000072360000}"/>
    <cellStyle name="Normal 4 2 2 3 7_SSL" xfId="16051" xr:uid="{00000000-0005-0000-0000-000073360000}"/>
    <cellStyle name="Normal 4 2 2 3 8" xfId="4180" xr:uid="{00000000-0005-0000-0000-000074360000}"/>
    <cellStyle name="Normal 4 2 2 3 8 2" xfId="10820" xr:uid="{00000000-0005-0000-0000-000075360000}"/>
    <cellStyle name="Normal 4 2 2 3 8_SSL" xfId="16777" xr:uid="{00000000-0005-0000-0000-000076360000}"/>
    <cellStyle name="Normal 4 2 2 3 9" xfId="4991" xr:uid="{00000000-0005-0000-0000-000077360000}"/>
    <cellStyle name="Normal 4 2 2 3 9 2" xfId="11630" xr:uid="{00000000-0005-0000-0000-000078360000}"/>
    <cellStyle name="Normal 4 2 2 3 9_SSL" xfId="17440" xr:uid="{00000000-0005-0000-0000-000079360000}"/>
    <cellStyle name="Normal 4 2 2 3_SSL" xfId="16866" xr:uid="{00000000-0005-0000-0000-00007A360000}"/>
    <cellStyle name="Normal 4 2 2 4" xfId="150" xr:uid="{00000000-0005-0000-0000-00007B360000}"/>
    <cellStyle name="Normal 4 2 2 4 10" xfId="7027" xr:uid="{00000000-0005-0000-0000-00007C360000}"/>
    <cellStyle name="Normal 4 2 2 4 11" xfId="6739" xr:uid="{00000000-0005-0000-0000-00007D360000}"/>
    <cellStyle name="Normal 4 2 2 4 2" xfId="417" xr:uid="{00000000-0005-0000-0000-00007E360000}"/>
    <cellStyle name="Normal 4 2 2 4 2 10" xfId="6740" xr:uid="{00000000-0005-0000-0000-00007F360000}"/>
    <cellStyle name="Normal 4 2 2 4 2 2" xfId="805" xr:uid="{00000000-0005-0000-0000-000080360000}"/>
    <cellStyle name="Normal 4 2 2 4 2 2 2" xfId="1730" xr:uid="{00000000-0005-0000-0000-000081360000}"/>
    <cellStyle name="Normal 4 2 2 4 2 2 2 2" xfId="8385" xr:uid="{00000000-0005-0000-0000-000082360000}"/>
    <cellStyle name="Normal 4 2 2 4 2 2 2_SSL" xfId="15715" xr:uid="{00000000-0005-0000-0000-000083360000}"/>
    <cellStyle name="Normal 4 2 2 4 2 2 3" xfId="2550" xr:uid="{00000000-0005-0000-0000-000084360000}"/>
    <cellStyle name="Normal 4 2 2 4 2 2 3 2" xfId="9198" xr:uid="{00000000-0005-0000-0000-000085360000}"/>
    <cellStyle name="Normal 4 2 2 4 2 2 3_SSL" xfId="15244" xr:uid="{00000000-0005-0000-0000-000086360000}"/>
    <cellStyle name="Normal 4 2 2 4 2 2 4" xfId="3370" xr:uid="{00000000-0005-0000-0000-000087360000}"/>
    <cellStyle name="Normal 4 2 2 4 2 2 4 2" xfId="10015" xr:uid="{00000000-0005-0000-0000-000088360000}"/>
    <cellStyle name="Normal 4 2 2 4 2 2 4_SSL" xfId="15712" xr:uid="{00000000-0005-0000-0000-000089360000}"/>
    <cellStyle name="Normal 4 2 2 4 2 2 5" xfId="4190" xr:uid="{00000000-0005-0000-0000-00008A360000}"/>
    <cellStyle name="Normal 4 2 2 4 2 2 5 2" xfId="10830" xr:uid="{00000000-0005-0000-0000-00008B360000}"/>
    <cellStyle name="Normal 4 2 2 4 2 2 5_SSL" xfId="13169" xr:uid="{00000000-0005-0000-0000-00008C360000}"/>
    <cellStyle name="Normal 4 2 2 4 2 2 6" xfId="5001" xr:uid="{00000000-0005-0000-0000-00008D360000}"/>
    <cellStyle name="Normal 4 2 2 4 2 2 6 2" xfId="11640" xr:uid="{00000000-0005-0000-0000-00008E360000}"/>
    <cellStyle name="Normal 4 2 2 4 2 2 6_SSL" xfId="13776" xr:uid="{00000000-0005-0000-0000-00008F360000}"/>
    <cellStyle name="Normal 4 2 2 4 2 2 7" xfId="5811" xr:uid="{00000000-0005-0000-0000-000090360000}"/>
    <cellStyle name="Normal 4 2 2 4 2 2 7 2" xfId="12449" xr:uid="{00000000-0005-0000-0000-000091360000}"/>
    <cellStyle name="Normal 4 2 2 4 2 2 7_SSL" xfId="13684" xr:uid="{00000000-0005-0000-0000-000092360000}"/>
    <cellStyle name="Normal 4 2 2 4 2 2 8" xfId="7661" xr:uid="{00000000-0005-0000-0000-000093360000}"/>
    <cellStyle name="Normal 4 2 2 4 2 2 9" xfId="6741" xr:uid="{00000000-0005-0000-0000-000094360000}"/>
    <cellStyle name="Normal 4 2 2 4 2 2_SSL" xfId="13662" xr:uid="{00000000-0005-0000-0000-000095360000}"/>
    <cellStyle name="Normal 4 2 2 4 2 3" xfId="1729" xr:uid="{00000000-0005-0000-0000-000096360000}"/>
    <cellStyle name="Normal 4 2 2 4 2 3 2" xfId="8384" xr:uid="{00000000-0005-0000-0000-000097360000}"/>
    <cellStyle name="Normal 4 2 2 4 2 3_SSL" xfId="13583" xr:uid="{00000000-0005-0000-0000-000098360000}"/>
    <cellStyle name="Normal 4 2 2 4 2 4" xfId="2549" xr:uid="{00000000-0005-0000-0000-000099360000}"/>
    <cellStyle name="Normal 4 2 2 4 2 4 2" xfId="9197" xr:uid="{00000000-0005-0000-0000-00009A360000}"/>
    <cellStyle name="Normal 4 2 2 4 2 4_SSL" xfId="14695" xr:uid="{00000000-0005-0000-0000-00009B360000}"/>
    <cellStyle name="Normal 4 2 2 4 2 5" xfId="3369" xr:uid="{00000000-0005-0000-0000-00009C360000}"/>
    <cellStyle name="Normal 4 2 2 4 2 5 2" xfId="10014" xr:uid="{00000000-0005-0000-0000-00009D360000}"/>
    <cellStyle name="Normal 4 2 2 4 2 5_SSL" xfId="15009" xr:uid="{00000000-0005-0000-0000-00009E360000}"/>
    <cellStyle name="Normal 4 2 2 4 2 6" xfId="4189" xr:uid="{00000000-0005-0000-0000-00009F360000}"/>
    <cellStyle name="Normal 4 2 2 4 2 6 2" xfId="10829" xr:uid="{00000000-0005-0000-0000-0000A0360000}"/>
    <cellStyle name="Normal 4 2 2 4 2 6_SSL" xfId="13907" xr:uid="{00000000-0005-0000-0000-0000A1360000}"/>
    <cellStyle name="Normal 4 2 2 4 2 7" xfId="5000" xr:uid="{00000000-0005-0000-0000-0000A2360000}"/>
    <cellStyle name="Normal 4 2 2 4 2 7 2" xfId="11639" xr:uid="{00000000-0005-0000-0000-0000A3360000}"/>
    <cellStyle name="Normal 4 2 2 4 2 7_SSL" xfId="15775" xr:uid="{00000000-0005-0000-0000-0000A4360000}"/>
    <cellStyle name="Normal 4 2 2 4 2 8" xfId="5810" xr:uid="{00000000-0005-0000-0000-0000A5360000}"/>
    <cellStyle name="Normal 4 2 2 4 2 8 2" xfId="12448" xr:uid="{00000000-0005-0000-0000-0000A6360000}"/>
    <cellStyle name="Normal 4 2 2 4 2 8_SSL" xfId="14839" xr:uid="{00000000-0005-0000-0000-0000A7360000}"/>
    <cellStyle name="Normal 4 2 2 4 2 9" xfId="7277" xr:uid="{00000000-0005-0000-0000-0000A8360000}"/>
    <cellStyle name="Normal 4 2 2 4 2_SSL" xfId="15967" xr:uid="{00000000-0005-0000-0000-0000A9360000}"/>
    <cellStyle name="Normal 4 2 2 4 3" xfId="555" xr:uid="{00000000-0005-0000-0000-0000AA360000}"/>
    <cellStyle name="Normal 4 2 2 4 3 2" xfId="1731" xr:uid="{00000000-0005-0000-0000-0000AB360000}"/>
    <cellStyle name="Normal 4 2 2 4 3 2 2" xfId="8386" xr:uid="{00000000-0005-0000-0000-0000AC360000}"/>
    <cellStyle name="Normal 4 2 2 4 3 2_SSL" xfId="15894" xr:uid="{00000000-0005-0000-0000-0000AD360000}"/>
    <cellStyle name="Normal 4 2 2 4 3 3" xfId="2551" xr:uid="{00000000-0005-0000-0000-0000AE360000}"/>
    <cellStyle name="Normal 4 2 2 4 3 3 2" xfId="9199" xr:uid="{00000000-0005-0000-0000-0000AF360000}"/>
    <cellStyle name="Normal 4 2 2 4 3 3_SSL" xfId="17183" xr:uid="{00000000-0005-0000-0000-0000B0360000}"/>
    <cellStyle name="Normal 4 2 2 4 3 4" xfId="3371" xr:uid="{00000000-0005-0000-0000-0000B1360000}"/>
    <cellStyle name="Normal 4 2 2 4 3 4 2" xfId="10016" xr:uid="{00000000-0005-0000-0000-0000B2360000}"/>
    <cellStyle name="Normal 4 2 2 4 3 4_SSL" xfId="16015" xr:uid="{00000000-0005-0000-0000-0000B3360000}"/>
    <cellStyle name="Normal 4 2 2 4 3 5" xfId="4191" xr:uid="{00000000-0005-0000-0000-0000B4360000}"/>
    <cellStyle name="Normal 4 2 2 4 3 5 2" xfId="10831" xr:uid="{00000000-0005-0000-0000-0000B5360000}"/>
    <cellStyle name="Normal 4 2 2 4 3 5_SSL" xfId="15616" xr:uid="{00000000-0005-0000-0000-0000B6360000}"/>
    <cellStyle name="Normal 4 2 2 4 3 6" xfId="5002" xr:uid="{00000000-0005-0000-0000-0000B7360000}"/>
    <cellStyle name="Normal 4 2 2 4 3 6 2" xfId="11641" xr:uid="{00000000-0005-0000-0000-0000B8360000}"/>
    <cellStyle name="Normal 4 2 2 4 3 6_SSL" xfId="14213" xr:uid="{00000000-0005-0000-0000-0000B9360000}"/>
    <cellStyle name="Normal 4 2 2 4 3 7" xfId="5812" xr:uid="{00000000-0005-0000-0000-0000BA360000}"/>
    <cellStyle name="Normal 4 2 2 4 3 7 2" xfId="12450" xr:uid="{00000000-0005-0000-0000-0000BB360000}"/>
    <cellStyle name="Normal 4 2 2 4 3 7_SSL" xfId="15627" xr:uid="{00000000-0005-0000-0000-0000BC360000}"/>
    <cellStyle name="Normal 4 2 2 4 3 8" xfId="7411" xr:uid="{00000000-0005-0000-0000-0000BD360000}"/>
    <cellStyle name="Normal 4 2 2 4 3 9" xfId="6742" xr:uid="{00000000-0005-0000-0000-0000BE360000}"/>
    <cellStyle name="Normal 4 2 2 4 3_SSL" xfId="16339" xr:uid="{00000000-0005-0000-0000-0000BF360000}"/>
    <cellStyle name="Normal 4 2 2 4 4" xfId="1728" xr:uid="{00000000-0005-0000-0000-0000C0360000}"/>
    <cellStyle name="Normal 4 2 2 4 4 2" xfId="8383" xr:uid="{00000000-0005-0000-0000-0000C1360000}"/>
    <cellStyle name="Normal 4 2 2 4 4_SSL" xfId="14345" xr:uid="{00000000-0005-0000-0000-0000C2360000}"/>
    <cellStyle name="Normal 4 2 2 4 5" xfId="2548" xr:uid="{00000000-0005-0000-0000-0000C3360000}"/>
    <cellStyle name="Normal 4 2 2 4 5 2" xfId="9196" xr:uid="{00000000-0005-0000-0000-0000C4360000}"/>
    <cellStyle name="Normal 4 2 2 4 5_SSL" xfId="16307" xr:uid="{00000000-0005-0000-0000-0000C5360000}"/>
    <cellStyle name="Normal 4 2 2 4 6" xfId="3368" xr:uid="{00000000-0005-0000-0000-0000C6360000}"/>
    <cellStyle name="Normal 4 2 2 4 6 2" xfId="10013" xr:uid="{00000000-0005-0000-0000-0000C7360000}"/>
    <cellStyle name="Normal 4 2 2 4 6_SSL" xfId="12941" xr:uid="{00000000-0005-0000-0000-0000C8360000}"/>
    <cellStyle name="Normal 4 2 2 4 7" xfId="4188" xr:uid="{00000000-0005-0000-0000-0000C9360000}"/>
    <cellStyle name="Normal 4 2 2 4 7 2" xfId="10828" xr:uid="{00000000-0005-0000-0000-0000CA360000}"/>
    <cellStyle name="Normal 4 2 2 4 7_SSL" xfId="15287" xr:uid="{00000000-0005-0000-0000-0000CB360000}"/>
    <cellStyle name="Normal 4 2 2 4 8" xfId="4999" xr:uid="{00000000-0005-0000-0000-0000CC360000}"/>
    <cellStyle name="Normal 4 2 2 4 8 2" xfId="11638" xr:uid="{00000000-0005-0000-0000-0000CD360000}"/>
    <cellStyle name="Normal 4 2 2 4 8_SSL" xfId="13164" xr:uid="{00000000-0005-0000-0000-0000CE360000}"/>
    <cellStyle name="Normal 4 2 2 4 9" xfId="5809" xr:uid="{00000000-0005-0000-0000-0000CF360000}"/>
    <cellStyle name="Normal 4 2 2 4 9 2" xfId="12447" xr:uid="{00000000-0005-0000-0000-0000D0360000}"/>
    <cellStyle name="Normal 4 2 2 4 9_SSL" xfId="17504" xr:uid="{00000000-0005-0000-0000-0000D1360000}"/>
    <cellStyle name="Normal 4 2 2 4_SSL" xfId="15254" xr:uid="{00000000-0005-0000-0000-0000D2360000}"/>
    <cellStyle name="Normal 4 2 2 5" xfId="175" xr:uid="{00000000-0005-0000-0000-0000D3360000}"/>
    <cellStyle name="Normal 4 2 2 5 10" xfId="7052" xr:uid="{00000000-0005-0000-0000-0000D4360000}"/>
    <cellStyle name="Normal 4 2 2 5 11" xfId="6743" xr:uid="{00000000-0005-0000-0000-0000D5360000}"/>
    <cellStyle name="Normal 4 2 2 5 2" xfId="418" xr:uid="{00000000-0005-0000-0000-0000D6360000}"/>
    <cellStyle name="Normal 4 2 2 5 2 10" xfId="6744" xr:uid="{00000000-0005-0000-0000-0000D7360000}"/>
    <cellStyle name="Normal 4 2 2 5 2 2" xfId="806" xr:uid="{00000000-0005-0000-0000-0000D8360000}"/>
    <cellStyle name="Normal 4 2 2 5 2 2 2" xfId="1734" xr:uid="{00000000-0005-0000-0000-0000D9360000}"/>
    <cellStyle name="Normal 4 2 2 5 2 2 2 2" xfId="8389" xr:uid="{00000000-0005-0000-0000-0000DA360000}"/>
    <cellStyle name="Normal 4 2 2 5 2 2 2_SSL" xfId="14739" xr:uid="{00000000-0005-0000-0000-0000DB360000}"/>
    <cellStyle name="Normal 4 2 2 5 2 2 3" xfId="2554" xr:uid="{00000000-0005-0000-0000-0000DC360000}"/>
    <cellStyle name="Normal 4 2 2 5 2 2 3 2" xfId="9202" xr:uid="{00000000-0005-0000-0000-0000DD360000}"/>
    <cellStyle name="Normal 4 2 2 5 2 2 3_SSL" xfId="14134" xr:uid="{00000000-0005-0000-0000-0000DE360000}"/>
    <cellStyle name="Normal 4 2 2 5 2 2 4" xfId="3374" xr:uid="{00000000-0005-0000-0000-0000DF360000}"/>
    <cellStyle name="Normal 4 2 2 5 2 2 4 2" xfId="10019" xr:uid="{00000000-0005-0000-0000-0000E0360000}"/>
    <cellStyle name="Normal 4 2 2 5 2 2 4_SSL" xfId="16934" xr:uid="{00000000-0005-0000-0000-0000E1360000}"/>
    <cellStyle name="Normal 4 2 2 5 2 2 5" xfId="4194" xr:uid="{00000000-0005-0000-0000-0000E2360000}"/>
    <cellStyle name="Normal 4 2 2 5 2 2 5 2" xfId="10834" xr:uid="{00000000-0005-0000-0000-0000E3360000}"/>
    <cellStyle name="Normal 4 2 2 5 2 2 5_SSL" xfId="12845" xr:uid="{00000000-0005-0000-0000-0000E4360000}"/>
    <cellStyle name="Normal 4 2 2 5 2 2 6" xfId="5005" xr:uid="{00000000-0005-0000-0000-0000E5360000}"/>
    <cellStyle name="Normal 4 2 2 5 2 2 6 2" xfId="11644" xr:uid="{00000000-0005-0000-0000-0000E6360000}"/>
    <cellStyle name="Normal 4 2 2 5 2 2 6_SSL" xfId="16423" xr:uid="{00000000-0005-0000-0000-0000E7360000}"/>
    <cellStyle name="Normal 4 2 2 5 2 2 7" xfId="5815" xr:uid="{00000000-0005-0000-0000-0000E8360000}"/>
    <cellStyle name="Normal 4 2 2 5 2 2 7 2" xfId="12453" xr:uid="{00000000-0005-0000-0000-0000E9360000}"/>
    <cellStyle name="Normal 4 2 2 5 2 2 7_SSL" xfId="13890" xr:uid="{00000000-0005-0000-0000-0000EA360000}"/>
    <cellStyle name="Normal 4 2 2 5 2 2 8" xfId="7662" xr:uid="{00000000-0005-0000-0000-0000EB360000}"/>
    <cellStyle name="Normal 4 2 2 5 2 2 9" xfId="6745" xr:uid="{00000000-0005-0000-0000-0000EC360000}"/>
    <cellStyle name="Normal 4 2 2 5 2 2_SSL" xfId="13122" xr:uid="{00000000-0005-0000-0000-0000ED360000}"/>
    <cellStyle name="Normal 4 2 2 5 2 3" xfId="1733" xr:uid="{00000000-0005-0000-0000-0000EE360000}"/>
    <cellStyle name="Normal 4 2 2 5 2 3 2" xfId="8388" xr:uid="{00000000-0005-0000-0000-0000EF360000}"/>
    <cellStyle name="Normal 4 2 2 5 2 3_SSL" xfId="16530" xr:uid="{00000000-0005-0000-0000-0000F0360000}"/>
    <cellStyle name="Normal 4 2 2 5 2 4" xfId="2553" xr:uid="{00000000-0005-0000-0000-0000F1360000}"/>
    <cellStyle name="Normal 4 2 2 5 2 4 2" xfId="9201" xr:uid="{00000000-0005-0000-0000-0000F2360000}"/>
    <cellStyle name="Normal 4 2 2 5 2 4_SSL" xfId="17313" xr:uid="{00000000-0005-0000-0000-0000F3360000}"/>
    <cellStyle name="Normal 4 2 2 5 2 5" xfId="3373" xr:uid="{00000000-0005-0000-0000-0000F4360000}"/>
    <cellStyle name="Normal 4 2 2 5 2 5 2" xfId="10018" xr:uid="{00000000-0005-0000-0000-0000F5360000}"/>
    <cellStyle name="Normal 4 2 2 5 2 5_SSL" xfId="13686" xr:uid="{00000000-0005-0000-0000-0000F6360000}"/>
    <cellStyle name="Normal 4 2 2 5 2 6" xfId="4193" xr:uid="{00000000-0005-0000-0000-0000F7360000}"/>
    <cellStyle name="Normal 4 2 2 5 2 6 2" xfId="10833" xr:uid="{00000000-0005-0000-0000-0000F8360000}"/>
    <cellStyle name="Normal 4 2 2 5 2 6_SSL" xfId="13247" xr:uid="{00000000-0005-0000-0000-0000F9360000}"/>
    <cellStyle name="Normal 4 2 2 5 2 7" xfId="5004" xr:uid="{00000000-0005-0000-0000-0000FA360000}"/>
    <cellStyle name="Normal 4 2 2 5 2 7 2" xfId="11643" xr:uid="{00000000-0005-0000-0000-0000FB360000}"/>
    <cellStyle name="Normal 4 2 2 5 2 7_SSL" xfId="14183" xr:uid="{00000000-0005-0000-0000-0000FC360000}"/>
    <cellStyle name="Normal 4 2 2 5 2 8" xfId="5814" xr:uid="{00000000-0005-0000-0000-0000FD360000}"/>
    <cellStyle name="Normal 4 2 2 5 2 8 2" xfId="12452" xr:uid="{00000000-0005-0000-0000-0000FE360000}"/>
    <cellStyle name="Normal 4 2 2 5 2 8_SSL" xfId="16994" xr:uid="{00000000-0005-0000-0000-0000FF360000}"/>
    <cellStyle name="Normal 4 2 2 5 2 9" xfId="7278" xr:uid="{00000000-0005-0000-0000-000000370000}"/>
    <cellStyle name="Normal 4 2 2 5 2_SSL" xfId="15744" xr:uid="{00000000-0005-0000-0000-000001370000}"/>
    <cellStyle name="Normal 4 2 2 5 3" xfId="580" xr:uid="{00000000-0005-0000-0000-000002370000}"/>
    <cellStyle name="Normal 4 2 2 5 3 2" xfId="1735" xr:uid="{00000000-0005-0000-0000-000003370000}"/>
    <cellStyle name="Normal 4 2 2 5 3 2 2" xfId="8390" xr:uid="{00000000-0005-0000-0000-000004370000}"/>
    <cellStyle name="Normal 4 2 2 5 3 2_SSL" xfId="17654" xr:uid="{00000000-0005-0000-0000-000005370000}"/>
    <cellStyle name="Normal 4 2 2 5 3 3" xfId="2555" xr:uid="{00000000-0005-0000-0000-000006370000}"/>
    <cellStyle name="Normal 4 2 2 5 3 3 2" xfId="9203" xr:uid="{00000000-0005-0000-0000-000007370000}"/>
    <cellStyle name="Normal 4 2 2 5 3 3_SSL" xfId="17792" xr:uid="{00000000-0005-0000-0000-000008370000}"/>
    <cellStyle name="Normal 4 2 2 5 3 4" xfId="3375" xr:uid="{00000000-0005-0000-0000-000009370000}"/>
    <cellStyle name="Normal 4 2 2 5 3 4 2" xfId="10020" xr:uid="{00000000-0005-0000-0000-00000A370000}"/>
    <cellStyle name="Normal 4 2 2 5 3 4_SSL" xfId="13905" xr:uid="{00000000-0005-0000-0000-00000B370000}"/>
    <cellStyle name="Normal 4 2 2 5 3 5" xfId="4195" xr:uid="{00000000-0005-0000-0000-00000C370000}"/>
    <cellStyle name="Normal 4 2 2 5 3 5 2" xfId="10835" xr:uid="{00000000-0005-0000-0000-00000D370000}"/>
    <cellStyle name="Normal 4 2 2 5 3 5_SSL" xfId="15064" xr:uid="{00000000-0005-0000-0000-00000E370000}"/>
    <cellStyle name="Normal 4 2 2 5 3 6" xfId="5006" xr:uid="{00000000-0005-0000-0000-00000F370000}"/>
    <cellStyle name="Normal 4 2 2 5 3 6 2" xfId="11645" xr:uid="{00000000-0005-0000-0000-000010370000}"/>
    <cellStyle name="Normal 4 2 2 5 3 6_SSL" xfId="14212" xr:uid="{00000000-0005-0000-0000-000011370000}"/>
    <cellStyle name="Normal 4 2 2 5 3 7" xfId="5816" xr:uid="{00000000-0005-0000-0000-000012370000}"/>
    <cellStyle name="Normal 4 2 2 5 3 7 2" xfId="12454" xr:uid="{00000000-0005-0000-0000-000013370000}"/>
    <cellStyle name="Normal 4 2 2 5 3 7_SSL" xfId="16290" xr:uid="{00000000-0005-0000-0000-000014370000}"/>
    <cellStyle name="Normal 4 2 2 5 3 8" xfId="7436" xr:uid="{00000000-0005-0000-0000-000015370000}"/>
    <cellStyle name="Normal 4 2 2 5 3 9" xfId="6746" xr:uid="{00000000-0005-0000-0000-000016370000}"/>
    <cellStyle name="Normal 4 2 2 5 3_SSL" xfId="14668" xr:uid="{00000000-0005-0000-0000-000017370000}"/>
    <cellStyle name="Normal 4 2 2 5 4" xfId="1732" xr:uid="{00000000-0005-0000-0000-000018370000}"/>
    <cellStyle name="Normal 4 2 2 5 4 2" xfId="8387" xr:uid="{00000000-0005-0000-0000-000019370000}"/>
    <cellStyle name="Normal 4 2 2 5 4_SSL" xfId="13380" xr:uid="{00000000-0005-0000-0000-00001A370000}"/>
    <cellStyle name="Normal 4 2 2 5 5" xfId="2552" xr:uid="{00000000-0005-0000-0000-00001B370000}"/>
    <cellStyle name="Normal 4 2 2 5 5 2" xfId="9200" xr:uid="{00000000-0005-0000-0000-00001C370000}"/>
    <cellStyle name="Normal 4 2 2 5 5_SSL" xfId="17409" xr:uid="{00000000-0005-0000-0000-00001D370000}"/>
    <cellStyle name="Normal 4 2 2 5 6" xfId="3372" xr:uid="{00000000-0005-0000-0000-00001E370000}"/>
    <cellStyle name="Normal 4 2 2 5 6 2" xfId="10017" xr:uid="{00000000-0005-0000-0000-00001F370000}"/>
    <cellStyle name="Normal 4 2 2 5 6_SSL" xfId="14045" xr:uid="{00000000-0005-0000-0000-000020370000}"/>
    <cellStyle name="Normal 4 2 2 5 7" xfId="4192" xr:uid="{00000000-0005-0000-0000-000021370000}"/>
    <cellStyle name="Normal 4 2 2 5 7 2" xfId="10832" xr:uid="{00000000-0005-0000-0000-000022370000}"/>
    <cellStyle name="Normal 4 2 2 5 7_SSL" xfId="13436" xr:uid="{00000000-0005-0000-0000-000023370000}"/>
    <cellStyle name="Normal 4 2 2 5 8" xfId="5003" xr:uid="{00000000-0005-0000-0000-000024370000}"/>
    <cellStyle name="Normal 4 2 2 5 8 2" xfId="11642" xr:uid="{00000000-0005-0000-0000-000025370000}"/>
    <cellStyle name="Normal 4 2 2 5 8_SSL" xfId="13071" xr:uid="{00000000-0005-0000-0000-000026370000}"/>
    <cellStyle name="Normal 4 2 2 5 9" xfId="5813" xr:uid="{00000000-0005-0000-0000-000027370000}"/>
    <cellStyle name="Normal 4 2 2 5 9 2" xfId="12451" xr:uid="{00000000-0005-0000-0000-000028370000}"/>
    <cellStyle name="Normal 4 2 2 5 9_SSL" xfId="13233" xr:uid="{00000000-0005-0000-0000-000029370000}"/>
    <cellStyle name="Normal 4 2 2 5_SSL" xfId="13739" xr:uid="{00000000-0005-0000-0000-00002A370000}"/>
    <cellStyle name="Normal 4 2 2 6" xfId="246" xr:uid="{00000000-0005-0000-0000-00002B370000}"/>
    <cellStyle name="Normal 4 2 2 6 10" xfId="7123" xr:uid="{00000000-0005-0000-0000-00002C370000}"/>
    <cellStyle name="Normal 4 2 2 6 11" xfId="6747" xr:uid="{00000000-0005-0000-0000-00002D370000}"/>
    <cellStyle name="Normal 4 2 2 6 2" xfId="419" xr:uid="{00000000-0005-0000-0000-00002E370000}"/>
    <cellStyle name="Normal 4 2 2 6 2 10" xfId="6748" xr:uid="{00000000-0005-0000-0000-00002F370000}"/>
    <cellStyle name="Normal 4 2 2 6 2 2" xfId="807" xr:uid="{00000000-0005-0000-0000-000030370000}"/>
    <cellStyle name="Normal 4 2 2 6 2 2 2" xfId="1738" xr:uid="{00000000-0005-0000-0000-000031370000}"/>
    <cellStyle name="Normal 4 2 2 6 2 2 2 2" xfId="8393" xr:uid="{00000000-0005-0000-0000-000032370000}"/>
    <cellStyle name="Normal 4 2 2 6 2 2 2_SSL" xfId="13641" xr:uid="{00000000-0005-0000-0000-000033370000}"/>
    <cellStyle name="Normal 4 2 2 6 2 2 3" xfId="2558" xr:uid="{00000000-0005-0000-0000-000034370000}"/>
    <cellStyle name="Normal 4 2 2 6 2 2 3 2" xfId="9206" xr:uid="{00000000-0005-0000-0000-000035370000}"/>
    <cellStyle name="Normal 4 2 2 6 2 2 3_SSL" xfId="14338" xr:uid="{00000000-0005-0000-0000-000036370000}"/>
    <cellStyle name="Normal 4 2 2 6 2 2 4" xfId="3378" xr:uid="{00000000-0005-0000-0000-000037370000}"/>
    <cellStyle name="Normal 4 2 2 6 2 2 4 2" xfId="10023" xr:uid="{00000000-0005-0000-0000-000038370000}"/>
    <cellStyle name="Normal 4 2 2 6 2 2 4_SSL" xfId="15028" xr:uid="{00000000-0005-0000-0000-000039370000}"/>
    <cellStyle name="Normal 4 2 2 6 2 2 5" xfId="4198" xr:uid="{00000000-0005-0000-0000-00003A370000}"/>
    <cellStyle name="Normal 4 2 2 6 2 2 5 2" xfId="10838" xr:uid="{00000000-0005-0000-0000-00003B370000}"/>
    <cellStyle name="Normal 4 2 2 6 2 2 5_SSL" xfId="14815" xr:uid="{00000000-0005-0000-0000-00003C370000}"/>
    <cellStyle name="Normal 4 2 2 6 2 2 6" xfId="5009" xr:uid="{00000000-0005-0000-0000-00003D370000}"/>
    <cellStyle name="Normal 4 2 2 6 2 2 6 2" xfId="11648" xr:uid="{00000000-0005-0000-0000-00003E370000}"/>
    <cellStyle name="Normal 4 2 2 6 2 2 6_SSL" xfId="14366" xr:uid="{00000000-0005-0000-0000-00003F370000}"/>
    <cellStyle name="Normal 4 2 2 6 2 2 7" xfId="5819" xr:uid="{00000000-0005-0000-0000-000040370000}"/>
    <cellStyle name="Normal 4 2 2 6 2 2 7 2" xfId="12457" xr:uid="{00000000-0005-0000-0000-000041370000}"/>
    <cellStyle name="Normal 4 2 2 6 2 2 7_SSL" xfId="14831" xr:uid="{00000000-0005-0000-0000-000042370000}"/>
    <cellStyle name="Normal 4 2 2 6 2 2 8" xfId="7663" xr:uid="{00000000-0005-0000-0000-000043370000}"/>
    <cellStyle name="Normal 4 2 2 6 2 2 9" xfId="6749" xr:uid="{00000000-0005-0000-0000-000044370000}"/>
    <cellStyle name="Normal 4 2 2 6 2 2_SSL" xfId="13667" xr:uid="{00000000-0005-0000-0000-000045370000}"/>
    <cellStyle name="Normal 4 2 2 6 2 3" xfId="1737" xr:uid="{00000000-0005-0000-0000-000046370000}"/>
    <cellStyle name="Normal 4 2 2 6 2 3 2" xfId="8392" xr:uid="{00000000-0005-0000-0000-000047370000}"/>
    <cellStyle name="Normal 4 2 2 6 2 3_SSL" xfId="15614" xr:uid="{00000000-0005-0000-0000-000048370000}"/>
    <cellStyle name="Normal 4 2 2 6 2 4" xfId="2557" xr:uid="{00000000-0005-0000-0000-000049370000}"/>
    <cellStyle name="Normal 4 2 2 6 2 4 2" xfId="9205" xr:uid="{00000000-0005-0000-0000-00004A370000}"/>
    <cellStyle name="Normal 4 2 2 6 2 4_SSL" xfId="14085" xr:uid="{00000000-0005-0000-0000-00004B370000}"/>
    <cellStyle name="Normal 4 2 2 6 2 5" xfId="3377" xr:uid="{00000000-0005-0000-0000-00004C370000}"/>
    <cellStyle name="Normal 4 2 2 6 2 5 2" xfId="10022" xr:uid="{00000000-0005-0000-0000-00004D370000}"/>
    <cellStyle name="Normal 4 2 2 6 2 5_SSL" xfId="14153" xr:uid="{00000000-0005-0000-0000-00004E370000}"/>
    <cellStyle name="Normal 4 2 2 6 2 6" xfId="4197" xr:uid="{00000000-0005-0000-0000-00004F370000}"/>
    <cellStyle name="Normal 4 2 2 6 2 6 2" xfId="10837" xr:uid="{00000000-0005-0000-0000-000050370000}"/>
    <cellStyle name="Normal 4 2 2 6 2 6_SSL" xfId="17562" xr:uid="{00000000-0005-0000-0000-000051370000}"/>
    <cellStyle name="Normal 4 2 2 6 2 7" xfId="5008" xr:uid="{00000000-0005-0000-0000-000052370000}"/>
    <cellStyle name="Normal 4 2 2 6 2 7 2" xfId="11647" xr:uid="{00000000-0005-0000-0000-000053370000}"/>
    <cellStyle name="Normal 4 2 2 6 2 7_SSL" xfId="14439" xr:uid="{00000000-0005-0000-0000-000054370000}"/>
    <cellStyle name="Normal 4 2 2 6 2 8" xfId="5818" xr:uid="{00000000-0005-0000-0000-000055370000}"/>
    <cellStyle name="Normal 4 2 2 6 2 8 2" xfId="12456" xr:uid="{00000000-0005-0000-0000-000056370000}"/>
    <cellStyle name="Normal 4 2 2 6 2 8_SSL" xfId="13663" xr:uid="{00000000-0005-0000-0000-000057370000}"/>
    <cellStyle name="Normal 4 2 2 6 2 9" xfId="7279" xr:uid="{00000000-0005-0000-0000-000058370000}"/>
    <cellStyle name="Normal 4 2 2 6 2_SSL" xfId="14095" xr:uid="{00000000-0005-0000-0000-000059370000}"/>
    <cellStyle name="Normal 4 2 2 6 3" xfId="651" xr:uid="{00000000-0005-0000-0000-00005A370000}"/>
    <cellStyle name="Normal 4 2 2 6 3 2" xfId="1739" xr:uid="{00000000-0005-0000-0000-00005B370000}"/>
    <cellStyle name="Normal 4 2 2 6 3 2 2" xfId="8394" xr:uid="{00000000-0005-0000-0000-00005C370000}"/>
    <cellStyle name="Normal 4 2 2 6 3 2_SSL" xfId="14197" xr:uid="{00000000-0005-0000-0000-00005D370000}"/>
    <cellStyle name="Normal 4 2 2 6 3 3" xfId="2559" xr:uid="{00000000-0005-0000-0000-00005E370000}"/>
    <cellStyle name="Normal 4 2 2 6 3 3 2" xfId="9207" xr:uid="{00000000-0005-0000-0000-00005F370000}"/>
    <cellStyle name="Normal 4 2 2 6 3 3_SSL" xfId="13578" xr:uid="{00000000-0005-0000-0000-000060370000}"/>
    <cellStyle name="Normal 4 2 2 6 3 4" xfId="3379" xr:uid="{00000000-0005-0000-0000-000061370000}"/>
    <cellStyle name="Normal 4 2 2 6 3 4 2" xfId="10024" xr:uid="{00000000-0005-0000-0000-000062370000}"/>
    <cellStyle name="Normal 4 2 2 6 3 4_SSL" xfId="16477" xr:uid="{00000000-0005-0000-0000-000063370000}"/>
    <cellStyle name="Normal 4 2 2 6 3 5" xfId="4199" xr:uid="{00000000-0005-0000-0000-000064370000}"/>
    <cellStyle name="Normal 4 2 2 6 3 5 2" xfId="10839" xr:uid="{00000000-0005-0000-0000-000065370000}"/>
    <cellStyle name="Normal 4 2 2 6 3 5_SSL" xfId="15828" xr:uid="{00000000-0005-0000-0000-000066370000}"/>
    <cellStyle name="Normal 4 2 2 6 3 6" xfId="5010" xr:uid="{00000000-0005-0000-0000-000067370000}"/>
    <cellStyle name="Normal 4 2 2 6 3 6 2" xfId="11649" xr:uid="{00000000-0005-0000-0000-000068370000}"/>
    <cellStyle name="Normal 4 2 2 6 3 6_SSL" xfId="13883" xr:uid="{00000000-0005-0000-0000-000069370000}"/>
    <cellStyle name="Normal 4 2 2 6 3 7" xfId="5820" xr:uid="{00000000-0005-0000-0000-00006A370000}"/>
    <cellStyle name="Normal 4 2 2 6 3 7 2" xfId="12458" xr:uid="{00000000-0005-0000-0000-00006B370000}"/>
    <cellStyle name="Normal 4 2 2 6 3 7_SSL" xfId="14511" xr:uid="{00000000-0005-0000-0000-00006C370000}"/>
    <cellStyle name="Normal 4 2 2 6 3 8" xfId="7507" xr:uid="{00000000-0005-0000-0000-00006D370000}"/>
    <cellStyle name="Normal 4 2 2 6 3 9" xfId="6750" xr:uid="{00000000-0005-0000-0000-00006E370000}"/>
    <cellStyle name="Normal 4 2 2 6 3_SSL" xfId="15981" xr:uid="{00000000-0005-0000-0000-00006F370000}"/>
    <cellStyle name="Normal 4 2 2 6 4" xfId="1736" xr:uid="{00000000-0005-0000-0000-000070370000}"/>
    <cellStyle name="Normal 4 2 2 6 4 2" xfId="8391" xr:uid="{00000000-0005-0000-0000-000071370000}"/>
    <cellStyle name="Normal 4 2 2 6 4_SSL" xfId="17640" xr:uid="{00000000-0005-0000-0000-000072370000}"/>
    <cellStyle name="Normal 4 2 2 6 5" xfId="2556" xr:uid="{00000000-0005-0000-0000-000073370000}"/>
    <cellStyle name="Normal 4 2 2 6 5 2" xfId="9204" xr:uid="{00000000-0005-0000-0000-000074370000}"/>
    <cellStyle name="Normal 4 2 2 6 5_SSL" xfId="14968" xr:uid="{00000000-0005-0000-0000-000075370000}"/>
    <cellStyle name="Normal 4 2 2 6 6" xfId="3376" xr:uid="{00000000-0005-0000-0000-000076370000}"/>
    <cellStyle name="Normal 4 2 2 6 6 2" xfId="10021" xr:uid="{00000000-0005-0000-0000-000077370000}"/>
    <cellStyle name="Normal 4 2 2 6 6_SSL" xfId="14364" xr:uid="{00000000-0005-0000-0000-000078370000}"/>
    <cellStyle name="Normal 4 2 2 6 7" xfId="4196" xr:uid="{00000000-0005-0000-0000-000079370000}"/>
    <cellStyle name="Normal 4 2 2 6 7 2" xfId="10836" xr:uid="{00000000-0005-0000-0000-00007A370000}"/>
    <cellStyle name="Normal 4 2 2 6 7_SSL" xfId="15850" xr:uid="{00000000-0005-0000-0000-00007B370000}"/>
    <cellStyle name="Normal 4 2 2 6 8" xfId="5007" xr:uid="{00000000-0005-0000-0000-00007C370000}"/>
    <cellStyle name="Normal 4 2 2 6 8 2" xfId="11646" xr:uid="{00000000-0005-0000-0000-00007D370000}"/>
    <cellStyle name="Normal 4 2 2 6 8_SSL" xfId="13250" xr:uid="{00000000-0005-0000-0000-00007E370000}"/>
    <cellStyle name="Normal 4 2 2 6 9" xfId="5817" xr:uid="{00000000-0005-0000-0000-00007F370000}"/>
    <cellStyle name="Normal 4 2 2 6 9 2" xfId="12455" xr:uid="{00000000-0005-0000-0000-000080370000}"/>
    <cellStyle name="Normal 4 2 2 6 9_SSL" xfId="13859" xr:uid="{00000000-0005-0000-0000-000081370000}"/>
    <cellStyle name="Normal 4 2 2 6_SSL" xfId="16170" xr:uid="{00000000-0005-0000-0000-000082370000}"/>
    <cellStyle name="Normal 4 2 2 7" xfId="412" xr:uid="{00000000-0005-0000-0000-000083370000}"/>
    <cellStyle name="Normal 4 2 2 7 10" xfId="6751" xr:uid="{00000000-0005-0000-0000-000084370000}"/>
    <cellStyle name="Normal 4 2 2 7 2" xfId="800" xr:uid="{00000000-0005-0000-0000-000085370000}"/>
    <cellStyle name="Normal 4 2 2 7 2 2" xfId="1741" xr:uid="{00000000-0005-0000-0000-000086370000}"/>
    <cellStyle name="Normal 4 2 2 7 2 2 2" xfId="8396" xr:uid="{00000000-0005-0000-0000-000087370000}"/>
    <cellStyle name="Normal 4 2 2 7 2 2_SSL" xfId="13381" xr:uid="{00000000-0005-0000-0000-000088370000}"/>
    <cellStyle name="Normal 4 2 2 7 2 3" xfId="2561" xr:uid="{00000000-0005-0000-0000-000089370000}"/>
    <cellStyle name="Normal 4 2 2 7 2 3 2" xfId="9209" xr:uid="{00000000-0005-0000-0000-00008A370000}"/>
    <cellStyle name="Normal 4 2 2 7 2 3_SSL" xfId="17621" xr:uid="{00000000-0005-0000-0000-00008B370000}"/>
    <cellStyle name="Normal 4 2 2 7 2 4" xfId="3381" xr:uid="{00000000-0005-0000-0000-00008C370000}"/>
    <cellStyle name="Normal 4 2 2 7 2 4 2" xfId="10026" xr:uid="{00000000-0005-0000-0000-00008D370000}"/>
    <cellStyle name="Normal 4 2 2 7 2 4_SSL" xfId="16682" xr:uid="{00000000-0005-0000-0000-00008E370000}"/>
    <cellStyle name="Normal 4 2 2 7 2 5" xfId="4201" xr:uid="{00000000-0005-0000-0000-00008F370000}"/>
    <cellStyle name="Normal 4 2 2 7 2 5 2" xfId="10841" xr:uid="{00000000-0005-0000-0000-000090370000}"/>
    <cellStyle name="Normal 4 2 2 7 2 5_SSL" xfId="16745" xr:uid="{00000000-0005-0000-0000-000091370000}"/>
    <cellStyle name="Normal 4 2 2 7 2 6" xfId="5012" xr:uid="{00000000-0005-0000-0000-000092370000}"/>
    <cellStyle name="Normal 4 2 2 7 2 6 2" xfId="11651" xr:uid="{00000000-0005-0000-0000-000093370000}"/>
    <cellStyle name="Normal 4 2 2 7 2 6_SSL" xfId="16308" xr:uid="{00000000-0005-0000-0000-000094370000}"/>
    <cellStyle name="Normal 4 2 2 7 2 7" xfId="5822" xr:uid="{00000000-0005-0000-0000-000095370000}"/>
    <cellStyle name="Normal 4 2 2 7 2 7 2" xfId="12460" xr:uid="{00000000-0005-0000-0000-000096370000}"/>
    <cellStyle name="Normal 4 2 2 7 2 7_SSL" xfId="17472" xr:uid="{00000000-0005-0000-0000-000097370000}"/>
    <cellStyle name="Normal 4 2 2 7 2 8" xfId="7656" xr:uid="{00000000-0005-0000-0000-000098370000}"/>
    <cellStyle name="Normal 4 2 2 7 2 9" xfId="6752" xr:uid="{00000000-0005-0000-0000-000099370000}"/>
    <cellStyle name="Normal 4 2 2 7 2_SSL" xfId="15645" xr:uid="{00000000-0005-0000-0000-00009A370000}"/>
    <cellStyle name="Normal 4 2 2 7 3" xfId="1740" xr:uid="{00000000-0005-0000-0000-00009B370000}"/>
    <cellStyle name="Normal 4 2 2 7 3 2" xfId="8395" xr:uid="{00000000-0005-0000-0000-00009C370000}"/>
    <cellStyle name="Normal 4 2 2 7 3_SSL" xfId="17912" xr:uid="{00000000-0005-0000-0000-00009D370000}"/>
    <cellStyle name="Normal 4 2 2 7 4" xfId="2560" xr:uid="{00000000-0005-0000-0000-00009E370000}"/>
    <cellStyle name="Normal 4 2 2 7 4 2" xfId="9208" xr:uid="{00000000-0005-0000-0000-00009F370000}"/>
    <cellStyle name="Normal 4 2 2 7 4_SSL" xfId="17203" xr:uid="{00000000-0005-0000-0000-0000A0370000}"/>
    <cellStyle name="Normal 4 2 2 7 5" xfId="3380" xr:uid="{00000000-0005-0000-0000-0000A1370000}"/>
    <cellStyle name="Normal 4 2 2 7 5 2" xfId="10025" xr:uid="{00000000-0005-0000-0000-0000A2370000}"/>
    <cellStyle name="Normal 4 2 2 7 5_SSL" xfId="17649" xr:uid="{00000000-0005-0000-0000-0000A3370000}"/>
    <cellStyle name="Normal 4 2 2 7 6" xfId="4200" xr:uid="{00000000-0005-0000-0000-0000A4370000}"/>
    <cellStyle name="Normal 4 2 2 7 6 2" xfId="10840" xr:uid="{00000000-0005-0000-0000-0000A5370000}"/>
    <cellStyle name="Normal 4 2 2 7 6_SSL" xfId="16303" xr:uid="{00000000-0005-0000-0000-0000A6370000}"/>
    <cellStyle name="Normal 4 2 2 7 7" xfId="5011" xr:uid="{00000000-0005-0000-0000-0000A7370000}"/>
    <cellStyle name="Normal 4 2 2 7 7 2" xfId="11650" xr:uid="{00000000-0005-0000-0000-0000A8370000}"/>
    <cellStyle name="Normal 4 2 2 7 7_SSL" xfId="15511" xr:uid="{00000000-0005-0000-0000-0000A9370000}"/>
    <cellStyle name="Normal 4 2 2 7 8" xfId="5821" xr:uid="{00000000-0005-0000-0000-0000AA370000}"/>
    <cellStyle name="Normal 4 2 2 7 8 2" xfId="12459" xr:uid="{00000000-0005-0000-0000-0000AB370000}"/>
    <cellStyle name="Normal 4 2 2 7 8_SSL" xfId="17604" xr:uid="{00000000-0005-0000-0000-0000AC370000}"/>
    <cellStyle name="Normal 4 2 2 7 9" xfId="7272" xr:uid="{00000000-0005-0000-0000-0000AD370000}"/>
    <cellStyle name="Normal 4 2 2 7_SSL" xfId="14559" xr:uid="{00000000-0005-0000-0000-0000AE370000}"/>
    <cellStyle name="Normal 4 2 2 8" xfId="484" xr:uid="{00000000-0005-0000-0000-0000AF370000}"/>
    <cellStyle name="Normal 4 2 2 8 2" xfId="1742" xr:uid="{00000000-0005-0000-0000-0000B0370000}"/>
    <cellStyle name="Normal 4 2 2 8 2 2" xfId="8397" xr:uid="{00000000-0005-0000-0000-0000B1370000}"/>
    <cellStyle name="Normal 4 2 2 8 2_SSL" xfId="16867" xr:uid="{00000000-0005-0000-0000-0000B2370000}"/>
    <cellStyle name="Normal 4 2 2 8 3" xfId="2562" xr:uid="{00000000-0005-0000-0000-0000B3370000}"/>
    <cellStyle name="Normal 4 2 2 8 3 2" xfId="9210" xr:uid="{00000000-0005-0000-0000-0000B4370000}"/>
    <cellStyle name="Normal 4 2 2 8 3_SSL" xfId="6113" xr:uid="{00000000-0005-0000-0000-0000B5370000}"/>
    <cellStyle name="Normal 4 2 2 8 4" xfId="3382" xr:uid="{00000000-0005-0000-0000-0000B6370000}"/>
    <cellStyle name="Normal 4 2 2 8 4 2" xfId="10027" xr:uid="{00000000-0005-0000-0000-0000B7370000}"/>
    <cellStyle name="Normal 4 2 2 8 4_SSL" xfId="13301" xr:uid="{00000000-0005-0000-0000-0000B8370000}"/>
    <cellStyle name="Normal 4 2 2 8 5" xfId="4202" xr:uid="{00000000-0005-0000-0000-0000B9370000}"/>
    <cellStyle name="Normal 4 2 2 8 5 2" xfId="10842" xr:uid="{00000000-0005-0000-0000-0000BA370000}"/>
    <cellStyle name="Normal 4 2 2 8 5_SSL" xfId="12823" xr:uid="{00000000-0005-0000-0000-0000BB370000}"/>
    <cellStyle name="Normal 4 2 2 8 6" xfId="5013" xr:uid="{00000000-0005-0000-0000-0000BC370000}"/>
    <cellStyle name="Normal 4 2 2 8 6 2" xfId="11652" xr:uid="{00000000-0005-0000-0000-0000BD370000}"/>
    <cellStyle name="Normal 4 2 2 8 6_SSL" xfId="17740" xr:uid="{00000000-0005-0000-0000-0000BE370000}"/>
    <cellStyle name="Normal 4 2 2 8 7" xfId="5823" xr:uid="{00000000-0005-0000-0000-0000BF370000}"/>
    <cellStyle name="Normal 4 2 2 8 7 2" xfId="12461" xr:uid="{00000000-0005-0000-0000-0000C0370000}"/>
    <cellStyle name="Normal 4 2 2 8 7_SSL" xfId="16843" xr:uid="{00000000-0005-0000-0000-0000C1370000}"/>
    <cellStyle name="Normal 4 2 2 8 8" xfId="7340" xr:uid="{00000000-0005-0000-0000-0000C2370000}"/>
    <cellStyle name="Normal 4 2 2 8 9" xfId="6753" xr:uid="{00000000-0005-0000-0000-0000C3370000}"/>
    <cellStyle name="Normal 4 2 2 8_SSL" xfId="17359" xr:uid="{00000000-0005-0000-0000-0000C4370000}"/>
    <cellStyle name="Normal 4 2 2 9" xfId="1711" xr:uid="{00000000-0005-0000-0000-0000C5370000}"/>
    <cellStyle name="Normal 4 2 2 9 2" xfId="8366" xr:uid="{00000000-0005-0000-0000-0000C6370000}"/>
    <cellStyle name="Normal 4 2 2 9_SSL" xfId="12862" xr:uid="{00000000-0005-0000-0000-0000C7370000}"/>
    <cellStyle name="Normal 4 2 2_SSL" xfId="16074" xr:uid="{00000000-0005-0000-0000-0000C8370000}"/>
    <cellStyle name="Normal 4 2 3" xfId="86" xr:uid="{00000000-0005-0000-0000-0000C9370000}"/>
    <cellStyle name="Normal 4 2 3 10" xfId="5824" xr:uid="{00000000-0005-0000-0000-0000CA370000}"/>
    <cellStyle name="Normal 4 2 3 10 2" xfId="12462" xr:uid="{00000000-0005-0000-0000-0000CB370000}"/>
    <cellStyle name="Normal 4 2 3 10_SSL" xfId="14156" xr:uid="{00000000-0005-0000-0000-0000CC370000}"/>
    <cellStyle name="Normal 4 2 3 11" xfId="6967" xr:uid="{00000000-0005-0000-0000-0000CD370000}"/>
    <cellStyle name="Normal 4 2 3 12" xfId="6754" xr:uid="{00000000-0005-0000-0000-0000CE370000}"/>
    <cellStyle name="Normal 4 2 3 2" xfId="186" xr:uid="{00000000-0005-0000-0000-0000CF370000}"/>
    <cellStyle name="Normal 4 2 3 2 10" xfId="7063" xr:uid="{00000000-0005-0000-0000-0000D0370000}"/>
    <cellStyle name="Normal 4 2 3 2 11" xfId="6755" xr:uid="{00000000-0005-0000-0000-0000D1370000}"/>
    <cellStyle name="Normal 4 2 3 2 2" xfId="421" xr:uid="{00000000-0005-0000-0000-0000D2370000}"/>
    <cellStyle name="Normal 4 2 3 2 2 10" xfId="6756" xr:uid="{00000000-0005-0000-0000-0000D3370000}"/>
    <cellStyle name="Normal 4 2 3 2 2 2" xfId="809" xr:uid="{00000000-0005-0000-0000-0000D4370000}"/>
    <cellStyle name="Normal 4 2 3 2 2 2 2" xfId="1746" xr:uid="{00000000-0005-0000-0000-0000D5370000}"/>
    <cellStyle name="Normal 4 2 3 2 2 2 2 2" xfId="8401" xr:uid="{00000000-0005-0000-0000-0000D6370000}"/>
    <cellStyle name="Normal 4 2 3 2 2 2 2_SSL" xfId="18010" xr:uid="{00000000-0005-0000-0000-0000D7370000}"/>
    <cellStyle name="Normal 4 2 3 2 2 2 3" xfId="2566" xr:uid="{00000000-0005-0000-0000-0000D8370000}"/>
    <cellStyle name="Normal 4 2 3 2 2 2 3 2" xfId="9214" xr:uid="{00000000-0005-0000-0000-0000D9370000}"/>
    <cellStyle name="Normal 4 2 3 2 2 2 3_SSL" xfId="16964" xr:uid="{00000000-0005-0000-0000-0000DA370000}"/>
    <cellStyle name="Normal 4 2 3 2 2 2 4" xfId="3386" xr:uid="{00000000-0005-0000-0000-0000DB370000}"/>
    <cellStyle name="Normal 4 2 3 2 2 2 4 2" xfId="10031" xr:uid="{00000000-0005-0000-0000-0000DC370000}"/>
    <cellStyle name="Normal 4 2 3 2 2 2 4_SSL" xfId="17880" xr:uid="{00000000-0005-0000-0000-0000DD370000}"/>
    <cellStyle name="Normal 4 2 3 2 2 2 5" xfId="4206" xr:uid="{00000000-0005-0000-0000-0000DE370000}"/>
    <cellStyle name="Normal 4 2 3 2 2 2 5 2" xfId="10846" xr:uid="{00000000-0005-0000-0000-0000DF370000}"/>
    <cellStyle name="Normal 4 2 3 2 2 2 5_SSL" xfId="13734" xr:uid="{00000000-0005-0000-0000-0000E0370000}"/>
    <cellStyle name="Normal 4 2 3 2 2 2 6" xfId="5017" xr:uid="{00000000-0005-0000-0000-0000E1370000}"/>
    <cellStyle name="Normal 4 2 3 2 2 2 6 2" xfId="11656" xr:uid="{00000000-0005-0000-0000-0000E2370000}"/>
    <cellStyle name="Normal 4 2 3 2 2 2 6_SSL" xfId="13351" xr:uid="{00000000-0005-0000-0000-0000E3370000}"/>
    <cellStyle name="Normal 4 2 3 2 2 2 7" xfId="5827" xr:uid="{00000000-0005-0000-0000-0000E4370000}"/>
    <cellStyle name="Normal 4 2 3 2 2 2 7 2" xfId="12465" xr:uid="{00000000-0005-0000-0000-0000E5370000}"/>
    <cellStyle name="Normal 4 2 3 2 2 2 7_SSL" xfId="13564" xr:uid="{00000000-0005-0000-0000-0000E6370000}"/>
    <cellStyle name="Normal 4 2 3 2 2 2 8" xfId="7665" xr:uid="{00000000-0005-0000-0000-0000E7370000}"/>
    <cellStyle name="Normal 4 2 3 2 2 2 9" xfId="6757" xr:uid="{00000000-0005-0000-0000-0000E8370000}"/>
    <cellStyle name="Normal 4 2 3 2 2 2_SSL" xfId="15588" xr:uid="{00000000-0005-0000-0000-0000E9370000}"/>
    <cellStyle name="Normal 4 2 3 2 2 3" xfId="1745" xr:uid="{00000000-0005-0000-0000-0000EA370000}"/>
    <cellStyle name="Normal 4 2 3 2 2 3 2" xfId="8400" xr:uid="{00000000-0005-0000-0000-0000EB370000}"/>
    <cellStyle name="Normal 4 2 3 2 2 3_SSL" xfId="12912" xr:uid="{00000000-0005-0000-0000-0000EC370000}"/>
    <cellStyle name="Normal 4 2 3 2 2 4" xfId="2565" xr:uid="{00000000-0005-0000-0000-0000ED370000}"/>
    <cellStyle name="Normal 4 2 3 2 2 4 2" xfId="9213" xr:uid="{00000000-0005-0000-0000-0000EE370000}"/>
    <cellStyle name="Normal 4 2 3 2 2 4_SSL" xfId="15357" xr:uid="{00000000-0005-0000-0000-0000EF370000}"/>
    <cellStyle name="Normal 4 2 3 2 2 5" xfId="3385" xr:uid="{00000000-0005-0000-0000-0000F0370000}"/>
    <cellStyle name="Normal 4 2 3 2 2 5 2" xfId="10030" xr:uid="{00000000-0005-0000-0000-0000F1370000}"/>
    <cellStyle name="Normal 4 2 3 2 2 5_SSL" xfId="12772" xr:uid="{00000000-0005-0000-0000-0000F2370000}"/>
    <cellStyle name="Normal 4 2 3 2 2 6" xfId="4205" xr:uid="{00000000-0005-0000-0000-0000F3370000}"/>
    <cellStyle name="Normal 4 2 3 2 2 6 2" xfId="10845" xr:uid="{00000000-0005-0000-0000-0000F4370000}"/>
    <cellStyle name="Normal 4 2 3 2 2 6_SSL" xfId="15670" xr:uid="{00000000-0005-0000-0000-0000F5370000}"/>
    <cellStyle name="Normal 4 2 3 2 2 7" xfId="5016" xr:uid="{00000000-0005-0000-0000-0000F6370000}"/>
    <cellStyle name="Normal 4 2 3 2 2 7 2" xfId="11655" xr:uid="{00000000-0005-0000-0000-0000F7370000}"/>
    <cellStyle name="Normal 4 2 3 2 2 7_SSL" xfId="13376" xr:uid="{00000000-0005-0000-0000-0000F8370000}"/>
    <cellStyle name="Normal 4 2 3 2 2 8" xfId="5826" xr:uid="{00000000-0005-0000-0000-0000F9370000}"/>
    <cellStyle name="Normal 4 2 3 2 2 8 2" xfId="12464" xr:uid="{00000000-0005-0000-0000-0000FA370000}"/>
    <cellStyle name="Normal 4 2 3 2 2 8_SSL" xfId="17728" xr:uid="{00000000-0005-0000-0000-0000FB370000}"/>
    <cellStyle name="Normal 4 2 3 2 2 9" xfId="7281" xr:uid="{00000000-0005-0000-0000-0000FC370000}"/>
    <cellStyle name="Normal 4 2 3 2 2_SSL" xfId="16088" xr:uid="{00000000-0005-0000-0000-0000FD370000}"/>
    <cellStyle name="Normal 4 2 3 2 3" xfId="591" xr:uid="{00000000-0005-0000-0000-0000FE370000}"/>
    <cellStyle name="Normal 4 2 3 2 3 2" xfId="1747" xr:uid="{00000000-0005-0000-0000-0000FF370000}"/>
    <cellStyle name="Normal 4 2 3 2 3 2 2" xfId="8402" xr:uid="{00000000-0005-0000-0000-000000380000}"/>
    <cellStyle name="Normal 4 2 3 2 3 2_SSL" xfId="13369" xr:uid="{00000000-0005-0000-0000-000001380000}"/>
    <cellStyle name="Normal 4 2 3 2 3 3" xfId="2567" xr:uid="{00000000-0005-0000-0000-000002380000}"/>
    <cellStyle name="Normal 4 2 3 2 3 3 2" xfId="9215" xr:uid="{00000000-0005-0000-0000-000003380000}"/>
    <cellStyle name="Normal 4 2 3 2 3 3_SSL" xfId="13068" xr:uid="{00000000-0005-0000-0000-000004380000}"/>
    <cellStyle name="Normal 4 2 3 2 3 4" xfId="3387" xr:uid="{00000000-0005-0000-0000-000005380000}"/>
    <cellStyle name="Normal 4 2 3 2 3 4 2" xfId="10032" xr:uid="{00000000-0005-0000-0000-000006380000}"/>
    <cellStyle name="Normal 4 2 3 2 3 4_SSL" xfId="13448" xr:uid="{00000000-0005-0000-0000-000007380000}"/>
    <cellStyle name="Normal 4 2 3 2 3 5" xfId="4207" xr:uid="{00000000-0005-0000-0000-000008380000}"/>
    <cellStyle name="Normal 4 2 3 2 3 5 2" xfId="10847" xr:uid="{00000000-0005-0000-0000-000009380000}"/>
    <cellStyle name="Normal 4 2 3 2 3 5_SSL" xfId="16370" xr:uid="{00000000-0005-0000-0000-00000A380000}"/>
    <cellStyle name="Normal 4 2 3 2 3 6" xfId="5018" xr:uid="{00000000-0005-0000-0000-00000B380000}"/>
    <cellStyle name="Normal 4 2 3 2 3 6 2" xfId="11657" xr:uid="{00000000-0005-0000-0000-00000C380000}"/>
    <cellStyle name="Normal 4 2 3 2 3 6_SSL" xfId="17018" xr:uid="{00000000-0005-0000-0000-00000D380000}"/>
    <cellStyle name="Normal 4 2 3 2 3 7" xfId="5828" xr:uid="{00000000-0005-0000-0000-00000E380000}"/>
    <cellStyle name="Normal 4 2 3 2 3 7 2" xfId="12466" xr:uid="{00000000-0005-0000-0000-00000F380000}"/>
    <cellStyle name="Normal 4 2 3 2 3 7_SSL" xfId="15644" xr:uid="{00000000-0005-0000-0000-000010380000}"/>
    <cellStyle name="Normal 4 2 3 2 3 8" xfId="7447" xr:uid="{00000000-0005-0000-0000-000011380000}"/>
    <cellStyle name="Normal 4 2 3 2 3 9" xfId="6758" xr:uid="{00000000-0005-0000-0000-000012380000}"/>
    <cellStyle name="Normal 4 2 3 2 3_SSL" xfId="15394" xr:uid="{00000000-0005-0000-0000-000013380000}"/>
    <cellStyle name="Normal 4 2 3 2 4" xfId="1744" xr:uid="{00000000-0005-0000-0000-000014380000}"/>
    <cellStyle name="Normal 4 2 3 2 4 2" xfId="8399" xr:uid="{00000000-0005-0000-0000-000015380000}"/>
    <cellStyle name="Normal 4 2 3 2 4_SSL" xfId="16054" xr:uid="{00000000-0005-0000-0000-000016380000}"/>
    <cellStyle name="Normal 4 2 3 2 5" xfId="2564" xr:uid="{00000000-0005-0000-0000-000017380000}"/>
    <cellStyle name="Normal 4 2 3 2 5 2" xfId="9212" xr:uid="{00000000-0005-0000-0000-000018380000}"/>
    <cellStyle name="Normal 4 2 3 2 5_SSL" xfId="12633" xr:uid="{00000000-0005-0000-0000-000019380000}"/>
    <cellStyle name="Normal 4 2 3 2 6" xfId="3384" xr:uid="{00000000-0005-0000-0000-00001A380000}"/>
    <cellStyle name="Normal 4 2 3 2 6 2" xfId="10029" xr:uid="{00000000-0005-0000-0000-00001B380000}"/>
    <cellStyle name="Normal 4 2 3 2 6_SSL" xfId="15067" xr:uid="{00000000-0005-0000-0000-00001C380000}"/>
    <cellStyle name="Normal 4 2 3 2 7" xfId="4204" xr:uid="{00000000-0005-0000-0000-00001D380000}"/>
    <cellStyle name="Normal 4 2 3 2 7 2" xfId="10844" xr:uid="{00000000-0005-0000-0000-00001E380000}"/>
    <cellStyle name="Normal 4 2 3 2 7_SSL" xfId="13965" xr:uid="{00000000-0005-0000-0000-00001F380000}"/>
    <cellStyle name="Normal 4 2 3 2 8" xfId="5015" xr:uid="{00000000-0005-0000-0000-000020380000}"/>
    <cellStyle name="Normal 4 2 3 2 8 2" xfId="11654" xr:uid="{00000000-0005-0000-0000-000021380000}"/>
    <cellStyle name="Normal 4 2 3 2 8_SSL" xfId="12661" xr:uid="{00000000-0005-0000-0000-000022380000}"/>
    <cellStyle name="Normal 4 2 3 2 9" xfId="5825" xr:uid="{00000000-0005-0000-0000-000023380000}"/>
    <cellStyle name="Normal 4 2 3 2 9 2" xfId="12463" xr:uid="{00000000-0005-0000-0000-000024380000}"/>
    <cellStyle name="Normal 4 2 3 2 9_SSL" xfId="15675" xr:uid="{00000000-0005-0000-0000-000025380000}"/>
    <cellStyle name="Normal 4 2 3 2_SSL" xfId="15903" xr:uid="{00000000-0005-0000-0000-000026380000}"/>
    <cellStyle name="Normal 4 2 3 3" xfId="420" xr:uid="{00000000-0005-0000-0000-000027380000}"/>
    <cellStyle name="Normal 4 2 3 3 10" xfId="6759" xr:uid="{00000000-0005-0000-0000-000028380000}"/>
    <cellStyle name="Normal 4 2 3 3 2" xfId="808" xr:uid="{00000000-0005-0000-0000-000029380000}"/>
    <cellStyle name="Normal 4 2 3 3 2 2" xfId="1749" xr:uid="{00000000-0005-0000-0000-00002A380000}"/>
    <cellStyle name="Normal 4 2 3 3 2 2 2" xfId="8404" xr:uid="{00000000-0005-0000-0000-00002B380000}"/>
    <cellStyle name="Normal 4 2 3 3 2 2_SSL" xfId="14949" xr:uid="{00000000-0005-0000-0000-00002C380000}"/>
    <cellStyle name="Normal 4 2 3 3 2 3" xfId="2569" xr:uid="{00000000-0005-0000-0000-00002D380000}"/>
    <cellStyle name="Normal 4 2 3 3 2 3 2" xfId="9217" xr:uid="{00000000-0005-0000-0000-00002E380000}"/>
    <cellStyle name="Normal 4 2 3 3 2 3_SSL" xfId="13486" xr:uid="{00000000-0005-0000-0000-00002F380000}"/>
    <cellStyle name="Normal 4 2 3 3 2 4" xfId="3389" xr:uid="{00000000-0005-0000-0000-000030380000}"/>
    <cellStyle name="Normal 4 2 3 3 2 4 2" xfId="10034" xr:uid="{00000000-0005-0000-0000-000031380000}"/>
    <cellStyle name="Normal 4 2 3 3 2 4_SSL" xfId="16276" xr:uid="{00000000-0005-0000-0000-000032380000}"/>
    <cellStyle name="Normal 4 2 3 3 2 5" xfId="4209" xr:uid="{00000000-0005-0000-0000-000033380000}"/>
    <cellStyle name="Normal 4 2 3 3 2 5 2" xfId="10849" xr:uid="{00000000-0005-0000-0000-000034380000}"/>
    <cellStyle name="Normal 4 2 3 3 2 5_SSL" xfId="17538" xr:uid="{00000000-0005-0000-0000-000035380000}"/>
    <cellStyle name="Normal 4 2 3 3 2 6" xfId="5020" xr:uid="{00000000-0005-0000-0000-000036380000}"/>
    <cellStyle name="Normal 4 2 3 3 2 6 2" xfId="11659" xr:uid="{00000000-0005-0000-0000-000037380000}"/>
    <cellStyle name="Normal 4 2 3 3 2 6_SSL" xfId="14419" xr:uid="{00000000-0005-0000-0000-000038380000}"/>
    <cellStyle name="Normal 4 2 3 3 2 7" xfId="5830" xr:uid="{00000000-0005-0000-0000-000039380000}"/>
    <cellStyle name="Normal 4 2 3 3 2 7 2" xfId="12468" xr:uid="{00000000-0005-0000-0000-00003A380000}"/>
    <cellStyle name="Normal 4 2 3 3 2 7_SSL" xfId="15646" xr:uid="{00000000-0005-0000-0000-00003B380000}"/>
    <cellStyle name="Normal 4 2 3 3 2 8" xfId="7664" xr:uid="{00000000-0005-0000-0000-00003C380000}"/>
    <cellStyle name="Normal 4 2 3 3 2 9" xfId="6760" xr:uid="{00000000-0005-0000-0000-00003D380000}"/>
    <cellStyle name="Normal 4 2 3 3 2_SSL" xfId="17686" xr:uid="{00000000-0005-0000-0000-00003E380000}"/>
    <cellStyle name="Normal 4 2 3 3 3" xfId="1748" xr:uid="{00000000-0005-0000-0000-00003F380000}"/>
    <cellStyle name="Normal 4 2 3 3 3 2" xfId="8403" xr:uid="{00000000-0005-0000-0000-000040380000}"/>
    <cellStyle name="Normal 4 2 3 3 3_SSL" xfId="15273" xr:uid="{00000000-0005-0000-0000-000041380000}"/>
    <cellStyle name="Normal 4 2 3 3 4" xfId="2568" xr:uid="{00000000-0005-0000-0000-000042380000}"/>
    <cellStyle name="Normal 4 2 3 3 4 2" xfId="9216" xr:uid="{00000000-0005-0000-0000-000043380000}"/>
    <cellStyle name="Normal 4 2 3 3 4_SSL" xfId="6721" xr:uid="{00000000-0005-0000-0000-000044380000}"/>
    <cellStyle name="Normal 4 2 3 3 5" xfId="3388" xr:uid="{00000000-0005-0000-0000-000045380000}"/>
    <cellStyle name="Normal 4 2 3 3 5 2" xfId="10033" xr:uid="{00000000-0005-0000-0000-000046380000}"/>
    <cellStyle name="Normal 4 2 3 3 5_SSL" xfId="12876" xr:uid="{00000000-0005-0000-0000-000047380000}"/>
    <cellStyle name="Normal 4 2 3 3 6" xfId="4208" xr:uid="{00000000-0005-0000-0000-000048380000}"/>
    <cellStyle name="Normal 4 2 3 3 6 2" xfId="10848" xr:uid="{00000000-0005-0000-0000-000049380000}"/>
    <cellStyle name="Normal 4 2 3 3 6_SSL" xfId="17036" xr:uid="{00000000-0005-0000-0000-00004A380000}"/>
    <cellStyle name="Normal 4 2 3 3 7" xfId="5019" xr:uid="{00000000-0005-0000-0000-00004B380000}"/>
    <cellStyle name="Normal 4 2 3 3 7 2" xfId="11658" xr:uid="{00000000-0005-0000-0000-00004C380000}"/>
    <cellStyle name="Normal 4 2 3 3 7_SSL" xfId="15551" xr:uid="{00000000-0005-0000-0000-00004D380000}"/>
    <cellStyle name="Normal 4 2 3 3 8" xfId="5829" xr:uid="{00000000-0005-0000-0000-00004E380000}"/>
    <cellStyle name="Normal 4 2 3 3 8 2" xfId="12467" xr:uid="{00000000-0005-0000-0000-00004F380000}"/>
    <cellStyle name="Normal 4 2 3 3 8_SSL" xfId="17679" xr:uid="{00000000-0005-0000-0000-000050380000}"/>
    <cellStyle name="Normal 4 2 3 3 9" xfId="7280" xr:uid="{00000000-0005-0000-0000-000051380000}"/>
    <cellStyle name="Normal 4 2 3 3_SSL" xfId="15010" xr:uid="{00000000-0005-0000-0000-000052380000}"/>
    <cellStyle name="Normal 4 2 3 4" xfId="495" xr:uid="{00000000-0005-0000-0000-000053380000}"/>
    <cellStyle name="Normal 4 2 3 4 2" xfId="1750" xr:uid="{00000000-0005-0000-0000-000054380000}"/>
    <cellStyle name="Normal 4 2 3 4 2 2" xfId="8405" xr:uid="{00000000-0005-0000-0000-000055380000}"/>
    <cellStyle name="Normal 4 2 3 4 2_SSL" xfId="15711" xr:uid="{00000000-0005-0000-0000-000056380000}"/>
    <cellStyle name="Normal 4 2 3 4 3" xfId="2570" xr:uid="{00000000-0005-0000-0000-000057380000}"/>
    <cellStyle name="Normal 4 2 3 4 3 2" xfId="9218" xr:uid="{00000000-0005-0000-0000-000058380000}"/>
    <cellStyle name="Normal 4 2 3 4 3_SSL" xfId="17889" xr:uid="{00000000-0005-0000-0000-000059380000}"/>
    <cellStyle name="Normal 4 2 3 4 4" xfId="3390" xr:uid="{00000000-0005-0000-0000-00005A380000}"/>
    <cellStyle name="Normal 4 2 3 4 4 2" xfId="10035" xr:uid="{00000000-0005-0000-0000-00005B380000}"/>
    <cellStyle name="Normal 4 2 3 4 4_SSL" xfId="17733" xr:uid="{00000000-0005-0000-0000-00005C380000}"/>
    <cellStyle name="Normal 4 2 3 4 5" xfId="4210" xr:uid="{00000000-0005-0000-0000-00005D380000}"/>
    <cellStyle name="Normal 4 2 3 4 5 2" xfId="10850" xr:uid="{00000000-0005-0000-0000-00005E380000}"/>
    <cellStyle name="Normal 4 2 3 4 5_SSL" xfId="15224" xr:uid="{00000000-0005-0000-0000-00005F380000}"/>
    <cellStyle name="Normal 4 2 3 4 6" xfId="5021" xr:uid="{00000000-0005-0000-0000-000060380000}"/>
    <cellStyle name="Normal 4 2 3 4 6 2" xfId="11660" xr:uid="{00000000-0005-0000-0000-000061380000}"/>
    <cellStyle name="Normal 4 2 3 4 6_SSL" xfId="14990" xr:uid="{00000000-0005-0000-0000-000062380000}"/>
    <cellStyle name="Normal 4 2 3 4 7" xfId="5831" xr:uid="{00000000-0005-0000-0000-000063380000}"/>
    <cellStyle name="Normal 4 2 3 4 7 2" xfId="12469" xr:uid="{00000000-0005-0000-0000-000064380000}"/>
    <cellStyle name="Normal 4 2 3 4 7_SSL" xfId="13140" xr:uid="{00000000-0005-0000-0000-000065380000}"/>
    <cellStyle name="Normal 4 2 3 4 8" xfId="7351" xr:uid="{00000000-0005-0000-0000-000066380000}"/>
    <cellStyle name="Normal 4 2 3 4 9" xfId="6761" xr:uid="{00000000-0005-0000-0000-000067380000}"/>
    <cellStyle name="Normal 4 2 3 4_SSL" xfId="16810" xr:uid="{00000000-0005-0000-0000-000068380000}"/>
    <cellStyle name="Normal 4 2 3 5" xfId="1743" xr:uid="{00000000-0005-0000-0000-000069380000}"/>
    <cellStyle name="Normal 4 2 3 5 2" xfId="8398" xr:uid="{00000000-0005-0000-0000-00006A380000}"/>
    <cellStyle name="Normal 4 2 3 5_SSL" xfId="12975" xr:uid="{00000000-0005-0000-0000-00006B380000}"/>
    <cellStyle name="Normal 4 2 3 6" xfId="2563" xr:uid="{00000000-0005-0000-0000-00006C380000}"/>
    <cellStyle name="Normal 4 2 3 6 2" xfId="9211" xr:uid="{00000000-0005-0000-0000-00006D380000}"/>
    <cellStyle name="Normal 4 2 3 6_SSL" xfId="14664" xr:uid="{00000000-0005-0000-0000-00006E380000}"/>
    <cellStyle name="Normal 4 2 3 7" xfId="3383" xr:uid="{00000000-0005-0000-0000-00006F380000}"/>
    <cellStyle name="Normal 4 2 3 7 2" xfId="10028" xr:uid="{00000000-0005-0000-0000-000070380000}"/>
    <cellStyle name="Normal 4 2 3 7_SSL" xfId="15530" xr:uid="{00000000-0005-0000-0000-000071380000}"/>
    <cellStyle name="Normal 4 2 3 8" xfId="4203" xr:uid="{00000000-0005-0000-0000-000072380000}"/>
    <cellStyle name="Normal 4 2 3 8 2" xfId="10843" xr:uid="{00000000-0005-0000-0000-000073380000}"/>
    <cellStyle name="Normal 4 2 3 8_SSL" xfId="16536" xr:uid="{00000000-0005-0000-0000-000074380000}"/>
    <cellStyle name="Normal 4 2 3 9" xfId="5014" xr:uid="{00000000-0005-0000-0000-000075380000}"/>
    <cellStyle name="Normal 4 2 3 9 2" xfId="11653" xr:uid="{00000000-0005-0000-0000-000076380000}"/>
    <cellStyle name="Normal 4 2 3 9_SSL" xfId="13595" xr:uid="{00000000-0005-0000-0000-000077380000}"/>
    <cellStyle name="Normal 4 2 3_SSL" xfId="15925" xr:uid="{00000000-0005-0000-0000-000078380000}"/>
    <cellStyle name="Normal 4 2 4" xfId="113" xr:uid="{00000000-0005-0000-0000-000079380000}"/>
    <cellStyle name="Normal 4 2 4 10" xfId="5832" xr:uid="{00000000-0005-0000-0000-00007A380000}"/>
    <cellStyle name="Normal 4 2 4 10 2" xfId="12470" xr:uid="{00000000-0005-0000-0000-00007B380000}"/>
    <cellStyle name="Normal 4 2 4 10_SSL" xfId="17217" xr:uid="{00000000-0005-0000-0000-00007C380000}"/>
    <cellStyle name="Normal 4 2 4 11" xfId="6990" xr:uid="{00000000-0005-0000-0000-00007D380000}"/>
    <cellStyle name="Normal 4 2 4 12" xfId="6762" xr:uid="{00000000-0005-0000-0000-00007E380000}"/>
    <cellStyle name="Normal 4 2 4 2" xfId="209" xr:uid="{00000000-0005-0000-0000-00007F380000}"/>
    <cellStyle name="Normal 4 2 4 2 10" xfId="7086" xr:uid="{00000000-0005-0000-0000-000080380000}"/>
    <cellStyle name="Normal 4 2 4 2 11" xfId="6763" xr:uid="{00000000-0005-0000-0000-000081380000}"/>
    <cellStyle name="Normal 4 2 4 2 2" xfId="423" xr:uid="{00000000-0005-0000-0000-000082380000}"/>
    <cellStyle name="Normal 4 2 4 2 2 10" xfId="6764" xr:uid="{00000000-0005-0000-0000-000083380000}"/>
    <cellStyle name="Normal 4 2 4 2 2 2" xfId="811" xr:uid="{00000000-0005-0000-0000-000084380000}"/>
    <cellStyle name="Normal 4 2 4 2 2 2 2" xfId="1754" xr:uid="{00000000-0005-0000-0000-000085380000}"/>
    <cellStyle name="Normal 4 2 4 2 2 2 2 2" xfId="8409" xr:uid="{00000000-0005-0000-0000-000086380000}"/>
    <cellStyle name="Normal 4 2 4 2 2 2 2_SSL" xfId="15175" xr:uid="{00000000-0005-0000-0000-000087380000}"/>
    <cellStyle name="Normal 4 2 4 2 2 2 3" xfId="2574" xr:uid="{00000000-0005-0000-0000-000088380000}"/>
    <cellStyle name="Normal 4 2 4 2 2 2 3 2" xfId="9222" xr:uid="{00000000-0005-0000-0000-000089380000}"/>
    <cellStyle name="Normal 4 2 4 2 2 2 3_SSL" xfId="13338" xr:uid="{00000000-0005-0000-0000-00008A380000}"/>
    <cellStyle name="Normal 4 2 4 2 2 2 4" xfId="3394" xr:uid="{00000000-0005-0000-0000-00008B380000}"/>
    <cellStyle name="Normal 4 2 4 2 2 2 4 2" xfId="10039" xr:uid="{00000000-0005-0000-0000-00008C380000}"/>
    <cellStyle name="Normal 4 2 4 2 2 2 4_SSL" xfId="15033" xr:uid="{00000000-0005-0000-0000-00008D380000}"/>
    <cellStyle name="Normal 4 2 4 2 2 2 5" xfId="4214" xr:uid="{00000000-0005-0000-0000-00008E380000}"/>
    <cellStyle name="Normal 4 2 4 2 2 2 5 2" xfId="10854" xr:uid="{00000000-0005-0000-0000-00008F380000}"/>
    <cellStyle name="Normal 4 2 4 2 2 2 5_SSL" xfId="16201" xr:uid="{00000000-0005-0000-0000-000090380000}"/>
    <cellStyle name="Normal 4 2 4 2 2 2 6" xfId="5025" xr:uid="{00000000-0005-0000-0000-000091380000}"/>
    <cellStyle name="Normal 4 2 4 2 2 2 6 2" xfId="11664" xr:uid="{00000000-0005-0000-0000-000092380000}"/>
    <cellStyle name="Normal 4 2 4 2 2 2 6_SSL" xfId="14205" xr:uid="{00000000-0005-0000-0000-000093380000}"/>
    <cellStyle name="Normal 4 2 4 2 2 2 7" xfId="5835" xr:uid="{00000000-0005-0000-0000-000094380000}"/>
    <cellStyle name="Normal 4 2 4 2 2 2 7 2" xfId="12473" xr:uid="{00000000-0005-0000-0000-000095380000}"/>
    <cellStyle name="Normal 4 2 4 2 2 2 7_SSL" xfId="17650" xr:uid="{00000000-0005-0000-0000-000096380000}"/>
    <cellStyle name="Normal 4 2 4 2 2 2 8" xfId="7667" xr:uid="{00000000-0005-0000-0000-000097380000}"/>
    <cellStyle name="Normal 4 2 4 2 2 2 9" xfId="6765" xr:uid="{00000000-0005-0000-0000-000098380000}"/>
    <cellStyle name="Normal 4 2 4 2 2 2_SSL" xfId="13246" xr:uid="{00000000-0005-0000-0000-000099380000}"/>
    <cellStyle name="Normal 4 2 4 2 2 3" xfId="1753" xr:uid="{00000000-0005-0000-0000-00009A380000}"/>
    <cellStyle name="Normal 4 2 4 2 2 3 2" xfId="8408" xr:uid="{00000000-0005-0000-0000-00009B380000}"/>
    <cellStyle name="Normal 4 2 4 2 2 3_SSL" xfId="6065" xr:uid="{00000000-0005-0000-0000-00009C380000}"/>
    <cellStyle name="Normal 4 2 4 2 2 4" xfId="2573" xr:uid="{00000000-0005-0000-0000-00009D380000}"/>
    <cellStyle name="Normal 4 2 4 2 2 4 2" xfId="9221" xr:uid="{00000000-0005-0000-0000-00009E380000}"/>
    <cellStyle name="Normal 4 2 4 2 2 4_SSL" xfId="12952" xr:uid="{00000000-0005-0000-0000-00009F380000}"/>
    <cellStyle name="Normal 4 2 4 2 2 5" xfId="3393" xr:uid="{00000000-0005-0000-0000-0000A0380000}"/>
    <cellStyle name="Normal 4 2 4 2 2 5 2" xfId="10038" xr:uid="{00000000-0005-0000-0000-0000A1380000}"/>
    <cellStyle name="Normal 4 2 4 2 2 5_SSL" xfId="14770" xr:uid="{00000000-0005-0000-0000-0000A2380000}"/>
    <cellStyle name="Normal 4 2 4 2 2 6" xfId="4213" xr:uid="{00000000-0005-0000-0000-0000A3380000}"/>
    <cellStyle name="Normal 4 2 4 2 2 6 2" xfId="10853" xr:uid="{00000000-0005-0000-0000-0000A4380000}"/>
    <cellStyle name="Normal 4 2 4 2 2 6_SSL" xfId="13929" xr:uid="{00000000-0005-0000-0000-0000A5380000}"/>
    <cellStyle name="Normal 4 2 4 2 2 7" xfId="5024" xr:uid="{00000000-0005-0000-0000-0000A6380000}"/>
    <cellStyle name="Normal 4 2 4 2 2 7 2" xfId="11663" xr:uid="{00000000-0005-0000-0000-0000A7380000}"/>
    <cellStyle name="Normal 4 2 4 2 2 7_SSL" xfId="6006" xr:uid="{00000000-0005-0000-0000-0000A8380000}"/>
    <cellStyle name="Normal 4 2 4 2 2 8" xfId="5834" xr:uid="{00000000-0005-0000-0000-0000A9380000}"/>
    <cellStyle name="Normal 4 2 4 2 2 8 2" xfId="12472" xr:uid="{00000000-0005-0000-0000-0000AA380000}"/>
    <cellStyle name="Normal 4 2 4 2 2 8_SSL" xfId="17971" xr:uid="{00000000-0005-0000-0000-0000AB380000}"/>
    <cellStyle name="Normal 4 2 4 2 2 9" xfId="7283" xr:uid="{00000000-0005-0000-0000-0000AC380000}"/>
    <cellStyle name="Normal 4 2 4 2 2_SSL" xfId="14160" xr:uid="{00000000-0005-0000-0000-0000AD380000}"/>
    <cellStyle name="Normal 4 2 4 2 3" xfId="614" xr:uid="{00000000-0005-0000-0000-0000AE380000}"/>
    <cellStyle name="Normal 4 2 4 2 3 2" xfId="1755" xr:uid="{00000000-0005-0000-0000-0000AF380000}"/>
    <cellStyle name="Normal 4 2 4 2 3 2 2" xfId="8410" xr:uid="{00000000-0005-0000-0000-0000B0380000}"/>
    <cellStyle name="Normal 4 2 4 2 3 2_SSL" xfId="12764" xr:uid="{00000000-0005-0000-0000-0000B1380000}"/>
    <cellStyle name="Normal 4 2 4 2 3 3" xfId="2575" xr:uid="{00000000-0005-0000-0000-0000B2380000}"/>
    <cellStyle name="Normal 4 2 4 2 3 3 2" xfId="9223" xr:uid="{00000000-0005-0000-0000-0000B3380000}"/>
    <cellStyle name="Normal 4 2 4 2 3 3_SSL" xfId="17970" xr:uid="{00000000-0005-0000-0000-0000B4380000}"/>
    <cellStyle name="Normal 4 2 4 2 3 4" xfId="3395" xr:uid="{00000000-0005-0000-0000-0000B5380000}"/>
    <cellStyle name="Normal 4 2 4 2 3 4 2" xfId="10040" xr:uid="{00000000-0005-0000-0000-0000B6380000}"/>
    <cellStyle name="Normal 4 2 4 2 3 4_SSL" xfId="14194" xr:uid="{00000000-0005-0000-0000-0000B7380000}"/>
    <cellStyle name="Normal 4 2 4 2 3 5" xfId="4215" xr:uid="{00000000-0005-0000-0000-0000B8380000}"/>
    <cellStyle name="Normal 4 2 4 2 3 5 2" xfId="10855" xr:uid="{00000000-0005-0000-0000-0000B9380000}"/>
    <cellStyle name="Normal 4 2 4 2 3 5_SSL" xfId="13728" xr:uid="{00000000-0005-0000-0000-0000BA380000}"/>
    <cellStyle name="Normal 4 2 4 2 3 6" xfId="5026" xr:uid="{00000000-0005-0000-0000-0000BB380000}"/>
    <cellStyle name="Normal 4 2 4 2 3 6 2" xfId="11665" xr:uid="{00000000-0005-0000-0000-0000BC380000}"/>
    <cellStyle name="Normal 4 2 4 2 3 6_SSL" xfId="15500" xr:uid="{00000000-0005-0000-0000-0000BD380000}"/>
    <cellStyle name="Normal 4 2 4 2 3 7" xfId="5836" xr:uid="{00000000-0005-0000-0000-0000BE380000}"/>
    <cellStyle name="Normal 4 2 4 2 3 7 2" xfId="12474" xr:uid="{00000000-0005-0000-0000-0000BF380000}"/>
    <cellStyle name="Normal 4 2 4 2 3 7_SSL" xfId="17940" xr:uid="{00000000-0005-0000-0000-0000C0380000}"/>
    <cellStyle name="Normal 4 2 4 2 3 8" xfId="7470" xr:uid="{00000000-0005-0000-0000-0000C1380000}"/>
    <cellStyle name="Normal 4 2 4 2 3 9" xfId="6766" xr:uid="{00000000-0005-0000-0000-0000C2380000}"/>
    <cellStyle name="Normal 4 2 4 2 3_SSL" xfId="14844" xr:uid="{00000000-0005-0000-0000-0000C3380000}"/>
    <cellStyle name="Normal 4 2 4 2 4" xfId="1752" xr:uid="{00000000-0005-0000-0000-0000C4380000}"/>
    <cellStyle name="Normal 4 2 4 2 4 2" xfId="8407" xr:uid="{00000000-0005-0000-0000-0000C5380000}"/>
    <cellStyle name="Normal 4 2 4 2 4_SSL" xfId="14755" xr:uid="{00000000-0005-0000-0000-0000C6380000}"/>
    <cellStyle name="Normal 4 2 4 2 5" xfId="2572" xr:uid="{00000000-0005-0000-0000-0000C7380000}"/>
    <cellStyle name="Normal 4 2 4 2 5 2" xfId="9220" xr:uid="{00000000-0005-0000-0000-0000C8380000}"/>
    <cellStyle name="Normal 4 2 4 2 5_SSL" xfId="13044" xr:uid="{00000000-0005-0000-0000-0000C9380000}"/>
    <cellStyle name="Normal 4 2 4 2 6" xfId="3392" xr:uid="{00000000-0005-0000-0000-0000CA380000}"/>
    <cellStyle name="Normal 4 2 4 2 6 2" xfId="10037" xr:uid="{00000000-0005-0000-0000-0000CB380000}"/>
    <cellStyle name="Normal 4 2 4 2 6_SSL" xfId="16748" xr:uid="{00000000-0005-0000-0000-0000CC380000}"/>
    <cellStyle name="Normal 4 2 4 2 7" xfId="4212" xr:uid="{00000000-0005-0000-0000-0000CD380000}"/>
    <cellStyle name="Normal 4 2 4 2 7 2" xfId="10852" xr:uid="{00000000-0005-0000-0000-0000CE380000}"/>
    <cellStyle name="Normal 4 2 4 2 7_SSL" xfId="17818" xr:uid="{00000000-0005-0000-0000-0000CF380000}"/>
    <cellStyle name="Normal 4 2 4 2 8" xfId="5023" xr:uid="{00000000-0005-0000-0000-0000D0380000}"/>
    <cellStyle name="Normal 4 2 4 2 8 2" xfId="11662" xr:uid="{00000000-0005-0000-0000-0000D1380000}"/>
    <cellStyle name="Normal 4 2 4 2 8_SSL" xfId="14746" xr:uid="{00000000-0005-0000-0000-0000D2380000}"/>
    <cellStyle name="Normal 4 2 4 2 9" xfId="5833" xr:uid="{00000000-0005-0000-0000-0000D3380000}"/>
    <cellStyle name="Normal 4 2 4 2 9 2" xfId="12471" xr:uid="{00000000-0005-0000-0000-0000D4380000}"/>
    <cellStyle name="Normal 4 2 4 2 9_SSL" xfId="14965" xr:uid="{00000000-0005-0000-0000-0000D5380000}"/>
    <cellStyle name="Normal 4 2 4 2_SSL" xfId="14641" xr:uid="{00000000-0005-0000-0000-0000D6380000}"/>
    <cellStyle name="Normal 4 2 4 3" xfId="422" xr:uid="{00000000-0005-0000-0000-0000D7380000}"/>
    <cellStyle name="Normal 4 2 4 3 10" xfId="6767" xr:uid="{00000000-0005-0000-0000-0000D8380000}"/>
    <cellStyle name="Normal 4 2 4 3 2" xfId="810" xr:uid="{00000000-0005-0000-0000-0000D9380000}"/>
    <cellStyle name="Normal 4 2 4 3 2 2" xfId="1757" xr:uid="{00000000-0005-0000-0000-0000DA380000}"/>
    <cellStyle name="Normal 4 2 4 3 2 2 2" xfId="8412" xr:uid="{00000000-0005-0000-0000-0000DB380000}"/>
    <cellStyle name="Normal 4 2 4 3 2 2_SSL" xfId="17192" xr:uid="{00000000-0005-0000-0000-0000DC380000}"/>
    <cellStyle name="Normal 4 2 4 3 2 3" xfId="2577" xr:uid="{00000000-0005-0000-0000-0000DD380000}"/>
    <cellStyle name="Normal 4 2 4 3 2 3 2" xfId="9225" xr:uid="{00000000-0005-0000-0000-0000DE380000}"/>
    <cellStyle name="Normal 4 2 4 3 2 3_SSL" xfId="15341" xr:uid="{00000000-0005-0000-0000-0000DF380000}"/>
    <cellStyle name="Normal 4 2 4 3 2 4" xfId="3397" xr:uid="{00000000-0005-0000-0000-0000E0380000}"/>
    <cellStyle name="Normal 4 2 4 3 2 4 2" xfId="10042" xr:uid="{00000000-0005-0000-0000-0000E1380000}"/>
    <cellStyle name="Normal 4 2 4 3 2 4_SSL" xfId="17150" xr:uid="{00000000-0005-0000-0000-0000E2380000}"/>
    <cellStyle name="Normal 4 2 4 3 2 5" xfId="4217" xr:uid="{00000000-0005-0000-0000-0000E3380000}"/>
    <cellStyle name="Normal 4 2 4 3 2 5 2" xfId="10857" xr:uid="{00000000-0005-0000-0000-0000E4380000}"/>
    <cellStyle name="Normal 4 2 4 3 2 5_SSL" xfId="14455" xr:uid="{00000000-0005-0000-0000-0000E5380000}"/>
    <cellStyle name="Normal 4 2 4 3 2 6" xfId="5028" xr:uid="{00000000-0005-0000-0000-0000E6380000}"/>
    <cellStyle name="Normal 4 2 4 3 2 6 2" xfId="11667" xr:uid="{00000000-0005-0000-0000-0000E7380000}"/>
    <cellStyle name="Normal 4 2 4 3 2 6_SSL" xfId="6015" xr:uid="{00000000-0005-0000-0000-0000E8380000}"/>
    <cellStyle name="Normal 4 2 4 3 2 7" xfId="5838" xr:uid="{00000000-0005-0000-0000-0000E9380000}"/>
    <cellStyle name="Normal 4 2 4 3 2 7 2" xfId="12476" xr:uid="{00000000-0005-0000-0000-0000EA380000}"/>
    <cellStyle name="Normal 4 2 4 3 2 7_SSL" xfId="14575" xr:uid="{00000000-0005-0000-0000-0000EB380000}"/>
    <cellStyle name="Normal 4 2 4 3 2 8" xfId="7666" xr:uid="{00000000-0005-0000-0000-0000EC380000}"/>
    <cellStyle name="Normal 4 2 4 3 2 9" xfId="6768" xr:uid="{00000000-0005-0000-0000-0000ED380000}"/>
    <cellStyle name="Normal 4 2 4 3 2_SSL" xfId="14887" xr:uid="{00000000-0005-0000-0000-0000EE380000}"/>
    <cellStyle name="Normal 4 2 4 3 3" xfId="1756" xr:uid="{00000000-0005-0000-0000-0000EF380000}"/>
    <cellStyle name="Normal 4 2 4 3 3 2" xfId="8411" xr:uid="{00000000-0005-0000-0000-0000F0380000}"/>
    <cellStyle name="Normal 4 2 4 3 3_SSL" xfId="14798" xr:uid="{00000000-0005-0000-0000-0000F1380000}"/>
    <cellStyle name="Normal 4 2 4 3 4" xfId="2576" xr:uid="{00000000-0005-0000-0000-0000F2380000}"/>
    <cellStyle name="Normal 4 2 4 3 4 2" xfId="9224" xr:uid="{00000000-0005-0000-0000-0000F3380000}"/>
    <cellStyle name="Normal 4 2 4 3 4_SSL" xfId="17809" xr:uid="{00000000-0005-0000-0000-0000F4380000}"/>
    <cellStyle name="Normal 4 2 4 3 5" xfId="3396" xr:uid="{00000000-0005-0000-0000-0000F5380000}"/>
    <cellStyle name="Normal 4 2 4 3 5 2" xfId="10041" xr:uid="{00000000-0005-0000-0000-0000F6380000}"/>
    <cellStyle name="Normal 4 2 4 3 5_SSL" xfId="16513" xr:uid="{00000000-0005-0000-0000-0000F7380000}"/>
    <cellStyle name="Normal 4 2 4 3 6" xfId="4216" xr:uid="{00000000-0005-0000-0000-0000F8380000}"/>
    <cellStyle name="Normal 4 2 4 3 6 2" xfId="10856" xr:uid="{00000000-0005-0000-0000-0000F9380000}"/>
    <cellStyle name="Normal 4 2 4 3 6_SSL" xfId="12970" xr:uid="{00000000-0005-0000-0000-0000FA380000}"/>
    <cellStyle name="Normal 4 2 4 3 7" xfId="5027" xr:uid="{00000000-0005-0000-0000-0000FB380000}"/>
    <cellStyle name="Normal 4 2 4 3 7 2" xfId="11666" xr:uid="{00000000-0005-0000-0000-0000FC380000}"/>
    <cellStyle name="Normal 4 2 4 3 7_SSL" xfId="16911" xr:uid="{00000000-0005-0000-0000-0000FD380000}"/>
    <cellStyle name="Normal 4 2 4 3 8" xfId="5837" xr:uid="{00000000-0005-0000-0000-0000FE380000}"/>
    <cellStyle name="Normal 4 2 4 3 8 2" xfId="12475" xr:uid="{00000000-0005-0000-0000-0000FF380000}"/>
    <cellStyle name="Normal 4 2 4 3 8_SSL" xfId="14191" xr:uid="{00000000-0005-0000-0000-000000390000}"/>
    <cellStyle name="Normal 4 2 4 3 9" xfId="7282" xr:uid="{00000000-0005-0000-0000-000001390000}"/>
    <cellStyle name="Normal 4 2 4 3_SSL" xfId="14493" xr:uid="{00000000-0005-0000-0000-000002390000}"/>
    <cellStyle name="Normal 4 2 4 4" xfId="518" xr:uid="{00000000-0005-0000-0000-000003390000}"/>
    <cellStyle name="Normal 4 2 4 4 2" xfId="1758" xr:uid="{00000000-0005-0000-0000-000004390000}"/>
    <cellStyle name="Normal 4 2 4 4 2 2" xfId="8413" xr:uid="{00000000-0005-0000-0000-000005390000}"/>
    <cellStyle name="Normal 4 2 4 4 2_SSL" xfId="16646" xr:uid="{00000000-0005-0000-0000-000006390000}"/>
    <cellStyle name="Normal 4 2 4 4 3" xfId="2578" xr:uid="{00000000-0005-0000-0000-000007390000}"/>
    <cellStyle name="Normal 4 2 4 4 3 2" xfId="9226" xr:uid="{00000000-0005-0000-0000-000008390000}"/>
    <cellStyle name="Normal 4 2 4 4 3_SSL" xfId="14613" xr:uid="{00000000-0005-0000-0000-000009390000}"/>
    <cellStyle name="Normal 4 2 4 4 4" xfId="3398" xr:uid="{00000000-0005-0000-0000-00000A390000}"/>
    <cellStyle name="Normal 4 2 4 4 4 2" xfId="10043" xr:uid="{00000000-0005-0000-0000-00000B390000}"/>
    <cellStyle name="Normal 4 2 4 4 4_SSL" xfId="16014" xr:uid="{00000000-0005-0000-0000-00000C390000}"/>
    <cellStyle name="Normal 4 2 4 4 5" xfId="4218" xr:uid="{00000000-0005-0000-0000-00000D390000}"/>
    <cellStyle name="Normal 4 2 4 4 5 2" xfId="10858" xr:uid="{00000000-0005-0000-0000-00000E390000}"/>
    <cellStyle name="Normal 4 2 4 4 5_SSL" xfId="15888" xr:uid="{00000000-0005-0000-0000-00000F390000}"/>
    <cellStyle name="Normal 4 2 4 4 6" xfId="5029" xr:uid="{00000000-0005-0000-0000-000010390000}"/>
    <cellStyle name="Normal 4 2 4 4 6 2" xfId="11668" xr:uid="{00000000-0005-0000-0000-000011390000}"/>
    <cellStyle name="Normal 4 2 4 4 6_SSL" xfId="13760" xr:uid="{00000000-0005-0000-0000-000012390000}"/>
    <cellStyle name="Normal 4 2 4 4 7" xfId="5839" xr:uid="{00000000-0005-0000-0000-000013390000}"/>
    <cellStyle name="Normal 4 2 4 4 7 2" xfId="12477" xr:uid="{00000000-0005-0000-0000-000014390000}"/>
    <cellStyle name="Normal 4 2 4 4 7_SSL" xfId="13316" xr:uid="{00000000-0005-0000-0000-000015390000}"/>
    <cellStyle name="Normal 4 2 4 4 8" xfId="7374" xr:uid="{00000000-0005-0000-0000-000016390000}"/>
    <cellStyle name="Normal 4 2 4 4 9" xfId="6769" xr:uid="{00000000-0005-0000-0000-000017390000}"/>
    <cellStyle name="Normal 4 2 4 4_SSL" xfId="17222" xr:uid="{00000000-0005-0000-0000-000018390000}"/>
    <cellStyle name="Normal 4 2 4 5" xfId="1751" xr:uid="{00000000-0005-0000-0000-000019390000}"/>
    <cellStyle name="Normal 4 2 4 5 2" xfId="8406" xr:uid="{00000000-0005-0000-0000-00001A390000}"/>
    <cellStyle name="Normal 4 2 4 5_SSL" xfId="16873" xr:uid="{00000000-0005-0000-0000-00001B390000}"/>
    <cellStyle name="Normal 4 2 4 6" xfId="2571" xr:uid="{00000000-0005-0000-0000-00001C390000}"/>
    <cellStyle name="Normal 4 2 4 6 2" xfId="9219" xr:uid="{00000000-0005-0000-0000-00001D390000}"/>
    <cellStyle name="Normal 4 2 4 6_SSL" xfId="16773" xr:uid="{00000000-0005-0000-0000-00001E390000}"/>
    <cellStyle name="Normal 4 2 4 7" xfId="3391" xr:uid="{00000000-0005-0000-0000-00001F390000}"/>
    <cellStyle name="Normal 4 2 4 7 2" xfId="10036" xr:uid="{00000000-0005-0000-0000-000020390000}"/>
    <cellStyle name="Normal 4 2 4 7_SSL" xfId="15713" xr:uid="{00000000-0005-0000-0000-000021390000}"/>
    <cellStyle name="Normal 4 2 4 8" xfId="4211" xr:uid="{00000000-0005-0000-0000-000022390000}"/>
    <cellStyle name="Normal 4 2 4 8 2" xfId="10851" xr:uid="{00000000-0005-0000-0000-000023390000}"/>
    <cellStyle name="Normal 4 2 4 8_SSL" xfId="16167" xr:uid="{00000000-0005-0000-0000-000024390000}"/>
    <cellStyle name="Normal 4 2 4 9" xfId="5022" xr:uid="{00000000-0005-0000-0000-000025390000}"/>
    <cellStyle name="Normal 4 2 4 9 2" xfId="11661" xr:uid="{00000000-0005-0000-0000-000026390000}"/>
    <cellStyle name="Normal 4 2 4 9_SSL" xfId="15220" xr:uid="{00000000-0005-0000-0000-000027390000}"/>
    <cellStyle name="Normal 4 2 4_SSL" xfId="14593" xr:uid="{00000000-0005-0000-0000-000028390000}"/>
    <cellStyle name="Normal 4 2 5" xfId="138" xr:uid="{00000000-0005-0000-0000-000029390000}"/>
    <cellStyle name="Normal 4 2 5 10" xfId="7015" xr:uid="{00000000-0005-0000-0000-00002A390000}"/>
    <cellStyle name="Normal 4 2 5 11" xfId="6770" xr:uid="{00000000-0005-0000-0000-00002B390000}"/>
    <cellStyle name="Normal 4 2 5 2" xfId="424" xr:uid="{00000000-0005-0000-0000-00002C390000}"/>
    <cellStyle name="Normal 4 2 5 2 10" xfId="6771" xr:uid="{00000000-0005-0000-0000-00002D390000}"/>
    <cellStyle name="Normal 4 2 5 2 2" xfId="812" xr:uid="{00000000-0005-0000-0000-00002E390000}"/>
    <cellStyle name="Normal 4 2 5 2 2 2" xfId="1761" xr:uid="{00000000-0005-0000-0000-00002F390000}"/>
    <cellStyle name="Normal 4 2 5 2 2 2 2" xfId="8416" xr:uid="{00000000-0005-0000-0000-000030390000}"/>
    <cellStyle name="Normal 4 2 5 2 2 2_SSL" xfId="14368" xr:uid="{00000000-0005-0000-0000-000031390000}"/>
    <cellStyle name="Normal 4 2 5 2 2 3" xfId="2581" xr:uid="{00000000-0005-0000-0000-000032390000}"/>
    <cellStyle name="Normal 4 2 5 2 2 3 2" xfId="9229" xr:uid="{00000000-0005-0000-0000-000033390000}"/>
    <cellStyle name="Normal 4 2 5 2 2 3_SSL" xfId="16891" xr:uid="{00000000-0005-0000-0000-000034390000}"/>
    <cellStyle name="Normal 4 2 5 2 2 4" xfId="3401" xr:uid="{00000000-0005-0000-0000-000035390000}"/>
    <cellStyle name="Normal 4 2 5 2 2 4 2" xfId="10046" xr:uid="{00000000-0005-0000-0000-000036390000}"/>
    <cellStyle name="Normal 4 2 5 2 2 4_SSL" xfId="13403" xr:uid="{00000000-0005-0000-0000-000037390000}"/>
    <cellStyle name="Normal 4 2 5 2 2 5" xfId="4221" xr:uid="{00000000-0005-0000-0000-000038390000}"/>
    <cellStyle name="Normal 4 2 5 2 2 5 2" xfId="10861" xr:uid="{00000000-0005-0000-0000-000039390000}"/>
    <cellStyle name="Normal 4 2 5 2 2 5_SSL" xfId="14917" xr:uid="{00000000-0005-0000-0000-00003A390000}"/>
    <cellStyle name="Normal 4 2 5 2 2 6" xfId="5032" xr:uid="{00000000-0005-0000-0000-00003B390000}"/>
    <cellStyle name="Normal 4 2 5 2 2 6 2" xfId="11671" xr:uid="{00000000-0005-0000-0000-00003C390000}"/>
    <cellStyle name="Normal 4 2 5 2 2 6_SSL" xfId="16980" xr:uid="{00000000-0005-0000-0000-00003D390000}"/>
    <cellStyle name="Normal 4 2 5 2 2 7" xfId="5842" xr:uid="{00000000-0005-0000-0000-00003E390000}"/>
    <cellStyle name="Normal 4 2 5 2 2 7 2" xfId="12480" xr:uid="{00000000-0005-0000-0000-00003F390000}"/>
    <cellStyle name="Normal 4 2 5 2 2 7_SSL" xfId="14305" xr:uid="{00000000-0005-0000-0000-000040390000}"/>
    <cellStyle name="Normal 4 2 5 2 2 8" xfId="7668" xr:uid="{00000000-0005-0000-0000-000041390000}"/>
    <cellStyle name="Normal 4 2 5 2 2 9" xfId="6772" xr:uid="{00000000-0005-0000-0000-000042390000}"/>
    <cellStyle name="Normal 4 2 5 2 2_SSL" xfId="12733" xr:uid="{00000000-0005-0000-0000-000043390000}"/>
    <cellStyle name="Normal 4 2 5 2 3" xfId="1760" xr:uid="{00000000-0005-0000-0000-000044390000}"/>
    <cellStyle name="Normal 4 2 5 2 3 2" xfId="8415" xr:uid="{00000000-0005-0000-0000-000045390000}"/>
    <cellStyle name="Normal 4 2 5 2 3_SSL" xfId="13142" xr:uid="{00000000-0005-0000-0000-000046390000}"/>
    <cellStyle name="Normal 4 2 5 2 4" xfId="2580" xr:uid="{00000000-0005-0000-0000-000047390000}"/>
    <cellStyle name="Normal 4 2 5 2 4 2" xfId="9228" xr:uid="{00000000-0005-0000-0000-000048390000}"/>
    <cellStyle name="Normal 4 2 5 2 4_SSL" xfId="13656" xr:uid="{00000000-0005-0000-0000-000049390000}"/>
    <cellStyle name="Normal 4 2 5 2 5" xfId="3400" xr:uid="{00000000-0005-0000-0000-00004A390000}"/>
    <cellStyle name="Normal 4 2 5 2 5 2" xfId="10045" xr:uid="{00000000-0005-0000-0000-00004B390000}"/>
    <cellStyle name="Normal 4 2 5 2 5_SSL" xfId="13626" xr:uid="{00000000-0005-0000-0000-00004C390000}"/>
    <cellStyle name="Normal 4 2 5 2 6" xfId="4220" xr:uid="{00000000-0005-0000-0000-00004D390000}"/>
    <cellStyle name="Normal 4 2 5 2 6 2" xfId="10860" xr:uid="{00000000-0005-0000-0000-00004E390000}"/>
    <cellStyle name="Normal 4 2 5 2 6_SSL" xfId="15156" xr:uid="{00000000-0005-0000-0000-00004F390000}"/>
    <cellStyle name="Normal 4 2 5 2 7" xfId="5031" xr:uid="{00000000-0005-0000-0000-000050390000}"/>
    <cellStyle name="Normal 4 2 5 2 7 2" xfId="11670" xr:uid="{00000000-0005-0000-0000-000051390000}"/>
    <cellStyle name="Normal 4 2 5 2 7_SSL" xfId="17355" xr:uid="{00000000-0005-0000-0000-000052390000}"/>
    <cellStyle name="Normal 4 2 5 2 8" xfId="5841" xr:uid="{00000000-0005-0000-0000-000053390000}"/>
    <cellStyle name="Normal 4 2 5 2 8 2" xfId="12479" xr:uid="{00000000-0005-0000-0000-000054390000}"/>
    <cellStyle name="Normal 4 2 5 2 8_SSL" xfId="14457" xr:uid="{00000000-0005-0000-0000-000055390000}"/>
    <cellStyle name="Normal 4 2 5 2 9" xfId="7284" xr:uid="{00000000-0005-0000-0000-000056390000}"/>
    <cellStyle name="Normal 4 2 5 2_SSL" xfId="13561" xr:uid="{00000000-0005-0000-0000-000057390000}"/>
    <cellStyle name="Normal 4 2 5 3" xfId="543" xr:uid="{00000000-0005-0000-0000-000058390000}"/>
    <cellStyle name="Normal 4 2 5 3 2" xfId="1762" xr:uid="{00000000-0005-0000-0000-000059390000}"/>
    <cellStyle name="Normal 4 2 5 3 2 2" xfId="8417" xr:uid="{00000000-0005-0000-0000-00005A390000}"/>
    <cellStyle name="Normal 4 2 5 3 2_SSL" xfId="14361" xr:uid="{00000000-0005-0000-0000-00005B390000}"/>
    <cellStyle name="Normal 4 2 5 3 3" xfId="2582" xr:uid="{00000000-0005-0000-0000-00005C390000}"/>
    <cellStyle name="Normal 4 2 5 3 3 2" xfId="9230" xr:uid="{00000000-0005-0000-0000-00005D390000}"/>
    <cellStyle name="Normal 4 2 5 3 3_SSL" xfId="16490" xr:uid="{00000000-0005-0000-0000-00005E390000}"/>
    <cellStyle name="Normal 4 2 5 3 4" xfId="3402" xr:uid="{00000000-0005-0000-0000-00005F390000}"/>
    <cellStyle name="Normal 4 2 5 3 4 2" xfId="10047" xr:uid="{00000000-0005-0000-0000-000060390000}"/>
    <cellStyle name="Normal 4 2 5 3 4_SSL" xfId="13630" xr:uid="{00000000-0005-0000-0000-000061390000}"/>
    <cellStyle name="Normal 4 2 5 3 5" xfId="4222" xr:uid="{00000000-0005-0000-0000-000062390000}"/>
    <cellStyle name="Normal 4 2 5 3 5 2" xfId="10862" xr:uid="{00000000-0005-0000-0000-000063390000}"/>
    <cellStyle name="Normal 4 2 5 3 5_SSL" xfId="16946" xr:uid="{00000000-0005-0000-0000-000064390000}"/>
    <cellStyle name="Normal 4 2 5 3 6" xfId="5033" xr:uid="{00000000-0005-0000-0000-000065390000}"/>
    <cellStyle name="Normal 4 2 5 3 6 2" xfId="11672" xr:uid="{00000000-0005-0000-0000-000066390000}"/>
    <cellStyle name="Normal 4 2 5 3 6_SSL" xfId="17466" xr:uid="{00000000-0005-0000-0000-000067390000}"/>
    <cellStyle name="Normal 4 2 5 3 7" xfId="5843" xr:uid="{00000000-0005-0000-0000-000068390000}"/>
    <cellStyle name="Normal 4 2 5 3 7 2" xfId="12481" xr:uid="{00000000-0005-0000-0000-000069390000}"/>
    <cellStyle name="Normal 4 2 5 3 7_SSL" xfId="14816" xr:uid="{00000000-0005-0000-0000-00006A390000}"/>
    <cellStyle name="Normal 4 2 5 3 8" xfId="7399" xr:uid="{00000000-0005-0000-0000-00006B390000}"/>
    <cellStyle name="Normal 4 2 5 3 9" xfId="6773" xr:uid="{00000000-0005-0000-0000-00006C390000}"/>
    <cellStyle name="Normal 4 2 5 3_SSL" xfId="15785" xr:uid="{00000000-0005-0000-0000-00006D390000}"/>
    <cellStyle name="Normal 4 2 5 4" xfId="1759" xr:uid="{00000000-0005-0000-0000-00006E390000}"/>
    <cellStyle name="Normal 4 2 5 4 2" xfId="8414" xr:uid="{00000000-0005-0000-0000-00006F390000}"/>
    <cellStyle name="Normal 4 2 5 4_SSL" xfId="14411" xr:uid="{00000000-0005-0000-0000-000070390000}"/>
    <cellStyle name="Normal 4 2 5 5" xfId="2579" xr:uid="{00000000-0005-0000-0000-000071390000}"/>
    <cellStyle name="Normal 4 2 5 5 2" xfId="9227" xr:uid="{00000000-0005-0000-0000-000072390000}"/>
    <cellStyle name="Normal 4 2 5 5_SSL" xfId="13395" xr:uid="{00000000-0005-0000-0000-000073390000}"/>
    <cellStyle name="Normal 4 2 5 6" xfId="3399" xr:uid="{00000000-0005-0000-0000-000074390000}"/>
    <cellStyle name="Normal 4 2 5 6 2" xfId="10044" xr:uid="{00000000-0005-0000-0000-000075390000}"/>
    <cellStyle name="Normal 4 2 5 6_SSL" xfId="16196" xr:uid="{00000000-0005-0000-0000-000076390000}"/>
    <cellStyle name="Normal 4 2 5 7" xfId="4219" xr:uid="{00000000-0005-0000-0000-000077390000}"/>
    <cellStyle name="Normal 4 2 5 7 2" xfId="10859" xr:uid="{00000000-0005-0000-0000-000078390000}"/>
    <cellStyle name="Normal 4 2 5 7_SSL" xfId="14908" xr:uid="{00000000-0005-0000-0000-000079390000}"/>
    <cellStyle name="Normal 4 2 5 8" xfId="5030" xr:uid="{00000000-0005-0000-0000-00007A390000}"/>
    <cellStyle name="Normal 4 2 5 8 2" xfId="11669" xr:uid="{00000000-0005-0000-0000-00007B390000}"/>
    <cellStyle name="Normal 4 2 5 8_SSL" xfId="14534" xr:uid="{00000000-0005-0000-0000-00007C390000}"/>
    <cellStyle name="Normal 4 2 5 9" xfId="5840" xr:uid="{00000000-0005-0000-0000-00007D390000}"/>
    <cellStyle name="Normal 4 2 5 9 2" xfId="12478" xr:uid="{00000000-0005-0000-0000-00007E390000}"/>
    <cellStyle name="Normal 4 2 5 9_SSL" xfId="14911" xr:uid="{00000000-0005-0000-0000-00007F390000}"/>
    <cellStyle name="Normal 4 2 5_SSL" xfId="16176" xr:uid="{00000000-0005-0000-0000-000080390000}"/>
    <cellStyle name="Normal 4 2 6" xfId="163" xr:uid="{00000000-0005-0000-0000-000081390000}"/>
    <cellStyle name="Normal 4 2 6 10" xfId="7040" xr:uid="{00000000-0005-0000-0000-000082390000}"/>
    <cellStyle name="Normal 4 2 6 11" xfId="6774" xr:uid="{00000000-0005-0000-0000-000083390000}"/>
    <cellStyle name="Normal 4 2 6 2" xfId="425" xr:uid="{00000000-0005-0000-0000-000084390000}"/>
    <cellStyle name="Normal 4 2 6 2 10" xfId="6775" xr:uid="{00000000-0005-0000-0000-000085390000}"/>
    <cellStyle name="Normal 4 2 6 2 2" xfId="813" xr:uid="{00000000-0005-0000-0000-000086390000}"/>
    <cellStyle name="Normal 4 2 6 2 2 2" xfId="1765" xr:uid="{00000000-0005-0000-0000-000087390000}"/>
    <cellStyle name="Normal 4 2 6 2 2 2 2" xfId="8420" xr:uid="{00000000-0005-0000-0000-000088390000}"/>
    <cellStyle name="Normal 4 2 6 2 2 2_SSL" xfId="14921" xr:uid="{00000000-0005-0000-0000-000089390000}"/>
    <cellStyle name="Normal 4 2 6 2 2 3" xfId="2585" xr:uid="{00000000-0005-0000-0000-00008A390000}"/>
    <cellStyle name="Normal 4 2 6 2 2 3 2" xfId="9233" xr:uid="{00000000-0005-0000-0000-00008B390000}"/>
    <cellStyle name="Normal 4 2 6 2 2 3_SSL" xfId="15298" xr:uid="{00000000-0005-0000-0000-00008C390000}"/>
    <cellStyle name="Normal 4 2 6 2 2 4" xfId="3405" xr:uid="{00000000-0005-0000-0000-00008D390000}"/>
    <cellStyle name="Normal 4 2 6 2 2 4 2" xfId="10050" xr:uid="{00000000-0005-0000-0000-00008E390000}"/>
    <cellStyle name="Normal 4 2 6 2 2 4_SSL" xfId="17459" xr:uid="{00000000-0005-0000-0000-00008F390000}"/>
    <cellStyle name="Normal 4 2 6 2 2 5" xfId="4225" xr:uid="{00000000-0005-0000-0000-000090390000}"/>
    <cellStyle name="Normal 4 2 6 2 2 5 2" xfId="10865" xr:uid="{00000000-0005-0000-0000-000091390000}"/>
    <cellStyle name="Normal 4 2 6 2 2 5_SSL" xfId="17326" xr:uid="{00000000-0005-0000-0000-000092390000}"/>
    <cellStyle name="Normal 4 2 6 2 2 6" xfId="5036" xr:uid="{00000000-0005-0000-0000-000093390000}"/>
    <cellStyle name="Normal 4 2 6 2 2 6 2" xfId="11675" xr:uid="{00000000-0005-0000-0000-000094390000}"/>
    <cellStyle name="Normal 4 2 6 2 2 6_SSL" xfId="17631" xr:uid="{00000000-0005-0000-0000-000095390000}"/>
    <cellStyle name="Normal 4 2 6 2 2 7" xfId="5846" xr:uid="{00000000-0005-0000-0000-000096390000}"/>
    <cellStyle name="Normal 4 2 6 2 2 7 2" xfId="12484" xr:uid="{00000000-0005-0000-0000-000097390000}"/>
    <cellStyle name="Normal 4 2 6 2 2 7_SSL" xfId="12783" xr:uid="{00000000-0005-0000-0000-000098390000}"/>
    <cellStyle name="Normal 4 2 6 2 2 8" xfId="7669" xr:uid="{00000000-0005-0000-0000-000099390000}"/>
    <cellStyle name="Normal 4 2 6 2 2 9" xfId="6776" xr:uid="{00000000-0005-0000-0000-00009A390000}"/>
    <cellStyle name="Normal 4 2 6 2 2_SSL" xfId="14881" xr:uid="{00000000-0005-0000-0000-00009B390000}"/>
    <cellStyle name="Normal 4 2 6 2 3" xfId="1764" xr:uid="{00000000-0005-0000-0000-00009C390000}"/>
    <cellStyle name="Normal 4 2 6 2 3 2" xfId="8419" xr:uid="{00000000-0005-0000-0000-00009D390000}"/>
    <cellStyle name="Normal 4 2 6 2 3_SSL" xfId="16743" xr:uid="{00000000-0005-0000-0000-00009E390000}"/>
    <cellStyle name="Normal 4 2 6 2 4" xfId="2584" xr:uid="{00000000-0005-0000-0000-00009F390000}"/>
    <cellStyle name="Normal 4 2 6 2 4 2" xfId="9232" xr:uid="{00000000-0005-0000-0000-0000A0390000}"/>
    <cellStyle name="Normal 4 2 6 2 4_SSL" xfId="12784" xr:uid="{00000000-0005-0000-0000-0000A1390000}"/>
    <cellStyle name="Normal 4 2 6 2 5" xfId="3404" xr:uid="{00000000-0005-0000-0000-0000A2390000}"/>
    <cellStyle name="Normal 4 2 6 2 5 2" xfId="10049" xr:uid="{00000000-0005-0000-0000-0000A3390000}"/>
    <cellStyle name="Normal 4 2 6 2 5_SSL" xfId="15554" xr:uid="{00000000-0005-0000-0000-0000A4390000}"/>
    <cellStyle name="Normal 4 2 6 2 6" xfId="4224" xr:uid="{00000000-0005-0000-0000-0000A5390000}"/>
    <cellStyle name="Normal 4 2 6 2 6 2" xfId="10864" xr:uid="{00000000-0005-0000-0000-0000A6390000}"/>
    <cellStyle name="Normal 4 2 6 2 6_SSL" xfId="16731" xr:uid="{00000000-0005-0000-0000-0000A7390000}"/>
    <cellStyle name="Normal 4 2 6 2 7" xfId="5035" xr:uid="{00000000-0005-0000-0000-0000A8390000}"/>
    <cellStyle name="Normal 4 2 6 2 7 2" xfId="11674" xr:uid="{00000000-0005-0000-0000-0000A9390000}"/>
    <cellStyle name="Normal 4 2 6 2 7_SSL" xfId="13679" xr:uid="{00000000-0005-0000-0000-0000AA390000}"/>
    <cellStyle name="Normal 4 2 6 2 8" xfId="5845" xr:uid="{00000000-0005-0000-0000-0000AB390000}"/>
    <cellStyle name="Normal 4 2 6 2 8 2" xfId="12483" xr:uid="{00000000-0005-0000-0000-0000AC390000}"/>
    <cellStyle name="Normal 4 2 6 2 8_SSL" xfId="17350" xr:uid="{00000000-0005-0000-0000-0000AD390000}"/>
    <cellStyle name="Normal 4 2 6 2 9" xfId="7285" xr:uid="{00000000-0005-0000-0000-0000AE390000}"/>
    <cellStyle name="Normal 4 2 6 2_SSL" xfId="15035" xr:uid="{00000000-0005-0000-0000-0000AF390000}"/>
    <cellStyle name="Normal 4 2 6 3" xfId="568" xr:uid="{00000000-0005-0000-0000-0000B0390000}"/>
    <cellStyle name="Normal 4 2 6 3 2" xfId="1766" xr:uid="{00000000-0005-0000-0000-0000B1390000}"/>
    <cellStyle name="Normal 4 2 6 3 2 2" xfId="8421" xr:uid="{00000000-0005-0000-0000-0000B2390000}"/>
    <cellStyle name="Normal 4 2 6 3 2_SSL" xfId="14601" xr:uid="{00000000-0005-0000-0000-0000B3390000}"/>
    <cellStyle name="Normal 4 2 6 3 3" xfId="2586" xr:uid="{00000000-0005-0000-0000-0000B4390000}"/>
    <cellStyle name="Normal 4 2 6 3 3 2" xfId="9234" xr:uid="{00000000-0005-0000-0000-0000B5390000}"/>
    <cellStyle name="Normal 4 2 6 3 3_SSL" xfId="16624" xr:uid="{00000000-0005-0000-0000-0000B6390000}"/>
    <cellStyle name="Normal 4 2 6 3 4" xfId="3406" xr:uid="{00000000-0005-0000-0000-0000B7390000}"/>
    <cellStyle name="Normal 4 2 6 3 4 2" xfId="10051" xr:uid="{00000000-0005-0000-0000-0000B8390000}"/>
    <cellStyle name="Normal 4 2 6 3 4_SSL" xfId="13291" xr:uid="{00000000-0005-0000-0000-0000B9390000}"/>
    <cellStyle name="Normal 4 2 6 3 5" xfId="4226" xr:uid="{00000000-0005-0000-0000-0000BA390000}"/>
    <cellStyle name="Normal 4 2 6 3 5 2" xfId="10866" xr:uid="{00000000-0005-0000-0000-0000BB390000}"/>
    <cellStyle name="Normal 4 2 6 3 5_SSL" xfId="17257" xr:uid="{00000000-0005-0000-0000-0000BC390000}"/>
    <cellStyle name="Normal 4 2 6 3 6" xfId="5037" xr:uid="{00000000-0005-0000-0000-0000BD390000}"/>
    <cellStyle name="Normal 4 2 6 3 6 2" xfId="11676" xr:uid="{00000000-0005-0000-0000-0000BE390000}"/>
    <cellStyle name="Normal 4 2 6 3 6_SSL" xfId="14062" xr:uid="{00000000-0005-0000-0000-0000BF390000}"/>
    <cellStyle name="Normal 4 2 6 3 7" xfId="5847" xr:uid="{00000000-0005-0000-0000-0000C0390000}"/>
    <cellStyle name="Normal 4 2 6 3 7 2" xfId="12485" xr:uid="{00000000-0005-0000-0000-0000C1390000}"/>
    <cellStyle name="Normal 4 2 6 3 7_SSL" xfId="13049" xr:uid="{00000000-0005-0000-0000-0000C2390000}"/>
    <cellStyle name="Normal 4 2 6 3 8" xfId="7424" xr:uid="{00000000-0005-0000-0000-0000C3390000}"/>
    <cellStyle name="Normal 4 2 6 3 9" xfId="6777" xr:uid="{00000000-0005-0000-0000-0000C4390000}"/>
    <cellStyle name="Normal 4 2 6 3_SSL" xfId="13988" xr:uid="{00000000-0005-0000-0000-0000C5390000}"/>
    <cellStyle name="Normal 4 2 6 4" xfId="1763" xr:uid="{00000000-0005-0000-0000-0000C6390000}"/>
    <cellStyle name="Normal 4 2 6 4 2" xfId="8418" xr:uid="{00000000-0005-0000-0000-0000C7390000}"/>
    <cellStyle name="Normal 4 2 6 4_SSL" xfId="13409" xr:uid="{00000000-0005-0000-0000-0000C8390000}"/>
    <cellStyle name="Normal 4 2 6 5" xfId="2583" xr:uid="{00000000-0005-0000-0000-0000C9390000}"/>
    <cellStyle name="Normal 4 2 6 5 2" xfId="9231" xr:uid="{00000000-0005-0000-0000-0000CA390000}"/>
    <cellStyle name="Normal 4 2 6 5_SSL" xfId="17022" xr:uid="{00000000-0005-0000-0000-0000CB390000}"/>
    <cellStyle name="Normal 4 2 6 6" xfId="3403" xr:uid="{00000000-0005-0000-0000-0000CC390000}"/>
    <cellStyle name="Normal 4 2 6 6 2" xfId="10048" xr:uid="{00000000-0005-0000-0000-0000CD390000}"/>
    <cellStyle name="Normal 4 2 6 6_SSL" xfId="13556" xr:uid="{00000000-0005-0000-0000-0000CE390000}"/>
    <cellStyle name="Normal 4 2 6 7" xfId="4223" xr:uid="{00000000-0005-0000-0000-0000CF390000}"/>
    <cellStyle name="Normal 4 2 6 7 2" xfId="10863" xr:uid="{00000000-0005-0000-0000-0000D0390000}"/>
    <cellStyle name="Normal 4 2 6 7_SSL" xfId="13270" xr:uid="{00000000-0005-0000-0000-0000D1390000}"/>
    <cellStyle name="Normal 4 2 6 8" xfId="5034" xr:uid="{00000000-0005-0000-0000-0000D2390000}"/>
    <cellStyle name="Normal 4 2 6 8 2" xfId="11673" xr:uid="{00000000-0005-0000-0000-0000D3390000}"/>
    <cellStyle name="Normal 4 2 6 8_SSL" xfId="14222" xr:uid="{00000000-0005-0000-0000-0000D4390000}"/>
    <cellStyle name="Normal 4 2 6 9" xfId="5844" xr:uid="{00000000-0005-0000-0000-0000D5390000}"/>
    <cellStyle name="Normal 4 2 6 9 2" xfId="12482" xr:uid="{00000000-0005-0000-0000-0000D6390000}"/>
    <cellStyle name="Normal 4 2 6 9_SSL" xfId="12732" xr:uid="{00000000-0005-0000-0000-0000D7390000}"/>
    <cellStyle name="Normal 4 2 6_SSL" xfId="15853" xr:uid="{00000000-0005-0000-0000-0000D8390000}"/>
    <cellStyle name="Normal 4 2 7" xfId="234" xr:uid="{00000000-0005-0000-0000-0000D9390000}"/>
    <cellStyle name="Normal 4 2 7 10" xfId="7111" xr:uid="{00000000-0005-0000-0000-0000DA390000}"/>
    <cellStyle name="Normal 4 2 7 11" xfId="6778" xr:uid="{00000000-0005-0000-0000-0000DB390000}"/>
    <cellStyle name="Normal 4 2 7 2" xfId="426" xr:uid="{00000000-0005-0000-0000-0000DC390000}"/>
    <cellStyle name="Normal 4 2 7 2 10" xfId="6779" xr:uid="{00000000-0005-0000-0000-0000DD390000}"/>
    <cellStyle name="Normal 4 2 7 2 2" xfId="814" xr:uid="{00000000-0005-0000-0000-0000DE390000}"/>
    <cellStyle name="Normal 4 2 7 2 2 2" xfId="1769" xr:uid="{00000000-0005-0000-0000-0000DF390000}"/>
    <cellStyle name="Normal 4 2 7 2 2 2 2" xfId="8424" xr:uid="{00000000-0005-0000-0000-0000E0390000}"/>
    <cellStyle name="Normal 4 2 7 2 2 2_SSL" xfId="15243" xr:uid="{00000000-0005-0000-0000-0000E1390000}"/>
    <cellStyle name="Normal 4 2 7 2 2 3" xfId="2589" xr:uid="{00000000-0005-0000-0000-0000E2390000}"/>
    <cellStyle name="Normal 4 2 7 2 2 3 2" xfId="9237" xr:uid="{00000000-0005-0000-0000-0000E3390000}"/>
    <cellStyle name="Normal 4 2 7 2 2 3_SSL" xfId="14920" xr:uid="{00000000-0005-0000-0000-0000E4390000}"/>
    <cellStyle name="Normal 4 2 7 2 2 4" xfId="3409" xr:uid="{00000000-0005-0000-0000-0000E5390000}"/>
    <cellStyle name="Normal 4 2 7 2 2 4 2" xfId="10054" xr:uid="{00000000-0005-0000-0000-0000E6390000}"/>
    <cellStyle name="Normal 4 2 7 2 2 4_SSL" xfId="13680" xr:uid="{00000000-0005-0000-0000-0000E7390000}"/>
    <cellStyle name="Normal 4 2 7 2 2 5" xfId="4229" xr:uid="{00000000-0005-0000-0000-0000E8390000}"/>
    <cellStyle name="Normal 4 2 7 2 2 5 2" xfId="10869" xr:uid="{00000000-0005-0000-0000-0000E9390000}"/>
    <cellStyle name="Normal 4 2 7 2 2 5_SSL" xfId="13891" xr:uid="{00000000-0005-0000-0000-0000EA390000}"/>
    <cellStyle name="Normal 4 2 7 2 2 6" xfId="5040" xr:uid="{00000000-0005-0000-0000-0000EB390000}"/>
    <cellStyle name="Normal 4 2 7 2 2 6 2" xfId="11679" xr:uid="{00000000-0005-0000-0000-0000EC390000}"/>
    <cellStyle name="Normal 4 2 7 2 2 6_SSL" xfId="13310" xr:uid="{00000000-0005-0000-0000-0000ED390000}"/>
    <cellStyle name="Normal 4 2 7 2 2 7" xfId="5850" xr:uid="{00000000-0005-0000-0000-0000EE390000}"/>
    <cellStyle name="Normal 4 2 7 2 2 7 2" xfId="12488" xr:uid="{00000000-0005-0000-0000-0000EF390000}"/>
    <cellStyle name="Normal 4 2 7 2 2 7_SSL" xfId="17477" xr:uid="{00000000-0005-0000-0000-0000F0390000}"/>
    <cellStyle name="Normal 4 2 7 2 2 8" xfId="7670" xr:uid="{00000000-0005-0000-0000-0000F1390000}"/>
    <cellStyle name="Normal 4 2 7 2 2 9" xfId="6780" xr:uid="{00000000-0005-0000-0000-0000F2390000}"/>
    <cellStyle name="Normal 4 2 7 2 2_SSL" xfId="17594" xr:uid="{00000000-0005-0000-0000-0000F3390000}"/>
    <cellStyle name="Normal 4 2 7 2 3" xfId="1768" xr:uid="{00000000-0005-0000-0000-0000F4390000}"/>
    <cellStyle name="Normal 4 2 7 2 3 2" xfId="8423" xr:uid="{00000000-0005-0000-0000-0000F5390000}"/>
    <cellStyle name="Normal 4 2 7 2 3_SSL" xfId="13665" xr:uid="{00000000-0005-0000-0000-0000F6390000}"/>
    <cellStyle name="Normal 4 2 7 2 4" xfId="2588" xr:uid="{00000000-0005-0000-0000-0000F7390000}"/>
    <cellStyle name="Normal 4 2 7 2 4 2" xfId="9236" xr:uid="{00000000-0005-0000-0000-0000F8390000}"/>
    <cellStyle name="Normal 4 2 7 2 4_SSL" xfId="13977" xr:uid="{00000000-0005-0000-0000-0000F9390000}"/>
    <cellStyle name="Normal 4 2 7 2 5" xfId="3408" xr:uid="{00000000-0005-0000-0000-0000FA390000}"/>
    <cellStyle name="Normal 4 2 7 2 5 2" xfId="10053" xr:uid="{00000000-0005-0000-0000-0000FB390000}"/>
    <cellStyle name="Normal 4 2 7 2 5_SSL" xfId="17636" xr:uid="{00000000-0005-0000-0000-0000FC390000}"/>
    <cellStyle name="Normal 4 2 7 2 6" xfId="4228" xr:uid="{00000000-0005-0000-0000-0000FD390000}"/>
    <cellStyle name="Normal 4 2 7 2 6 2" xfId="10868" xr:uid="{00000000-0005-0000-0000-0000FE390000}"/>
    <cellStyle name="Normal 4 2 7 2 6_SSL" xfId="14517" xr:uid="{00000000-0005-0000-0000-0000FF390000}"/>
    <cellStyle name="Normal 4 2 7 2 7" xfId="5039" xr:uid="{00000000-0005-0000-0000-0000003A0000}"/>
    <cellStyle name="Normal 4 2 7 2 7 2" xfId="11678" xr:uid="{00000000-0005-0000-0000-0000013A0000}"/>
    <cellStyle name="Normal 4 2 7 2 7_SSL" xfId="12746" xr:uid="{00000000-0005-0000-0000-0000023A0000}"/>
    <cellStyle name="Normal 4 2 7 2 8" xfId="5849" xr:uid="{00000000-0005-0000-0000-0000033A0000}"/>
    <cellStyle name="Normal 4 2 7 2 8 2" xfId="12487" xr:uid="{00000000-0005-0000-0000-0000043A0000}"/>
    <cellStyle name="Normal 4 2 7 2 8_SSL" xfId="15076" xr:uid="{00000000-0005-0000-0000-0000053A0000}"/>
    <cellStyle name="Normal 4 2 7 2 9" xfId="7286" xr:uid="{00000000-0005-0000-0000-0000063A0000}"/>
    <cellStyle name="Normal 4 2 7 2_SSL" xfId="16965" xr:uid="{00000000-0005-0000-0000-0000073A0000}"/>
    <cellStyle name="Normal 4 2 7 3" xfId="639" xr:uid="{00000000-0005-0000-0000-0000083A0000}"/>
    <cellStyle name="Normal 4 2 7 3 2" xfId="1770" xr:uid="{00000000-0005-0000-0000-0000093A0000}"/>
    <cellStyle name="Normal 4 2 7 3 2 2" xfId="8425" xr:uid="{00000000-0005-0000-0000-00000A3A0000}"/>
    <cellStyle name="Normal 4 2 7 3 2_SSL" xfId="18006" xr:uid="{00000000-0005-0000-0000-00000B3A0000}"/>
    <cellStyle name="Normal 4 2 7 3 3" xfId="2590" xr:uid="{00000000-0005-0000-0000-00000C3A0000}"/>
    <cellStyle name="Normal 4 2 7 3 3 2" xfId="9238" xr:uid="{00000000-0005-0000-0000-00000D3A0000}"/>
    <cellStyle name="Normal 4 2 7 3 3_SSL" xfId="16351" xr:uid="{00000000-0005-0000-0000-00000E3A0000}"/>
    <cellStyle name="Normal 4 2 7 3 4" xfId="3410" xr:uid="{00000000-0005-0000-0000-00000F3A0000}"/>
    <cellStyle name="Normal 4 2 7 3 4 2" xfId="10055" xr:uid="{00000000-0005-0000-0000-0000103A0000}"/>
    <cellStyle name="Normal 4 2 7 3 4_SSL" xfId="17644" xr:uid="{00000000-0005-0000-0000-0000113A0000}"/>
    <cellStyle name="Normal 4 2 7 3 5" xfId="4230" xr:uid="{00000000-0005-0000-0000-0000123A0000}"/>
    <cellStyle name="Normal 4 2 7 3 5 2" xfId="10870" xr:uid="{00000000-0005-0000-0000-0000133A0000}"/>
    <cellStyle name="Normal 4 2 7 3 5_SSL" xfId="16779" xr:uid="{00000000-0005-0000-0000-0000143A0000}"/>
    <cellStyle name="Normal 4 2 7 3 6" xfId="5041" xr:uid="{00000000-0005-0000-0000-0000153A0000}"/>
    <cellStyle name="Normal 4 2 7 3 6 2" xfId="11680" xr:uid="{00000000-0005-0000-0000-0000163A0000}"/>
    <cellStyle name="Normal 4 2 7 3 6_SSL" xfId="15214" xr:uid="{00000000-0005-0000-0000-0000173A0000}"/>
    <cellStyle name="Normal 4 2 7 3 7" xfId="5851" xr:uid="{00000000-0005-0000-0000-0000183A0000}"/>
    <cellStyle name="Normal 4 2 7 3 7 2" xfId="12489" xr:uid="{00000000-0005-0000-0000-0000193A0000}"/>
    <cellStyle name="Normal 4 2 7 3 7_SSL" xfId="13925" xr:uid="{00000000-0005-0000-0000-00001A3A0000}"/>
    <cellStyle name="Normal 4 2 7 3 8" xfId="7495" xr:uid="{00000000-0005-0000-0000-00001B3A0000}"/>
    <cellStyle name="Normal 4 2 7 3 9" xfId="6781" xr:uid="{00000000-0005-0000-0000-00001C3A0000}"/>
    <cellStyle name="Normal 4 2 7 3_SSL" xfId="13781" xr:uid="{00000000-0005-0000-0000-00001D3A0000}"/>
    <cellStyle name="Normal 4 2 7 4" xfId="1767" xr:uid="{00000000-0005-0000-0000-00001E3A0000}"/>
    <cellStyle name="Normal 4 2 7 4 2" xfId="8422" xr:uid="{00000000-0005-0000-0000-00001F3A0000}"/>
    <cellStyle name="Normal 4 2 7 4_SSL" xfId="13240" xr:uid="{00000000-0005-0000-0000-0000203A0000}"/>
    <cellStyle name="Normal 4 2 7 5" xfId="2587" xr:uid="{00000000-0005-0000-0000-0000213A0000}"/>
    <cellStyle name="Normal 4 2 7 5 2" xfId="9235" xr:uid="{00000000-0005-0000-0000-0000223A0000}"/>
    <cellStyle name="Normal 4 2 7 5_SSL" xfId="12798" xr:uid="{00000000-0005-0000-0000-0000233A0000}"/>
    <cellStyle name="Normal 4 2 7 6" xfId="3407" xr:uid="{00000000-0005-0000-0000-0000243A0000}"/>
    <cellStyle name="Normal 4 2 7 6 2" xfId="10052" xr:uid="{00000000-0005-0000-0000-0000253A0000}"/>
    <cellStyle name="Normal 4 2 7 6_SSL" xfId="17417" xr:uid="{00000000-0005-0000-0000-0000263A0000}"/>
    <cellStyle name="Normal 4 2 7 7" xfId="4227" xr:uid="{00000000-0005-0000-0000-0000273A0000}"/>
    <cellStyle name="Normal 4 2 7 7 2" xfId="10867" xr:uid="{00000000-0005-0000-0000-0000283A0000}"/>
    <cellStyle name="Normal 4 2 7 7_SSL" xfId="15737" xr:uid="{00000000-0005-0000-0000-0000293A0000}"/>
    <cellStyle name="Normal 4 2 7 8" xfId="5038" xr:uid="{00000000-0005-0000-0000-00002A3A0000}"/>
    <cellStyle name="Normal 4 2 7 8 2" xfId="11677" xr:uid="{00000000-0005-0000-0000-00002B3A0000}"/>
    <cellStyle name="Normal 4 2 7 8_SSL" xfId="16617" xr:uid="{00000000-0005-0000-0000-00002C3A0000}"/>
    <cellStyle name="Normal 4 2 7 9" xfId="5848" xr:uid="{00000000-0005-0000-0000-00002D3A0000}"/>
    <cellStyle name="Normal 4 2 7 9 2" xfId="12486" xr:uid="{00000000-0005-0000-0000-00002E3A0000}"/>
    <cellStyle name="Normal 4 2 7 9_SSL" xfId="15260" xr:uid="{00000000-0005-0000-0000-00002F3A0000}"/>
    <cellStyle name="Normal 4 2 7_SSL" xfId="13983" xr:uid="{00000000-0005-0000-0000-0000303A0000}"/>
    <cellStyle name="Normal 4 2 8" xfId="411" xr:uid="{00000000-0005-0000-0000-0000313A0000}"/>
    <cellStyle name="Normal 4 2 8 10" xfId="6782" xr:uid="{00000000-0005-0000-0000-0000323A0000}"/>
    <cellStyle name="Normal 4 2 8 2" xfId="799" xr:uid="{00000000-0005-0000-0000-0000333A0000}"/>
    <cellStyle name="Normal 4 2 8 2 2" xfId="1772" xr:uid="{00000000-0005-0000-0000-0000343A0000}"/>
    <cellStyle name="Normal 4 2 8 2 2 2" xfId="8427" xr:uid="{00000000-0005-0000-0000-0000353A0000}"/>
    <cellStyle name="Normal 4 2 8 2 2_SSL" xfId="16784" xr:uid="{00000000-0005-0000-0000-0000363A0000}"/>
    <cellStyle name="Normal 4 2 8 2 3" xfId="2592" xr:uid="{00000000-0005-0000-0000-0000373A0000}"/>
    <cellStyle name="Normal 4 2 8 2 3 2" xfId="9240" xr:uid="{00000000-0005-0000-0000-0000383A0000}"/>
    <cellStyle name="Normal 4 2 8 2 3_SSL" xfId="17205" xr:uid="{00000000-0005-0000-0000-0000393A0000}"/>
    <cellStyle name="Normal 4 2 8 2 4" xfId="3412" xr:uid="{00000000-0005-0000-0000-00003A3A0000}"/>
    <cellStyle name="Normal 4 2 8 2 4 2" xfId="10057" xr:uid="{00000000-0005-0000-0000-00003B3A0000}"/>
    <cellStyle name="Normal 4 2 8 2 4_SSL" xfId="14377" xr:uid="{00000000-0005-0000-0000-00003C3A0000}"/>
    <cellStyle name="Normal 4 2 8 2 5" xfId="4232" xr:uid="{00000000-0005-0000-0000-00003D3A0000}"/>
    <cellStyle name="Normal 4 2 8 2 5 2" xfId="10872" xr:uid="{00000000-0005-0000-0000-00003E3A0000}"/>
    <cellStyle name="Normal 4 2 8 2 5_SSL" xfId="15869" xr:uid="{00000000-0005-0000-0000-00003F3A0000}"/>
    <cellStyle name="Normal 4 2 8 2 6" xfId="5043" xr:uid="{00000000-0005-0000-0000-0000403A0000}"/>
    <cellStyle name="Normal 4 2 8 2 6 2" xfId="11682" xr:uid="{00000000-0005-0000-0000-0000413A0000}"/>
    <cellStyle name="Normal 4 2 8 2 6_SSL" xfId="14780" xr:uid="{00000000-0005-0000-0000-0000423A0000}"/>
    <cellStyle name="Normal 4 2 8 2 7" xfId="5853" xr:uid="{00000000-0005-0000-0000-0000433A0000}"/>
    <cellStyle name="Normal 4 2 8 2 7 2" xfId="12491" xr:uid="{00000000-0005-0000-0000-0000443A0000}"/>
    <cellStyle name="Normal 4 2 8 2 7_SSL" xfId="14866" xr:uid="{00000000-0005-0000-0000-0000453A0000}"/>
    <cellStyle name="Normal 4 2 8 2 8" xfId="7655" xr:uid="{00000000-0005-0000-0000-0000463A0000}"/>
    <cellStyle name="Normal 4 2 8 2 9" xfId="6783" xr:uid="{00000000-0005-0000-0000-0000473A0000}"/>
    <cellStyle name="Normal 4 2 8 2_SSL" xfId="16090" xr:uid="{00000000-0005-0000-0000-0000483A0000}"/>
    <cellStyle name="Normal 4 2 8 3" xfId="1771" xr:uid="{00000000-0005-0000-0000-0000493A0000}"/>
    <cellStyle name="Normal 4 2 8 3 2" xfId="8426" xr:uid="{00000000-0005-0000-0000-00004A3A0000}"/>
    <cellStyle name="Normal 4 2 8 3_SSL" xfId="16832" xr:uid="{00000000-0005-0000-0000-00004B3A0000}"/>
    <cellStyle name="Normal 4 2 8 4" xfId="2591" xr:uid="{00000000-0005-0000-0000-00004C3A0000}"/>
    <cellStyle name="Normal 4 2 8 4 2" xfId="9239" xr:uid="{00000000-0005-0000-0000-00004D3A0000}"/>
    <cellStyle name="Normal 4 2 8 4_SSL" xfId="13012" xr:uid="{00000000-0005-0000-0000-00004E3A0000}"/>
    <cellStyle name="Normal 4 2 8 5" xfId="3411" xr:uid="{00000000-0005-0000-0000-00004F3A0000}"/>
    <cellStyle name="Normal 4 2 8 5 2" xfId="10056" xr:uid="{00000000-0005-0000-0000-0000503A0000}"/>
    <cellStyle name="Normal 4 2 8 5_SSL" xfId="16084" xr:uid="{00000000-0005-0000-0000-0000513A0000}"/>
    <cellStyle name="Normal 4 2 8 6" xfId="4231" xr:uid="{00000000-0005-0000-0000-0000523A0000}"/>
    <cellStyle name="Normal 4 2 8 6 2" xfId="10871" xr:uid="{00000000-0005-0000-0000-0000533A0000}"/>
    <cellStyle name="Normal 4 2 8 6_SSL" xfId="16349" xr:uid="{00000000-0005-0000-0000-0000543A0000}"/>
    <cellStyle name="Normal 4 2 8 7" xfId="5042" xr:uid="{00000000-0005-0000-0000-0000553A0000}"/>
    <cellStyle name="Normal 4 2 8 7 2" xfId="11681" xr:uid="{00000000-0005-0000-0000-0000563A0000}"/>
    <cellStyle name="Normal 4 2 8 7_SSL" xfId="15264" xr:uid="{00000000-0005-0000-0000-0000573A0000}"/>
    <cellStyle name="Normal 4 2 8 8" xfId="5852" xr:uid="{00000000-0005-0000-0000-0000583A0000}"/>
    <cellStyle name="Normal 4 2 8 8 2" xfId="12490" xr:uid="{00000000-0005-0000-0000-0000593A0000}"/>
    <cellStyle name="Normal 4 2 8 8_SSL" xfId="14779" xr:uid="{00000000-0005-0000-0000-00005A3A0000}"/>
    <cellStyle name="Normal 4 2 8 9" xfId="7271" xr:uid="{00000000-0005-0000-0000-00005B3A0000}"/>
    <cellStyle name="Normal 4 2 8_SSL" xfId="12803" xr:uid="{00000000-0005-0000-0000-00005C3A0000}"/>
    <cellStyle name="Normal 4 2 9" xfId="472" xr:uid="{00000000-0005-0000-0000-00005D3A0000}"/>
    <cellStyle name="Normal 4 2 9 2" xfId="1773" xr:uid="{00000000-0005-0000-0000-00005E3A0000}"/>
    <cellStyle name="Normal 4 2 9 2 2" xfId="8428" xr:uid="{00000000-0005-0000-0000-00005F3A0000}"/>
    <cellStyle name="Normal 4 2 9 2_SSL" xfId="13261" xr:uid="{00000000-0005-0000-0000-0000603A0000}"/>
    <cellStyle name="Normal 4 2 9 3" xfId="2593" xr:uid="{00000000-0005-0000-0000-0000613A0000}"/>
    <cellStyle name="Normal 4 2 9 3 2" xfId="9241" xr:uid="{00000000-0005-0000-0000-0000623A0000}"/>
    <cellStyle name="Normal 4 2 9 3_SSL" xfId="15672" xr:uid="{00000000-0005-0000-0000-0000633A0000}"/>
    <cellStyle name="Normal 4 2 9 4" xfId="3413" xr:uid="{00000000-0005-0000-0000-0000643A0000}"/>
    <cellStyle name="Normal 4 2 9 4 2" xfId="10058" xr:uid="{00000000-0005-0000-0000-0000653A0000}"/>
    <cellStyle name="Normal 4 2 9 4_SSL" xfId="14287" xr:uid="{00000000-0005-0000-0000-0000663A0000}"/>
    <cellStyle name="Normal 4 2 9 5" xfId="4233" xr:uid="{00000000-0005-0000-0000-0000673A0000}"/>
    <cellStyle name="Normal 4 2 9 5 2" xfId="10873" xr:uid="{00000000-0005-0000-0000-0000683A0000}"/>
    <cellStyle name="Normal 4 2 9 5_SSL" xfId="12829" xr:uid="{00000000-0005-0000-0000-0000693A0000}"/>
    <cellStyle name="Normal 4 2 9 6" xfId="5044" xr:uid="{00000000-0005-0000-0000-00006A3A0000}"/>
    <cellStyle name="Normal 4 2 9 6 2" xfId="11683" xr:uid="{00000000-0005-0000-0000-00006B3A0000}"/>
    <cellStyle name="Normal 4 2 9 6_SSL" xfId="17145" xr:uid="{00000000-0005-0000-0000-00006C3A0000}"/>
    <cellStyle name="Normal 4 2 9 7" xfId="5854" xr:uid="{00000000-0005-0000-0000-00006D3A0000}"/>
    <cellStyle name="Normal 4 2 9 7 2" xfId="12492" xr:uid="{00000000-0005-0000-0000-00006E3A0000}"/>
    <cellStyle name="Normal 4 2 9 7_SSL" xfId="17347" xr:uid="{00000000-0005-0000-0000-00006F3A0000}"/>
    <cellStyle name="Normal 4 2 9 8" xfId="7328" xr:uid="{00000000-0005-0000-0000-0000703A0000}"/>
    <cellStyle name="Normal 4 2 9 9" xfId="6784" xr:uid="{00000000-0005-0000-0000-0000713A0000}"/>
    <cellStyle name="Normal 4 2 9_SSL" xfId="16654" xr:uid="{00000000-0005-0000-0000-0000723A0000}"/>
    <cellStyle name="Normal 4 2_SSL" xfId="17090" xr:uid="{00000000-0005-0000-0000-0000733A0000}"/>
    <cellStyle name="Normal 4 3" xfId="64" xr:uid="{00000000-0005-0000-0000-0000743A0000}"/>
    <cellStyle name="Normal 4 3 10" xfId="2594" xr:uid="{00000000-0005-0000-0000-0000753A0000}"/>
    <cellStyle name="Normal 4 3 10 2" xfId="9242" xr:uid="{00000000-0005-0000-0000-0000763A0000}"/>
    <cellStyle name="Normal 4 3 10_SSL" xfId="16879" xr:uid="{00000000-0005-0000-0000-0000773A0000}"/>
    <cellStyle name="Normal 4 3 11" xfId="3414" xr:uid="{00000000-0005-0000-0000-0000783A0000}"/>
    <cellStyle name="Normal 4 3 11 2" xfId="10059" xr:uid="{00000000-0005-0000-0000-0000793A0000}"/>
    <cellStyle name="Normal 4 3 11_SSL" xfId="17320" xr:uid="{00000000-0005-0000-0000-00007A3A0000}"/>
    <cellStyle name="Normal 4 3 12" xfId="4234" xr:uid="{00000000-0005-0000-0000-00007B3A0000}"/>
    <cellStyle name="Normal 4 3 12 2" xfId="10874" xr:uid="{00000000-0005-0000-0000-00007C3A0000}"/>
    <cellStyle name="Normal 4 3 12_SSL" xfId="15726" xr:uid="{00000000-0005-0000-0000-00007D3A0000}"/>
    <cellStyle name="Normal 4 3 13" xfId="5045" xr:uid="{00000000-0005-0000-0000-00007E3A0000}"/>
    <cellStyle name="Normal 4 3 13 2" xfId="11684" xr:uid="{00000000-0005-0000-0000-00007F3A0000}"/>
    <cellStyle name="Normal 4 3 13_SSL" xfId="15361" xr:uid="{00000000-0005-0000-0000-0000803A0000}"/>
    <cellStyle name="Normal 4 3 14" xfId="5855" xr:uid="{00000000-0005-0000-0000-0000813A0000}"/>
    <cellStyle name="Normal 4 3 14 2" xfId="12493" xr:uid="{00000000-0005-0000-0000-0000823A0000}"/>
    <cellStyle name="Normal 4 3 14_SSL" xfId="16598" xr:uid="{00000000-0005-0000-0000-0000833A0000}"/>
    <cellStyle name="Normal 4 3 15" xfId="6949" xr:uid="{00000000-0005-0000-0000-0000843A0000}"/>
    <cellStyle name="Normal 4 3 16" xfId="6785" xr:uid="{00000000-0005-0000-0000-0000853A0000}"/>
    <cellStyle name="Normal 4 3 2" xfId="93" xr:uid="{00000000-0005-0000-0000-0000863A0000}"/>
    <cellStyle name="Normal 4 3 2 10" xfId="5856" xr:uid="{00000000-0005-0000-0000-0000873A0000}"/>
    <cellStyle name="Normal 4 3 2 10 2" xfId="12494" xr:uid="{00000000-0005-0000-0000-0000883A0000}"/>
    <cellStyle name="Normal 4 3 2 10_SSL" xfId="15054" xr:uid="{00000000-0005-0000-0000-0000893A0000}"/>
    <cellStyle name="Normal 4 3 2 11" xfId="6972" xr:uid="{00000000-0005-0000-0000-00008A3A0000}"/>
    <cellStyle name="Normal 4 3 2 12" xfId="6786" xr:uid="{00000000-0005-0000-0000-00008B3A0000}"/>
    <cellStyle name="Normal 4 3 2 2" xfId="191" xr:uid="{00000000-0005-0000-0000-00008C3A0000}"/>
    <cellStyle name="Normal 4 3 2 2 10" xfId="7068" xr:uid="{00000000-0005-0000-0000-00008D3A0000}"/>
    <cellStyle name="Normal 4 3 2 2 11" xfId="6787" xr:uid="{00000000-0005-0000-0000-00008E3A0000}"/>
    <cellStyle name="Normal 4 3 2 2 2" xfId="429" xr:uid="{00000000-0005-0000-0000-00008F3A0000}"/>
    <cellStyle name="Normal 4 3 2 2 2 10" xfId="6788" xr:uid="{00000000-0005-0000-0000-0000903A0000}"/>
    <cellStyle name="Normal 4 3 2 2 2 2" xfId="817" xr:uid="{00000000-0005-0000-0000-0000913A0000}"/>
    <cellStyle name="Normal 4 3 2 2 2 2 2" xfId="1778" xr:uid="{00000000-0005-0000-0000-0000923A0000}"/>
    <cellStyle name="Normal 4 3 2 2 2 2 2 2" xfId="8433" xr:uid="{00000000-0005-0000-0000-0000933A0000}"/>
    <cellStyle name="Normal 4 3 2 2 2 2 2_SSL" xfId="16002" xr:uid="{00000000-0005-0000-0000-0000943A0000}"/>
    <cellStyle name="Normal 4 3 2 2 2 2 3" xfId="2598" xr:uid="{00000000-0005-0000-0000-0000953A0000}"/>
    <cellStyle name="Normal 4 3 2 2 2 2 3 2" xfId="9246" xr:uid="{00000000-0005-0000-0000-0000963A0000}"/>
    <cellStyle name="Normal 4 3 2 2 2 2 3_SSL" xfId="17286" xr:uid="{00000000-0005-0000-0000-0000973A0000}"/>
    <cellStyle name="Normal 4 3 2 2 2 2 4" xfId="3418" xr:uid="{00000000-0005-0000-0000-0000983A0000}"/>
    <cellStyle name="Normal 4 3 2 2 2 2 4 2" xfId="10063" xr:uid="{00000000-0005-0000-0000-0000993A0000}"/>
    <cellStyle name="Normal 4 3 2 2 2 2 4_SSL" xfId="13387" xr:uid="{00000000-0005-0000-0000-00009A3A0000}"/>
    <cellStyle name="Normal 4 3 2 2 2 2 5" xfId="4238" xr:uid="{00000000-0005-0000-0000-00009B3A0000}"/>
    <cellStyle name="Normal 4 3 2 2 2 2 5 2" xfId="10878" xr:uid="{00000000-0005-0000-0000-00009C3A0000}"/>
    <cellStyle name="Normal 4 3 2 2 2 2 5_SSL" xfId="17153" xr:uid="{00000000-0005-0000-0000-00009D3A0000}"/>
    <cellStyle name="Normal 4 3 2 2 2 2 6" xfId="5049" xr:uid="{00000000-0005-0000-0000-00009E3A0000}"/>
    <cellStyle name="Normal 4 3 2 2 2 2 6 2" xfId="11688" xr:uid="{00000000-0005-0000-0000-00009F3A0000}"/>
    <cellStyle name="Normal 4 3 2 2 2 2 6_SSL" xfId="17823" xr:uid="{00000000-0005-0000-0000-0000A03A0000}"/>
    <cellStyle name="Normal 4 3 2 2 2 2 7" xfId="5859" xr:uid="{00000000-0005-0000-0000-0000A13A0000}"/>
    <cellStyle name="Normal 4 3 2 2 2 2 7 2" xfId="12497" xr:uid="{00000000-0005-0000-0000-0000A23A0000}"/>
    <cellStyle name="Normal 4 3 2 2 2 2 7_SSL" xfId="15363" xr:uid="{00000000-0005-0000-0000-0000A33A0000}"/>
    <cellStyle name="Normal 4 3 2 2 2 2 8" xfId="7673" xr:uid="{00000000-0005-0000-0000-0000A43A0000}"/>
    <cellStyle name="Normal 4 3 2 2 2 2 9" xfId="6789" xr:uid="{00000000-0005-0000-0000-0000A53A0000}"/>
    <cellStyle name="Normal 4 3 2 2 2 2_SSL" xfId="17524" xr:uid="{00000000-0005-0000-0000-0000A63A0000}"/>
    <cellStyle name="Normal 4 3 2 2 2 3" xfId="1777" xr:uid="{00000000-0005-0000-0000-0000A73A0000}"/>
    <cellStyle name="Normal 4 3 2 2 2 3 2" xfId="8432" xr:uid="{00000000-0005-0000-0000-0000A83A0000}"/>
    <cellStyle name="Normal 4 3 2 2 2 3_SSL" xfId="15021" xr:uid="{00000000-0005-0000-0000-0000A93A0000}"/>
    <cellStyle name="Normal 4 3 2 2 2 4" xfId="2597" xr:uid="{00000000-0005-0000-0000-0000AA3A0000}"/>
    <cellStyle name="Normal 4 3 2 2 2 4 2" xfId="9245" xr:uid="{00000000-0005-0000-0000-0000AB3A0000}"/>
    <cellStyle name="Normal 4 3 2 2 2 4_SSL" xfId="16375" xr:uid="{00000000-0005-0000-0000-0000AC3A0000}"/>
    <cellStyle name="Normal 4 3 2 2 2 5" xfId="3417" xr:uid="{00000000-0005-0000-0000-0000AD3A0000}"/>
    <cellStyle name="Normal 4 3 2 2 2 5 2" xfId="10062" xr:uid="{00000000-0005-0000-0000-0000AE3A0000}"/>
    <cellStyle name="Normal 4 3 2 2 2 5_SSL" xfId="14735" xr:uid="{00000000-0005-0000-0000-0000AF3A0000}"/>
    <cellStyle name="Normal 4 3 2 2 2 6" xfId="4237" xr:uid="{00000000-0005-0000-0000-0000B03A0000}"/>
    <cellStyle name="Normal 4 3 2 2 2 6 2" xfId="10877" xr:uid="{00000000-0005-0000-0000-0000B13A0000}"/>
    <cellStyle name="Normal 4 3 2 2 2 6_SSL" xfId="13435" xr:uid="{00000000-0005-0000-0000-0000B23A0000}"/>
    <cellStyle name="Normal 4 3 2 2 2 7" xfId="5048" xr:uid="{00000000-0005-0000-0000-0000B33A0000}"/>
    <cellStyle name="Normal 4 3 2 2 2 7 2" xfId="11687" xr:uid="{00000000-0005-0000-0000-0000B43A0000}"/>
    <cellStyle name="Normal 4 3 2 2 2 7_SSL" xfId="15433" xr:uid="{00000000-0005-0000-0000-0000B53A0000}"/>
    <cellStyle name="Normal 4 3 2 2 2 8" xfId="5858" xr:uid="{00000000-0005-0000-0000-0000B63A0000}"/>
    <cellStyle name="Normal 4 3 2 2 2 8 2" xfId="12496" xr:uid="{00000000-0005-0000-0000-0000B73A0000}"/>
    <cellStyle name="Normal 4 3 2 2 2 8_SSL" xfId="17666" xr:uid="{00000000-0005-0000-0000-0000B83A0000}"/>
    <cellStyle name="Normal 4 3 2 2 2 9" xfId="7289" xr:uid="{00000000-0005-0000-0000-0000B93A0000}"/>
    <cellStyle name="Normal 4 3 2 2 2_SSL" xfId="17208" xr:uid="{00000000-0005-0000-0000-0000BA3A0000}"/>
    <cellStyle name="Normal 4 3 2 2 3" xfId="596" xr:uid="{00000000-0005-0000-0000-0000BB3A0000}"/>
    <cellStyle name="Normal 4 3 2 2 3 2" xfId="1779" xr:uid="{00000000-0005-0000-0000-0000BC3A0000}"/>
    <cellStyle name="Normal 4 3 2 2 3 2 2" xfId="8434" xr:uid="{00000000-0005-0000-0000-0000BD3A0000}"/>
    <cellStyle name="Normal 4 3 2 2 3 2_SSL" xfId="13302" xr:uid="{00000000-0005-0000-0000-0000BE3A0000}"/>
    <cellStyle name="Normal 4 3 2 2 3 3" xfId="2599" xr:uid="{00000000-0005-0000-0000-0000BF3A0000}"/>
    <cellStyle name="Normal 4 3 2 2 3 3 2" xfId="9247" xr:uid="{00000000-0005-0000-0000-0000C03A0000}"/>
    <cellStyle name="Normal 4 3 2 2 3 3_SSL" xfId="16183" xr:uid="{00000000-0005-0000-0000-0000C13A0000}"/>
    <cellStyle name="Normal 4 3 2 2 3 4" xfId="3419" xr:uid="{00000000-0005-0000-0000-0000C23A0000}"/>
    <cellStyle name="Normal 4 3 2 2 3 4 2" xfId="10064" xr:uid="{00000000-0005-0000-0000-0000C33A0000}"/>
    <cellStyle name="Normal 4 3 2 2 3 4_SSL" xfId="15719" xr:uid="{00000000-0005-0000-0000-0000C43A0000}"/>
    <cellStyle name="Normal 4 3 2 2 3 5" xfId="4239" xr:uid="{00000000-0005-0000-0000-0000C53A0000}"/>
    <cellStyle name="Normal 4 3 2 2 3 5 2" xfId="10879" xr:uid="{00000000-0005-0000-0000-0000C63A0000}"/>
    <cellStyle name="Normal 4 3 2 2 3 5_SSL" xfId="17055" xr:uid="{00000000-0005-0000-0000-0000C73A0000}"/>
    <cellStyle name="Normal 4 3 2 2 3 6" xfId="5050" xr:uid="{00000000-0005-0000-0000-0000C83A0000}"/>
    <cellStyle name="Normal 4 3 2 2 3 6 2" xfId="11689" xr:uid="{00000000-0005-0000-0000-0000C93A0000}"/>
    <cellStyle name="Normal 4 3 2 2 3 6_SSL" xfId="15403" xr:uid="{00000000-0005-0000-0000-0000CA3A0000}"/>
    <cellStyle name="Normal 4 3 2 2 3 7" xfId="5860" xr:uid="{00000000-0005-0000-0000-0000CB3A0000}"/>
    <cellStyle name="Normal 4 3 2 2 3 7 2" xfId="12498" xr:uid="{00000000-0005-0000-0000-0000CC3A0000}"/>
    <cellStyle name="Normal 4 3 2 2 3 7_SSL" xfId="14354" xr:uid="{00000000-0005-0000-0000-0000CD3A0000}"/>
    <cellStyle name="Normal 4 3 2 2 3 8" xfId="7452" xr:uid="{00000000-0005-0000-0000-0000CE3A0000}"/>
    <cellStyle name="Normal 4 3 2 2 3 9" xfId="6790" xr:uid="{00000000-0005-0000-0000-0000CF3A0000}"/>
    <cellStyle name="Normal 4 3 2 2 3_SSL" xfId="12782" xr:uid="{00000000-0005-0000-0000-0000D03A0000}"/>
    <cellStyle name="Normal 4 3 2 2 4" xfId="1776" xr:uid="{00000000-0005-0000-0000-0000D13A0000}"/>
    <cellStyle name="Normal 4 3 2 2 4 2" xfId="8431" xr:uid="{00000000-0005-0000-0000-0000D23A0000}"/>
    <cellStyle name="Normal 4 3 2 2 4_SSL" xfId="15470" xr:uid="{00000000-0005-0000-0000-0000D33A0000}"/>
    <cellStyle name="Normal 4 3 2 2 5" xfId="2596" xr:uid="{00000000-0005-0000-0000-0000D43A0000}"/>
    <cellStyle name="Normal 4 3 2 2 5 2" xfId="9244" xr:uid="{00000000-0005-0000-0000-0000D53A0000}"/>
    <cellStyle name="Normal 4 3 2 2 5_SSL" xfId="15594" xr:uid="{00000000-0005-0000-0000-0000D63A0000}"/>
    <cellStyle name="Normal 4 3 2 2 6" xfId="3416" xr:uid="{00000000-0005-0000-0000-0000D73A0000}"/>
    <cellStyle name="Normal 4 3 2 2 6 2" xfId="10061" xr:uid="{00000000-0005-0000-0000-0000D83A0000}"/>
    <cellStyle name="Normal 4 3 2 2 6_SSL" xfId="14909" xr:uid="{00000000-0005-0000-0000-0000D93A0000}"/>
    <cellStyle name="Normal 4 3 2 2 7" xfId="4236" xr:uid="{00000000-0005-0000-0000-0000DA3A0000}"/>
    <cellStyle name="Normal 4 3 2 2 7 2" xfId="10876" xr:uid="{00000000-0005-0000-0000-0000DB3A0000}"/>
    <cellStyle name="Normal 4 3 2 2 7_SSL" xfId="15773" xr:uid="{00000000-0005-0000-0000-0000DC3A0000}"/>
    <cellStyle name="Normal 4 3 2 2 8" xfId="5047" xr:uid="{00000000-0005-0000-0000-0000DD3A0000}"/>
    <cellStyle name="Normal 4 3 2 2 8 2" xfId="11686" xr:uid="{00000000-0005-0000-0000-0000DE3A0000}"/>
    <cellStyle name="Normal 4 3 2 2 8_SSL" xfId="17300" xr:uid="{00000000-0005-0000-0000-0000DF3A0000}"/>
    <cellStyle name="Normal 4 3 2 2 9" xfId="5857" xr:uid="{00000000-0005-0000-0000-0000E03A0000}"/>
    <cellStyle name="Normal 4 3 2 2 9 2" xfId="12495" xr:uid="{00000000-0005-0000-0000-0000E13A0000}"/>
    <cellStyle name="Normal 4 3 2 2 9_SSL" xfId="6094" xr:uid="{00000000-0005-0000-0000-0000E23A0000}"/>
    <cellStyle name="Normal 4 3 2 2_SSL" xfId="16920" xr:uid="{00000000-0005-0000-0000-0000E33A0000}"/>
    <cellStyle name="Normal 4 3 2 3" xfId="428" xr:uid="{00000000-0005-0000-0000-0000E43A0000}"/>
    <cellStyle name="Normal 4 3 2 3 10" xfId="6791" xr:uid="{00000000-0005-0000-0000-0000E53A0000}"/>
    <cellStyle name="Normal 4 3 2 3 2" xfId="816" xr:uid="{00000000-0005-0000-0000-0000E63A0000}"/>
    <cellStyle name="Normal 4 3 2 3 2 2" xfId="1781" xr:uid="{00000000-0005-0000-0000-0000E73A0000}"/>
    <cellStyle name="Normal 4 3 2 3 2 2 2" xfId="8436" xr:uid="{00000000-0005-0000-0000-0000E83A0000}"/>
    <cellStyle name="Normal 4 3 2 3 2 2_SSL" xfId="13328" xr:uid="{00000000-0005-0000-0000-0000E93A0000}"/>
    <cellStyle name="Normal 4 3 2 3 2 3" xfId="2601" xr:uid="{00000000-0005-0000-0000-0000EA3A0000}"/>
    <cellStyle name="Normal 4 3 2 3 2 3 2" xfId="9249" xr:uid="{00000000-0005-0000-0000-0000EB3A0000}"/>
    <cellStyle name="Normal 4 3 2 3 2 3_SSL" xfId="13598" xr:uid="{00000000-0005-0000-0000-0000EC3A0000}"/>
    <cellStyle name="Normal 4 3 2 3 2 4" xfId="3421" xr:uid="{00000000-0005-0000-0000-0000ED3A0000}"/>
    <cellStyle name="Normal 4 3 2 3 2 4 2" xfId="10066" xr:uid="{00000000-0005-0000-0000-0000EE3A0000}"/>
    <cellStyle name="Normal 4 3 2 3 2 4_SSL" xfId="15423" xr:uid="{00000000-0005-0000-0000-0000EF3A0000}"/>
    <cellStyle name="Normal 4 3 2 3 2 5" xfId="4241" xr:uid="{00000000-0005-0000-0000-0000F03A0000}"/>
    <cellStyle name="Normal 4 3 2 3 2 5 2" xfId="10881" xr:uid="{00000000-0005-0000-0000-0000F13A0000}"/>
    <cellStyle name="Normal 4 3 2 3 2 5_SSL" xfId="14627" xr:uid="{00000000-0005-0000-0000-0000F23A0000}"/>
    <cellStyle name="Normal 4 3 2 3 2 6" xfId="5052" xr:uid="{00000000-0005-0000-0000-0000F33A0000}"/>
    <cellStyle name="Normal 4 3 2 3 2 6 2" xfId="11691" xr:uid="{00000000-0005-0000-0000-0000F43A0000}"/>
    <cellStyle name="Normal 4 3 2 3 2 6_SSL" xfId="14438" xr:uid="{00000000-0005-0000-0000-0000F53A0000}"/>
    <cellStyle name="Normal 4 3 2 3 2 7" xfId="5862" xr:uid="{00000000-0005-0000-0000-0000F63A0000}"/>
    <cellStyle name="Normal 4 3 2 3 2 7 2" xfId="12500" xr:uid="{00000000-0005-0000-0000-0000F73A0000}"/>
    <cellStyle name="Normal 4 3 2 3 2 7_SSL" xfId="17526" xr:uid="{00000000-0005-0000-0000-0000F83A0000}"/>
    <cellStyle name="Normal 4 3 2 3 2 8" xfId="7672" xr:uid="{00000000-0005-0000-0000-0000F93A0000}"/>
    <cellStyle name="Normal 4 3 2 3 2 9" xfId="6792" xr:uid="{00000000-0005-0000-0000-0000FA3A0000}"/>
    <cellStyle name="Normal 4 3 2 3 2_SSL" xfId="15431" xr:uid="{00000000-0005-0000-0000-0000FB3A0000}"/>
    <cellStyle name="Normal 4 3 2 3 3" xfId="1780" xr:uid="{00000000-0005-0000-0000-0000FC3A0000}"/>
    <cellStyle name="Normal 4 3 2 3 3 2" xfId="8435" xr:uid="{00000000-0005-0000-0000-0000FD3A0000}"/>
    <cellStyle name="Normal 4 3 2 3 3_SSL" xfId="14057" xr:uid="{00000000-0005-0000-0000-0000FE3A0000}"/>
    <cellStyle name="Normal 4 3 2 3 4" xfId="2600" xr:uid="{00000000-0005-0000-0000-0000FF3A0000}"/>
    <cellStyle name="Normal 4 3 2 3 4 2" xfId="9248" xr:uid="{00000000-0005-0000-0000-0000003B0000}"/>
    <cellStyle name="Normal 4 3 2 3 4_SSL" xfId="14848" xr:uid="{00000000-0005-0000-0000-0000013B0000}"/>
    <cellStyle name="Normal 4 3 2 3 5" xfId="3420" xr:uid="{00000000-0005-0000-0000-0000023B0000}"/>
    <cellStyle name="Normal 4 3 2 3 5 2" xfId="10065" xr:uid="{00000000-0005-0000-0000-0000033B0000}"/>
    <cellStyle name="Normal 4 3 2 3 5_SSL" xfId="17737" xr:uid="{00000000-0005-0000-0000-0000043B0000}"/>
    <cellStyle name="Normal 4 3 2 3 6" xfId="4240" xr:uid="{00000000-0005-0000-0000-0000053B0000}"/>
    <cellStyle name="Normal 4 3 2 3 6 2" xfId="10880" xr:uid="{00000000-0005-0000-0000-0000063B0000}"/>
    <cellStyle name="Normal 4 3 2 3 6_SSL" xfId="16384" xr:uid="{00000000-0005-0000-0000-0000073B0000}"/>
    <cellStyle name="Normal 4 3 2 3 7" xfId="5051" xr:uid="{00000000-0005-0000-0000-0000083B0000}"/>
    <cellStyle name="Normal 4 3 2 3 7 2" xfId="11690" xr:uid="{00000000-0005-0000-0000-0000093B0000}"/>
    <cellStyle name="Normal 4 3 2 3 7_SSL" xfId="14077" xr:uid="{00000000-0005-0000-0000-00000A3B0000}"/>
    <cellStyle name="Normal 4 3 2 3 8" xfId="5861" xr:uid="{00000000-0005-0000-0000-00000B3B0000}"/>
    <cellStyle name="Normal 4 3 2 3 8 2" xfId="12499" xr:uid="{00000000-0005-0000-0000-00000C3B0000}"/>
    <cellStyle name="Normal 4 3 2 3 8_SSL" xfId="13178" xr:uid="{00000000-0005-0000-0000-00000D3B0000}"/>
    <cellStyle name="Normal 4 3 2 3 9" xfId="7288" xr:uid="{00000000-0005-0000-0000-00000E3B0000}"/>
    <cellStyle name="Normal 4 3 2 3_SSL" xfId="17266" xr:uid="{00000000-0005-0000-0000-00000F3B0000}"/>
    <cellStyle name="Normal 4 3 2 4" xfId="500" xr:uid="{00000000-0005-0000-0000-0000103B0000}"/>
    <cellStyle name="Normal 4 3 2 4 2" xfId="1782" xr:uid="{00000000-0005-0000-0000-0000113B0000}"/>
    <cellStyle name="Normal 4 3 2 4 2 2" xfId="8437" xr:uid="{00000000-0005-0000-0000-0000123B0000}"/>
    <cellStyle name="Normal 4 3 2 4 2_SSL" xfId="16522" xr:uid="{00000000-0005-0000-0000-0000133B0000}"/>
    <cellStyle name="Normal 4 3 2 4 3" xfId="2602" xr:uid="{00000000-0005-0000-0000-0000143B0000}"/>
    <cellStyle name="Normal 4 3 2 4 3 2" xfId="9250" xr:uid="{00000000-0005-0000-0000-0000153B0000}"/>
    <cellStyle name="Normal 4 3 2 4 3_SSL" xfId="14946" xr:uid="{00000000-0005-0000-0000-0000163B0000}"/>
    <cellStyle name="Normal 4 3 2 4 4" xfId="3422" xr:uid="{00000000-0005-0000-0000-0000173B0000}"/>
    <cellStyle name="Normal 4 3 2 4 4 2" xfId="10067" xr:uid="{00000000-0005-0000-0000-0000183B0000}"/>
    <cellStyle name="Normal 4 3 2 4 4_SSL" xfId="16108" xr:uid="{00000000-0005-0000-0000-0000193B0000}"/>
    <cellStyle name="Normal 4 3 2 4 5" xfId="4242" xr:uid="{00000000-0005-0000-0000-00001A3B0000}"/>
    <cellStyle name="Normal 4 3 2 4 5 2" xfId="10882" xr:uid="{00000000-0005-0000-0000-00001B3B0000}"/>
    <cellStyle name="Normal 4 3 2 4 5_SSL" xfId="14706" xr:uid="{00000000-0005-0000-0000-00001C3B0000}"/>
    <cellStyle name="Normal 4 3 2 4 6" xfId="5053" xr:uid="{00000000-0005-0000-0000-00001D3B0000}"/>
    <cellStyle name="Normal 4 3 2 4 6 2" xfId="11692" xr:uid="{00000000-0005-0000-0000-00001E3B0000}"/>
    <cellStyle name="Normal 4 3 2 4 6_SSL" xfId="17264" xr:uid="{00000000-0005-0000-0000-00001F3B0000}"/>
    <cellStyle name="Normal 4 3 2 4 7" xfId="5863" xr:uid="{00000000-0005-0000-0000-0000203B0000}"/>
    <cellStyle name="Normal 4 3 2 4 7 2" xfId="12501" xr:uid="{00000000-0005-0000-0000-0000213B0000}"/>
    <cellStyle name="Normal 4 3 2 4 7_SSL" xfId="14681" xr:uid="{00000000-0005-0000-0000-0000223B0000}"/>
    <cellStyle name="Normal 4 3 2 4 8" xfId="7356" xr:uid="{00000000-0005-0000-0000-0000233B0000}"/>
    <cellStyle name="Normal 4 3 2 4 9" xfId="6793" xr:uid="{00000000-0005-0000-0000-0000243B0000}"/>
    <cellStyle name="Normal 4 3 2 4_SSL" xfId="14969" xr:uid="{00000000-0005-0000-0000-0000253B0000}"/>
    <cellStyle name="Normal 4 3 2 5" xfId="1775" xr:uid="{00000000-0005-0000-0000-0000263B0000}"/>
    <cellStyle name="Normal 4 3 2 5 2" xfId="8430" xr:uid="{00000000-0005-0000-0000-0000273B0000}"/>
    <cellStyle name="Normal 4 3 2 5_SSL" xfId="16537" xr:uid="{00000000-0005-0000-0000-0000283B0000}"/>
    <cellStyle name="Normal 4 3 2 6" xfId="2595" xr:uid="{00000000-0005-0000-0000-0000293B0000}"/>
    <cellStyle name="Normal 4 3 2 6 2" xfId="9243" xr:uid="{00000000-0005-0000-0000-00002A3B0000}"/>
    <cellStyle name="Normal 4 3 2 6_SSL" xfId="12705" xr:uid="{00000000-0005-0000-0000-00002B3B0000}"/>
    <cellStyle name="Normal 4 3 2 7" xfId="3415" xr:uid="{00000000-0005-0000-0000-00002C3B0000}"/>
    <cellStyle name="Normal 4 3 2 7 2" xfId="10060" xr:uid="{00000000-0005-0000-0000-00002D3B0000}"/>
    <cellStyle name="Normal 4 3 2 7_SSL" xfId="18018" xr:uid="{00000000-0005-0000-0000-00002E3B0000}"/>
    <cellStyle name="Normal 4 3 2 8" xfId="4235" xr:uid="{00000000-0005-0000-0000-00002F3B0000}"/>
    <cellStyle name="Normal 4 3 2 8 2" xfId="10875" xr:uid="{00000000-0005-0000-0000-0000303B0000}"/>
    <cellStyle name="Normal 4 3 2 8_SSL" xfId="16561" xr:uid="{00000000-0005-0000-0000-0000313B0000}"/>
    <cellStyle name="Normal 4 3 2 9" xfId="5046" xr:uid="{00000000-0005-0000-0000-0000323B0000}"/>
    <cellStyle name="Normal 4 3 2 9 2" xfId="11685" xr:uid="{00000000-0005-0000-0000-0000333B0000}"/>
    <cellStyle name="Normal 4 3 2 9_SSL" xfId="12858" xr:uid="{00000000-0005-0000-0000-0000343B0000}"/>
    <cellStyle name="Normal 4 3 2_SSL" xfId="12736" xr:uid="{00000000-0005-0000-0000-0000353B0000}"/>
    <cellStyle name="Normal 4 3 3" xfId="118" xr:uid="{00000000-0005-0000-0000-0000363B0000}"/>
    <cellStyle name="Normal 4 3 3 10" xfId="5864" xr:uid="{00000000-0005-0000-0000-0000373B0000}"/>
    <cellStyle name="Normal 4 3 3 10 2" xfId="12502" xr:uid="{00000000-0005-0000-0000-0000383B0000}"/>
    <cellStyle name="Normal 4 3 3 10_SSL" xfId="16667" xr:uid="{00000000-0005-0000-0000-0000393B0000}"/>
    <cellStyle name="Normal 4 3 3 11" xfId="6995" xr:uid="{00000000-0005-0000-0000-00003A3B0000}"/>
    <cellStyle name="Normal 4 3 3 12" xfId="6794" xr:uid="{00000000-0005-0000-0000-00003B3B0000}"/>
    <cellStyle name="Normal 4 3 3 2" xfId="214" xr:uid="{00000000-0005-0000-0000-00003C3B0000}"/>
    <cellStyle name="Normal 4 3 3 2 10" xfId="7091" xr:uid="{00000000-0005-0000-0000-00003D3B0000}"/>
    <cellStyle name="Normal 4 3 3 2 11" xfId="6795" xr:uid="{00000000-0005-0000-0000-00003E3B0000}"/>
    <cellStyle name="Normal 4 3 3 2 2" xfId="431" xr:uid="{00000000-0005-0000-0000-00003F3B0000}"/>
    <cellStyle name="Normal 4 3 3 2 2 10" xfId="6796" xr:uid="{00000000-0005-0000-0000-0000403B0000}"/>
    <cellStyle name="Normal 4 3 3 2 2 2" xfId="819" xr:uid="{00000000-0005-0000-0000-0000413B0000}"/>
    <cellStyle name="Normal 4 3 3 2 2 2 2" xfId="1786" xr:uid="{00000000-0005-0000-0000-0000423B0000}"/>
    <cellStyle name="Normal 4 3 3 2 2 2 2 2" xfId="8441" xr:uid="{00000000-0005-0000-0000-0000433B0000}"/>
    <cellStyle name="Normal 4 3 3 2 2 2 2_SSL" xfId="14000" xr:uid="{00000000-0005-0000-0000-0000443B0000}"/>
    <cellStyle name="Normal 4 3 3 2 2 2 3" xfId="2606" xr:uid="{00000000-0005-0000-0000-0000453B0000}"/>
    <cellStyle name="Normal 4 3 3 2 2 2 3 2" xfId="9254" xr:uid="{00000000-0005-0000-0000-0000463B0000}"/>
    <cellStyle name="Normal 4 3 3 2 2 2 3_SSL" xfId="17992" xr:uid="{00000000-0005-0000-0000-0000473B0000}"/>
    <cellStyle name="Normal 4 3 3 2 2 2 4" xfId="3426" xr:uid="{00000000-0005-0000-0000-0000483B0000}"/>
    <cellStyle name="Normal 4 3 3 2 2 2 4 2" xfId="10071" xr:uid="{00000000-0005-0000-0000-0000493B0000}"/>
    <cellStyle name="Normal 4 3 3 2 2 2 4_SSL" xfId="15561" xr:uid="{00000000-0005-0000-0000-00004A3B0000}"/>
    <cellStyle name="Normal 4 3 3 2 2 2 5" xfId="4246" xr:uid="{00000000-0005-0000-0000-00004B3B0000}"/>
    <cellStyle name="Normal 4 3 3 2 2 2 5 2" xfId="10886" xr:uid="{00000000-0005-0000-0000-00004C3B0000}"/>
    <cellStyle name="Normal 4 3 3 2 2 2 5_SSL" xfId="15959" xr:uid="{00000000-0005-0000-0000-00004D3B0000}"/>
    <cellStyle name="Normal 4 3 3 2 2 2 6" xfId="5057" xr:uid="{00000000-0005-0000-0000-00004E3B0000}"/>
    <cellStyle name="Normal 4 3 3 2 2 2 6 2" xfId="11696" xr:uid="{00000000-0005-0000-0000-00004F3B0000}"/>
    <cellStyle name="Normal 4 3 3 2 2 2 6_SSL" xfId="15558" xr:uid="{00000000-0005-0000-0000-0000503B0000}"/>
    <cellStyle name="Normal 4 3 3 2 2 2 7" xfId="5867" xr:uid="{00000000-0005-0000-0000-0000513B0000}"/>
    <cellStyle name="Normal 4 3 3 2 2 2 7 2" xfId="12505" xr:uid="{00000000-0005-0000-0000-0000523B0000}"/>
    <cellStyle name="Normal 4 3 3 2 2 2 7_SSL" xfId="15699" xr:uid="{00000000-0005-0000-0000-0000533B0000}"/>
    <cellStyle name="Normal 4 3 3 2 2 2 8" xfId="7675" xr:uid="{00000000-0005-0000-0000-0000543B0000}"/>
    <cellStyle name="Normal 4 3 3 2 2 2 9" xfId="6797" xr:uid="{00000000-0005-0000-0000-0000553B0000}"/>
    <cellStyle name="Normal 4 3 3 2 2 2_SSL" xfId="15731" xr:uid="{00000000-0005-0000-0000-0000563B0000}"/>
    <cellStyle name="Normal 4 3 3 2 2 3" xfId="1785" xr:uid="{00000000-0005-0000-0000-0000573B0000}"/>
    <cellStyle name="Normal 4 3 3 2 2 3 2" xfId="8440" xr:uid="{00000000-0005-0000-0000-0000583B0000}"/>
    <cellStyle name="Normal 4 3 3 2 2 3_SSL" xfId="17080" xr:uid="{00000000-0005-0000-0000-0000593B0000}"/>
    <cellStyle name="Normal 4 3 3 2 2 4" xfId="2605" xr:uid="{00000000-0005-0000-0000-00005A3B0000}"/>
    <cellStyle name="Normal 4 3 3 2 2 4 2" xfId="9253" xr:uid="{00000000-0005-0000-0000-00005B3B0000}"/>
    <cellStyle name="Normal 4 3 3 2 2 4_SSL" xfId="14940" xr:uid="{00000000-0005-0000-0000-00005C3B0000}"/>
    <cellStyle name="Normal 4 3 3 2 2 5" xfId="3425" xr:uid="{00000000-0005-0000-0000-00005D3B0000}"/>
    <cellStyle name="Normal 4 3 3 2 2 5 2" xfId="10070" xr:uid="{00000000-0005-0000-0000-00005E3B0000}"/>
    <cellStyle name="Normal 4 3 3 2 2 5_SSL" xfId="16272" xr:uid="{00000000-0005-0000-0000-00005F3B0000}"/>
    <cellStyle name="Normal 4 3 3 2 2 6" xfId="4245" xr:uid="{00000000-0005-0000-0000-0000603B0000}"/>
    <cellStyle name="Normal 4 3 3 2 2 6 2" xfId="10885" xr:uid="{00000000-0005-0000-0000-0000613B0000}"/>
    <cellStyle name="Normal 4 3 3 2 2 6_SSL" xfId="17125" xr:uid="{00000000-0005-0000-0000-0000623B0000}"/>
    <cellStyle name="Normal 4 3 3 2 2 7" xfId="5056" xr:uid="{00000000-0005-0000-0000-0000633B0000}"/>
    <cellStyle name="Normal 4 3 3 2 2 7 2" xfId="11695" xr:uid="{00000000-0005-0000-0000-0000643B0000}"/>
    <cellStyle name="Normal 4 3 3 2 2 7_SSL" xfId="17175" xr:uid="{00000000-0005-0000-0000-0000653B0000}"/>
    <cellStyle name="Normal 4 3 3 2 2 8" xfId="5866" xr:uid="{00000000-0005-0000-0000-0000663B0000}"/>
    <cellStyle name="Normal 4 3 3 2 2 8 2" xfId="12504" xr:uid="{00000000-0005-0000-0000-0000673B0000}"/>
    <cellStyle name="Normal 4 3 3 2 2 8_SSL" xfId="14291" xr:uid="{00000000-0005-0000-0000-0000683B0000}"/>
    <cellStyle name="Normal 4 3 3 2 2 9" xfId="7291" xr:uid="{00000000-0005-0000-0000-0000693B0000}"/>
    <cellStyle name="Normal 4 3 3 2 2_SSL" xfId="13616" xr:uid="{00000000-0005-0000-0000-00006A3B0000}"/>
    <cellStyle name="Normal 4 3 3 2 3" xfId="619" xr:uid="{00000000-0005-0000-0000-00006B3B0000}"/>
    <cellStyle name="Normal 4 3 3 2 3 2" xfId="1787" xr:uid="{00000000-0005-0000-0000-00006C3B0000}"/>
    <cellStyle name="Normal 4 3 3 2 3 2 2" xfId="8442" xr:uid="{00000000-0005-0000-0000-00006D3B0000}"/>
    <cellStyle name="Normal 4 3 3 2 3 2_SSL" xfId="12962" xr:uid="{00000000-0005-0000-0000-00006E3B0000}"/>
    <cellStyle name="Normal 4 3 3 2 3 3" xfId="2607" xr:uid="{00000000-0005-0000-0000-00006F3B0000}"/>
    <cellStyle name="Normal 4 3 3 2 3 3 2" xfId="9255" xr:uid="{00000000-0005-0000-0000-0000703B0000}"/>
    <cellStyle name="Normal 4 3 3 2 3 3_SSL" xfId="14071" xr:uid="{00000000-0005-0000-0000-0000713B0000}"/>
    <cellStyle name="Normal 4 3 3 2 3 4" xfId="3427" xr:uid="{00000000-0005-0000-0000-0000723B0000}"/>
    <cellStyle name="Normal 4 3 3 2 3 4 2" xfId="10072" xr:uid="{00000000-0005-0000-0000-0000733B0000}"/>
    <cellStyle name="Normal 4 3 3 2 3 4_SSL" xfId="15881" xr:uid="{00000000-0005-0000-0000-0000743B0000}"/>
    <cellStyle name="Normal 4 3 3 2 3 5" xfId="4247" xr:uid="{00000000-0005-0000-0000-0000753B0000}"/>
    <cellStyle name="Normal 4 3 3 2 3 5 2" xfId="10887" xr:uid="{00000000-0005-0000-0000-0000763B0000}"/>
    <cellStyle name="Normal 4 3 3 2 3 5_SSL" xfId="17874" xr:uid="{00000000-0005-0000-0000-0000773B0000}"/>
    <cellStyle name="Normal 4 3 3 2 3 6" xfId="5058" xr:uid="{00000000-0005-0000-0000-0000783B0000}"/>
    <cellStyle name="Normal 4 3 3 2 3 6 2" xfId="11697" xr:uid="{00000000-0005-0000-0000-0000793B0000}"/>
    <cellStyle name="Normal 4 3 3 2 3 6_SSL" xfId="16044" xr:uid="{00000000-0005-0000-0000-00007A3B0000}"/>
    <cellStyle name="Normal 4 3 3 2 3 7" xfId="5868" xr:uid="{00000000-0005-0000-0000-00007B3B0000}"/>
    <cellStyle name="Normal 4 3 3 2 3 7 2" xfId="12506" xr:uid="{00000000-0005-0000-0000-00007C3B0000}"/>
    <cellStyle name="Normal 4 3 3 2 3 7_SSL" xfId="17668" xr:uid="{00000000-0005-0000-0000-00007D3B0000}"/>
    <cellStyle name="Normal 4 3 3 2 3 8" xfId="7475" xr:uid="{00000000-0005-0000-0000-00007E3B0000}"/>
    <cellStyle name="Normal 4 3 3 2 3 9" xfId="6798" xr:uid="{00000000-0005-0000-0000-00007F3B0000}"/>
    <cellStyle name="Normal 4 3 3 2 3_SSL" xfId="17669" xr:uid="{00000000-0005-0000-0000-0000803B0000}"/>
    <cellStyle name="Normal 4 3 3 2 4" xfId="1784" xr:uid="{00000000-0005-0000-0000-0000813B0000}"/>
    <cellStyle name="Normal 4 3 3 2 4 2" xfId="8439" xr:uid="{00000000-0005-0000-0000-0000823B0000}"/>
    <cellStyle name="Normal 4 3 3 2 4_SSL" xfId="16052" xr:uid="{00000000-0005-0000-0000-0000833B0000}"/>
    <cellStyle name="Normal 4 3 3 2 5" xfId="2604" xr:uid="{00000000-0005-0000-0000-0000843B0000}"/>
    <cellStyle name="Normal 4 3 3 2 5 2" xfId="9252" xr:uid="{00000000-0005-0000-0000-0000853B0000}"/>
    <cellStyle name="Normal 4 3 3 2 5_SSL" xfId="15564" xr:uid="{00000000-0005-0000-0000-0000863B0000}"/>
    <cellStyle name="Normal 4 3 3 2 6" xfId="3424" xr:uid="{00000000-0005-0000-0000-0000873B0000}"/>
    <cellStyle name="Normal 4 3 3 2 6 2" xfId="10069" xr:uid="{00000000-0005-0000-0000-0000883B0000}"/>
    <cellStyle name="Normal 4 3 3 2 6_SSL" xfId="12709" xr:uid="{00000000-0005-0000-0000-0000893B0000}"/>
    <cellStyle name="Normal 4 3 3 2 7" xfId="4244" xr:uid="{00000000-0005-0000-0000-00008A3B0000}"/>
    <cellStyle name="Normal 4 3 3 2 7 2" xfId="10884" xr:uid="{00000000-0005-0000-0000-00008B3B0000}"/>
    <cellStyle name="Normal 4 3 3 2 7_SSL" xfId="6004" xr:uid="{00000000-0005-0000-0000-00008C3B0000}"/>
    <cellStyle name="Normal 4 3 3 2 8" xfId="5055" xr:uid="{00000000-0005-0000-0000-00008D3B0000}"/>
    <cellStyle name="Normal 4 3 3 2 8 2" xfId="11694" xr:uid="{00000000-0005-0000-0000-00008E3B0000}"/>
    <cellStyle name="Normal 4 3 3 2 8_SSL" xfId="15162" xr:uid="{00000000-0005-0000-0000-00008F3B0000}"/>
    <cellStyle name="Normal 4 3 3 2 9" xfId="5865" xr:uid="{00000000-0005-0000-0000-0000903B0000}"/>
    <cellStyle name="Normal 4 3 3 2 9 2" xfId="12503" xr:uid="{00000000-0005-0000-0000-0000913B0000}"/>
    <cellStyle name="Normal 4 3 3 2 9_SSL" xfId="16162" xr:uid="{00000000-0005-0000-0000-0000923B0000}"/>
    <cellStyle name="Normal 4 3 3 2_SSL" xfId="15887" xr:uid="{00000000-0005-0000-0000-0000933B0000}"/>
    <cellStyle name="Normal 4 3 3 3" xfId="430" xr:uid="{00000000-0005-0000-0000-0000943B0000}"/>
    <cellStyle name="Normal 4 3 3 3 10" xfId="6799" xr:uid="{00000000-0005-0000-0000-0000953B0000}"/>
    <cellStyle name="Normal 4 3 3 3 2" xfId="818" xr:uid="{00000000-0005-0000-0000-0000963B0000}"/>
    <cellStyle name="Normal 4 3 3 3 2 2" xfId="1789" xr:uid="{00000000-0005-0000-0000-0000973B0000}"/>
    <cellStyle name="Normal 4 3 3 3 2 2 2" xfId="8444" xr:uid="{00000000-0005-0000-0000-0000983B0000}"/>
    <cellStyle name="Normal 4 3 3 3 2 2_SSL" xfId="16204" xr:uid="{00000000-0005-0000-0000-0000993B0000}"/>
    <cellStyle name="Normal 4 3 3 3 2 3" xfId="2609" xr:uid="{00000000-0005-0000-0000-00009A3B0000}"/>
    <cellStyle name="Normal 4 3 3 3 2 3 2" xfId="9257" xr:uid="{00000000-0005-0000-0000-00009B3B0000}"/>
    <cellStyle name="Normal 4 3 3 3 2 3_SSL" xfId="16064" xr:uid="{00000000-0005-0000-0000-00009C3B0000}"/>
    <cellStyle name="Normal 4 3 3 3 2 4" xfId="3429" xr:uid="{00000000-0005-0000-0000-00009D3B0000}"/>
    <cellStyle name="Normal 4 3 3 3 2 4 2" xfId="10074" xr:uid="{00000000-0005-0000-0000-00009E3B0000}"/>
    <cellStyle name="Normal 4 3 3 3 2 4_SSL" xfId="13295" xr:uid="{00000000-0005-0000-0000-00009F3B0000}"/>
    <cellStyle name="Normal 4 3 3 3 2 5" xfId="4249" xr:uid="{00000000-0005-0000-0000-0000A03B0000}"/>
    <cellStyle name="Normal 4 3 3 3 2 5 2" xfId="10889" xr:uid="{00000000-0005-0000-0000-0000A13B0000}"/>
    <cellStyle name="Normal 4 3 3 3 2 5_SSL" xfId="13400" xr:uid="{00000000-0005-0000-0000-0000A23B0000}"/>
    <cellStyle name="Normal 4 3 3 3 2 6" xfId="5060" xr:uid="{00000000-0005-0000-0000-0000A33B0000}"/>
    <cellStyle name="Normal 4 3 3 3 2 6 2" xfId="11699" xr:uid="{00000000-0005-0000-0000-0000A43B0000}"/>
    <cellStyle name="Normal 4 3 3 3 2 6_SSL" xfId="16750" xr:uid="{00000000-0005-0000-0000-0000A53B0000}"/>
    <cellStyle name="Normal 4 3 3 3 2 7" xfId="5870" xr:uid="{00000000-0005-0000-0000-0000A63B0000}"/>
    <cellStyle name="Normal 4 3 3 3 2 7 2" xfId="12508" xr:uid="{00000000-0005-0000-0000-0000A73B0000}"/>
    <cellStyle name="Normal 4 3 3 3 2 7_SSL" xfId="17443" xr:uid="{00000000-0005-0000-0000-0000A83B0000}"/>
    <cellStyle name="Normal 4 3 3 3 2 8" xfId="7674" xr:uid="{00000000-0005-0000-0000-0000A93B0000}"/>
    <cellStyle name="Normal 4 3 3 3 2 9" xfId="6800" xr:uid="{00000000-0005-0000-0000-0000AA3B0000}"/>
    <cellStyle name="Normal 4 3 3 3 2_SSL" xfId="14310" xr:uid="{00000000-0005-0000-0000-0000AB3B0000}"/>
    <cellStyle name="Normal 4 3 3 3 3" xfId="1788" xr:uid="{00000000-0005-0000-0000-0000AC3B0000}"/>
    <cellStyle name="Normal 4 3 3 3 3 2" xfId="8443" xr:uid="{00000000-0005-0000-0000-0000AD3B0000}"/>
    <cellStyle name="Normal 4 3 3 3 3_SSL" xfId="14454" xr:uid="{00000000-0005-0000-0000-0000AE3B0000}"/>
    <cellStyle name="Normal 4 3 3 3 4" xfId="2608" xr:uid="{00000000-0005-0000-0000-0000AF3B0000}"/>
    <cellStyle name="Normal 4 3 3 3 4 2" xfId="9256" xr:uid="{00000000-0005-0000-0000-0000B03B0000}"/>
    <cellStyle name="Normal 4 3 3 3 4_SSL" xfId="15907" xr:uid="{00000000-0005-0000-0000-0000B13B0000}"/>
    <cellStyle name="Normal 4 3 3 3 5" xfId="3428" xr:uid="{00000000-0005-0000-0000-0000B23B0000}"/>
    <cellStyle name="Normal 4 3 3 3 5 2" xfId="10073" xr:uid="{00000000-0005-0000-0000-0000B33B0000}"/>
    <cellStyle name="Normal 4 3 3 3 5_SSL" xfId="12843" xr:uid="{00000000-0005-0000-0000-0000B43B0000}"/>
    <cellStyle name="Normal 4 3 3 3 6" xfId="4248" xr:uid="{00000000-0005-0000-0000-0000B53B0000}"/>
    <cellStyle name="Normal 4 3 3 3 6 2" xfId="10888" xr:uid="{00000000-0005-0000-0000-0000B63B0000}"/>
    <cellStyle name="Normal 4 3 3 3 6_SSL" xfId="18009" xr:uid="{00000000-0005-0000-0000-0000B73B0000}"/>
    <cellStyle name="Normal 4 3 3 3 7" xfId="5059" xr:uid="{00000000-0005-0000-0000-0000B83B0000}"/>
    <cellStyle name="Normal 4 3 3 3 7 2" xfId="11698" xr:uid="{00000000-0005-0000-0000-0000B93B0000}"/>
    <cellStyle name="Normal 4 3 3 3 7_SSL" xfId="15145" xr:uid="{00000000-0005-0000-0000-0000BA3B0000}"/>
    <cellStyle name="Normal 4 3 3 3 8" xfId="5869" xr:uid="{00000000-0005-0000-0000-0000BB3B0000}"/>
    <cellStyle name="Normal 4 3 3 3 8 2" xfId="12507" xr:uid="{00000000-0005-0000-0000-0000BC3B0000}"/>
    <cellStyle name="Normal 4 3 3 3 8_SSL" xfId="14805" xr:uid="{00000000-0005-0000-0000-0000BD3B0000}"/>
    <cellStyle name="Normal 4 3 3 3 9" xfId="7290" xr:uid="{00000000-0005-0000-0000-0000BE3B0000}"/>
    <cellStyle name="Normal 4 3 3 3_SSL" xfId="14860" xr:uid="{00000000-0005-0000-0000-0000BF3B0000}"/>
    <cellStyle name="Normal 4 3 3 4" xfId="523" xr:uid="{00000000-0005-0000-0000-0000C03B0000}"/>
    <cellStyle name="Normal 4 3 3 4 2" xfId="1790" xr:uid="{00000000-0005-0000-0000-0000C13B0000}"/>
    <cellStyle name="Normal 4 3 3 4 2 2" xfId="8445" xr:uid="{00000000-0005-0000-0000-0000C23B0000}"/>
    <cellStyle name="Normal 4 3 3 4 2_SSL" xfId="16910" xr:uid="{00000000-0005-0000-0000-0000C33B0000}"/>
    <cellStyle name="Normal 4 3 3 4 3" xfId="2610" xr:uid="{00000000-0005-0000-0000-0000C43B0000}"/>
    <cellStyle name="Normal 4 3 3 4 3 2" xfId="9258" xr:uid="{00000000-0005-0000-0000-0000C53B0000}"/>
    <cellStyle name="Normal 4 3 3 4 3_SSL" xfId="15469" xr:uid="{00000000-0005-0000-0000-0000C63B0000}"/>
    <cellStyle name="Normal 4 3 3 4 4" xfId="3430" xr:uid="{00000000-0005-0000-0000-0000C73B0000}"/>
    <cellStyle name="Normal 4 3 3 4 4 2" xfId="10075" xr:uid="{00000000-0005-0000-0000-0000C83B0000}"/>
    <cellStyle name="Normal 4 3 3 4 4_SSL" xfId="15374" xr:uid="{00000000-0005-0000-0000-0000C93B0000}"/>
    <cellStyle name="Normal 4 3 3 4 5" xfId="4250" xr:uid="{00000000-0005-0000-0000-0000CA3B0000}"/>
    <cellStyle name="Normal 4 3 3 4 5 2" xfId="10890" xr:uid="{00000000-0005-0000-0000-0000CB3B0000}"/>
    <cellStyle name="Normal 4 3 3 4 5_SSL" xfId="12701" xr:uid="{00000000-0005-0000-0000-0000CC3B0000}"/>
    <cellStyle name="Normal 4 3 3 4 6" xfId="5061" xr:uid="{00000000-0005-0000-0000-0000CD3B0000}"/>
    <cellStyle name="Normal 4 3 3 4 6 2" xfId="11700" xr:uid="{00000000-0005-0000-0000-0000CE3B0000}"/>
    <cellStyle name="Normal 4 3 3 4 6_SSL" xfId="13078" xr:uid="{00000000-0005-0000-0000-0000CF3B0000}"/>
    <cellStyle name="Normal 4 3 3 4 7" xfId="5871" xr:uid="{00000000-0005-0000-0000-0000D03B0000}"/>
    <cellStyle name="Normal 4 3 3 4 7 2" xfId="12509" xr:uid="{00000000-0005-0000-0000-0000D13B0000}"/>
    <cellStyle name="Normal 4 3 3 4 7_SSL" xfId="12774" xr:uid="{00000000-0005-0000-0000-0000D23B0000}"/>
    <cellStyle name="Normal 4 3 3 4 8" xfId="7379" xr:uid="{00000000-0005-0000-0000-0000D33B0000}"/>
    <cellStyle name="Normal 4 3 3 4 9" xfId="6801" xr:uid="{00000000-0005-0000-0000-0000D43B0000}"/>
    <cellStyle name="Normal 4 3 3 4_SSL" xfId="14650" xr:uid="{00000000-0005-0000-0000-0000D53B0000}"/>
    <cellStyle name="Normal 4 3 3 5" xfId="1783" xr:uid="{00000000-0005-0000-0000-0000D63B0000}"/>
    <cellStyle name="Normal 4 3 3 5 2" xfId="8438" xr:uid="{00000000-0005-0000-0000-0000D73B0000}"/>
    <cellStyle name="Normal 4 3 3 5_SSL" xfId="15486" xr:uid="{00000000-0005-0000-0000-0000D83B0000}"/>
    <cellStyle name="Normal 4 3 3 6" xfId="2603" xr:uid="{00000000-0005-0000-0000-0000D93B0000}"/>
    <cellStyle name="Normal 4 3 3 6 2" xfId="9251" xr:uid="{00000000-0005-0000-0000-0000DA3B0000}"/>
    <cellStyle name="Normal 4 3 3 6_SSL" xfId="13109" xr:uid="{00000000-0005-0000-0000-0000DB3B0000}"/>
    <cellStyle name="Normal 4 3 3 7" xfId="3423" xr:uid="{00000000-0005-0000-0000-0000DC3B0000}"/>
    <cellStyle name="Normal 4 3 3 7 2" xfId="10068" xr:uid="{00000000-0005-0000-0000-0000DD3B0000}"/>
    <cellStyle name="Normal 4 3 3 7_SSL" xfId="13237" xr:uid="{00000000-0005-0000-0000-0000DE3B0000}"/>
    <cellStyle name="Normal 4 3 3 8" xfId="4243" xr:uid="{00000000-0005-0000-0000-0000DF3B0000}"/>
    <cellStyle name="Normal 4 3 3 8 2" xfId="10883" xr:uid="{00000000-0005-0000-0000-0000E03B0000}"/>
    <cellStyle name="Normal 4 3 3 8_SSL" xfId="15315" xr:uid="{00000000-0005-0000-0000-0000E13B0000}"/>
    <cellStyle name="Normal 4 3 3 9" xfId="5054" xr:uid="{00000000-0005-0000-0000-0000E23B0000}"/>
    <cellStyle name="Normal 4 3 3 9 2" xfId="11693" xr:uid="{00000000-0005-0000-0000-0000E33B0000}"/>
    <cellStyle name="Normal 4 3 3 9_SSL" xfId="17221" xr:uid="{00000000-0005-0000-0000-0000E43B0000}"/>
    <cellStyle name="Normal 4 3 3_SSL" xfId="17024" xr:uid="{00000000-0005-0000-0000-0000E53B0000}"/>
    <cellStyle name="Normal 4 3 4" xfId="143" xr:uid="{00000000-0005-0000-0000-0000E63B0000}"/>
    <cellStyle name="Normal 4 3 4 10" xfId="7020" xr:uid="{00000000-0005-0000-0000-0000E73B0000}"/>
    <cellStyle name="Normal 4 3 4 11" xfId="6802" xr:uid="{00000000-0005-0000-0000-0000E83B0000}"/>
    <cellStyle name="Normal 4 3 4 2" xfId="432" xr:uid="{00000000-0005-0000-0000-0000E93B0000}"/>
    <cellStyle name="Normal 4 3 4 2 10" xfId="6803" xr:uid="{00000000-0005-0000-0000-0000EA3B0000}"/>
    <cellStyle name="Normal 4 3 4 2 2" xfId="820" xr:uid="{00000000-0005-0000-0000-0000EB3B0000}"/>
    <cellStyle name="Normal 4 3 4 2 2 2" xfId="1793" xr:uid="{00000000-0005-0000-0000-0000EC3B0000}"/>
    <cellStyle name="Normal 4 3 4 2 2 2 2" xfId="8448" xr:uid="{00000000-0005-0000-0000-0000ED3B0000}"/>
    <cellStyle name="Normal 4 3 4 2 2 2_SSL" xfId="14407" xr:uid="{00000000-0005-0000-0000-0000EE3B0000}"/>
    <cellStyle name="Normal 4 3 4 2 2 3" xfId="2613" xr:uid="{00000000-0005-0000-0000-0000EF3B0000}"/>
    <cellStyle name="Normal 4 3 4 2 2 3 2" xfId="9261" xr:uid="{00000000-0005-0000-0000-0000F03B0000}"/>
    <cellStyle name="Normal 4 3 4 2 2 3_SSL" xfId="13288" xr:uid="{00000000-0005-0000-0000-0000F13B0000}"/>
    <cellStyle name="Normal 4 3 4 2 2 4" xfId="3433" xr:uid="{00000000-0005-0000-0000-0000F23B0000}"/>
    <cellStyle name="Normal 4 3 4 2 2 4 2" xfId="10078" xr:uid="{00000000-0005-0000-0000-0000F33B0000}"/>
    <cellStyle name="Normal 4 3 4 2 2 4_SSL" xfId="12734" xr:uid="{00000000-0005-0000-0000-0000F43B0000}"/>
    <cellStyle name="Normal 4 3 4 2 2 5" xfId="4253" xr:uid="{00000000-0005-0000-0000-0000F53B0000}"/>
    <cellStyle name="Normal 4 3 4 2 2 5 2" xfId="10893" xr:uid="{00000000-0005-0000-0000-0000F63B0000}"/>
    <cellStyle name="Normal 4 3 4 2 2 5_SSL" xfId="16582" xr:uid="{00000000-0005-0000-0000-0000F73B0000}"/>
    <cellStyle name="Normal 4 3 4 2 2 6" xfId="5064" xr:uid="{00000000-0005-0000-0000-0000F83B0000}"/>
    <cellStyle name="Normal 4 3 4 2 2 6 2" xfId="11703" xr:uid="{00000000-0005-0000-0000-0000F93B0000}"/>
    <cellStyle name="Normal 4 3 4 2 2 6_SSL" xfId="16720" xr:uid="{00000000-0005-0000-0000-0000FA3B0000}"/>
    <cellStyle name="Normal 4 3 4 2 2 7" xfId="5874" xr:uid="{00000000-0005-0000-0000-0000FB3B0000}"/>
    <cellStyle name="Normal 4 3 4 2 2 7 2" xfId="12512" xr:uid="{00000000-0005-0000-0000-0000FC3B0000}"/>
    <cellStyle name="Normal 4 3 4 2 2 7_SSL" xfId="14144" xr:uid="{00000000-0005-0000-0000-0000FD3B0000}"/>
    <cellStyle name="Normal 4 3 4 2 2 8" xfId="7676" xr:uid="{00000000-0005-0000-0000-0000FE3B0000}"/>
    <cellStyle name="Normal 4 3 4 2 2 9" xfId="6804" xr:uid="{00000000-0005-0000-0000-0000FF3B0000}"/>
    <cellStyle name="Normal 4 3 4 2 2_SSL" xfId="13804" xr:uid="{00000000-0005-0000-0000-0000003C0000}"/>
    <cellStyle name="Normal 4 3 4 2 3" xfId="1792" xr:uid="{00000000-0005-0000-0000-0000013C0000}"/>
    <cellStyle name="Normal 4 3 4 2 3 2" xfId="8447" xr:uid="{00000000-0005-0000-0000-0000023C0000}"/>
    <cellStyle name="Normal 4 3 4 2 3_SSL" xfId="17184" xr:uid="{00000000-0005-0000-0000-0000033C0000}"/>
    <cellStyle name="Normal 4 3 4 2 4" xfId="2612" xr:uid="{00000000-0005-0000-0000-0000043C0000}"/>
    <cellStyle name="Normal 4 3 4 2 4 2" xfId="9260" xr:uid="{00000000-0005-0000-0000-0000053C0000}"/>
    <cellStyle name="Normal 4 3 4 2 4_SSL" xfId="17137" xr:uid="{00000000-0005-0000-0000-0000063C0000}"/>
    <cellStyle name="Normal 4 3 4 2 5" xfId="3432" xr:uid="{00000000-0005-0000-0000-0000073C0000}"/>
    <cellStyle name="Normal 4 3 4 2 5 2" xfId="10077" xr:uid="{00000000-0005-0000-0000-0000083C0000}"/>
    <cellStyle name="Normal 4 3 4 2 5_SSL" xfId="13402" xr:uid="{00000000-0005-0000-0000-0000093C0000}"/>
    <cellStyle name="Normal 4 3 4 2 6" xfId="4252" xr:uid="{00000000-0005-0000-0000-00000A3C0000}"/>
    <cellStyle name="Normal 4 3 4 2 6 2" xfId="10892" xr:uid="{00000000-0005-0000-0000-00000B3C0000}"/>
    <cellStyle name="Normal 4 3 4 2 6_SSL" xfId="12863" xr:uid="{00000000-0005-0000-0000-00000C3C0000}"/>
    <cellStyle name="Normal 4 3 4 2 7" xfId="5063" xr:uid="{00000000-0005-0000-0000-00000D3C0000}"/>
    <cellStyle name="Normal 4 3 4 2 7 2" xfId="11702" xr:uid="{00000000-0005-0000-0000-00000E3C0000}"/>
    <cellStyle name="Normal 4 3 4 2 7_SSL" xfId="13540" xr:uid="{00000000-0005-0000-0000-00000F3C0000}"/>
    <cellStyle name="Normal 4 3 4 2 8" xfId="5873" xr:uid="{00000000-0005-0000-0000-0000103C0000}"/>
    <cellStyle name="Normal 4 3 4 2 8 2" xfId="12511" xr:uid="{00000000-0005-0000-0000-0000113C0000}"/>
    <cellStyle name="Normal 4 3 4 2 8_SSL" xfId="13177" xr:uid="{00000000-0005-0000-0000-0000123C0000}"/>
    <cellStyle name="Normal 4 3 4 2 9" xfId="7292" xr:uid="{00000000-0005-0000-0000-0000133C0000}"/>
    <cellStyle name="Normal 4 3 4 2_SSL" xfId="15125" xr:uid="{00000000-0005-0000-0000-0000143C0000}"/>
    <cellStyle name="Normal 4 3 4 3" xfId="548" xr:uid="{00000000-0005-0000-0000-0000153C0000}"/>
    <cellStyle name="Normal 4 3 4 3 2" xfId="1794" xr:uid="{00000000-0005-0000-0000-0000163C0000}"/>
    <cellStyle name="Normal 4 3 4 3 2 2" xfId="8449" xr:uid="{00000000-0005-0000-0000-0000173C0000}"/>
    <cellStyle name="Normal 4 3 4 3 2_SSL" xfId="13389" xr:uid="{00000000-0005-0000-0000-0000183C0000}"/>
    <cellStyle name="Normal 4 3 4 3 3" xfId="2614" xr:uid="{00000000-0005-0000-0000-0000193C0000}"/>
    <cellStyle name="Normal 4 3 4 3 3 2" xfId="9262" xr:uid="{00000000-0005-0000-0000-00001A3C0000}"/>
    <cellStyle name="Normal 4 3 4 3 3_SSL" xfId="15809" xr:uid="{00000000-0005-0000-0000-00001B3C0000}"/>
    <cellStyle name="Normal 4 3 4 3 4" xfId="3434" xr:uid="{00000000-0005-0000-0000-00001C3C0000}"/>
    <cellStyle name="Normal 4 3 4 3 4 2" xfId="10079" xr:uid="{00000000-0005-0000-0000-00001D3C0000}"/>
    <cellStyle name="Normal 4 3 4 3 4_SSL" xfId="16100" xr:uid="{00000000-0005-0000-0000-00001E3C0000}"/>
    <cellStyle name="Normal 4 3 4 3 5" xfId="4254" xr:uid="{00000000-0005-0000-0000-00001F3C0000}"/>
    <cellStyle name="Normal 4 3 4 3 5 2" xfId="10894" xr:uid="{00000000-0005-0000-0000-0000203C0000}"/>
    <cellStyle name="Normal 4 3 4 3 5_SSL" xfId="16228" xr:uid="{00000000-0005-0000-0000-0000213C0000}"/>
    <cellStyle name="Normal 4 3 4 3 6" xfId="5065" xr:uid="{00000000-0005-0000-0000-0000223C0000}"/>
    <cellStyle name="Normal 4 3 4 3 6 2" xfId="11704" xr:uid="{00000000-0005-0000-0000-0000233C0000}"/>
    <cellStyle name="Normal 4 3 4 3 6_SSL" xfId="13948" xr:uid="{00000000-0005-0000-0000-0000243C0000}"/>
    <cellStyle name="Normal 4 3 4 3 7" xfId="5875" xr:uid="{00000000-0005-0000-0000-0000253C0000}"/>
    <cellStyle name="Normal 4 3 4 3 7 2" xfId="12513" xr:uid="{00000000-0005-0000-0000-0000263C0000}"/>
    <cellStyle name="Normal 4 3 4 3 7_SSL" xfId="14804" xr:uid="{00000000-0005-0000-0000-0000273C0000}"/>
    <cellStyle name="Normal 4 3 4 3 8" xfId="7404" xr:uid="{00000000-0005-0000-0000-0000283C0000}"/>
    <cellStyle name="Normal 4 3 4 3 9" xfId="6805" xr:uid="{00000000-0005-0000-0000-0000293C0000}"/>
    <cellStyle name="Normal 4 3 4 3_SSL" xfId="14753" xr:uid="{00000000-0005-0000-0000-00002A3C0000}"/>
    <cellStyle name="Normal 4 3 4 4" xfId="1791" xr:uid="{00000000-0005-0000-0000-00002B3C0000}"/>
    <cellStyle name="Normal 4 3 4 4 2" xfId="8446" xr:uid="{00000000-0005-0000-0000-00002C3C0000}"/>
    <cellStyle name="Normal 4 3 4 4_SSL" xfId="15915" xr:uid="{00000000-0005-0000-0000-00002D3C0000}"/>
    <cellStyle name="Normal 4 3 4 5" xfId="2611" xr:uid="{00000000-0005-0000-0000-00002E3C0000}"/>
    <cellStyle name="Normal 4 3 4 5 2" xfId="9259" xr:uid="{00000000-0005-0000-0000-00002F3C0000}"/>
    <cellStyle name="Normal 4 3 4 5_SSL" xfId="13186" xr:uid="{00000000-0005-0000-0000-0000303C0000}"/>
    <cellStyle name="Normal 4 3 4 6" xfId="3431" xr:uid="{00000000-0005-0000-0000-0000313C0000}"/>
    <cellStyle name="Normal 4 3 4 6 2" xfId="10076" xr:uid="{00000000-0005-0000-0000-0000323C0000}"/>
    <cellStyle name="Normal 4 3 4 6_SSL" xfId="17319" xr:uid="{00000000-0005-0000-0000-0000333C0000}"/>
    <cellStyle name="Normal 4 3 4 7" xfId="4251" xr:uid="{00000000-0005-0000-0000-0000343C0000}"/>
    <cellStyle name="Normal 4 3 4 7 2" xfId="10891" xr:uid="{00000000-0005-0000-0000-0000353C0000}"/>
    <cellStyle name="Normal 4 3 4 7_SSL" xfId="12897" xr:uid="{00000000-0005-0000-0000-0000363C0000}"/>
    <cellStyle name="Normal 4 3 4 8" xfId="5062" xr:uid="{00000000-0005-0000-0000-0000373C0000}"/>
    <cellStyle name="Normal 4 3 4 8 2" xfId="11701" xr:uid="{00000000-0005-0000-0000-0000383C0000}"/>
    <cellStyle name="Normal 4 3 4 8_SSL" xfId="17248" xr:uid="{00000000-0005-0000-0000-0000393C0000}"/>
    <cellStyle name="Normal 4 3 4 9" xfId="5872" xr:uid="{00000000-0005-0000-0000-00003A3C0000}"/>
    <cellStyle name="Normal 4 3 4 9 2" xfId="12510" xr:uid="{00000000-0005-0000-0000-00003B3C0000}"/>
    <cellStyle name="Normal 4 3 4 9_SSL" xfId="17331" xr:uid="{00000000-0005-0000-0000-00003C3C0000}"/>
    <cellStyle name="Normal 4 3 4_SSL" xfId="13619" xr:uid="{00000000-0005-0000-0000-00003D3C0000}"/>
    <cellStyle name="Normal 4 3 5" xfId="168" xr:uid="{00000000-0005-0000-0000-00003E3C0000}"/>
    <cellStyle name="Normal 4 3 5 10" xfId="7045" xr:uid="{00000000-0005-0000-0000-00003F3C0000}"/>
    <cellStyle name="Normal 4 3 5 11" xfId="6806" xr:uid="{00000000-0005-0000-0000-0000403C0000}"/>
    <cellStyle name="Normal 4 3 5 2" xfId="433" xr:uid="{00000000-0005-0000-0000-0000413C0000}"/>
    <cellStyle name="Normal 4 3 5 2 10" xfId="6807" xr:uid="{00000000-0005-0000-0000-0000423C0000}"/>
    <cellStyle name="Normal 4 3 5 2 2" xfId="821" xr:uid="{00000000-0005-0000-0000-0000433C0000}"/>
    <cellStyle name="Normal 4 3 5 2 2 2" xfId="1797" xr:uid="{00000000-0005-0000-0000-0000443C0000}"/>
    <cellStyle name="Normal 4 3 5 2 2 2 2" xfId="8452" xr:uid="{00000000-0005-0000-0000-0000453C0000}"/>
    <cellStyle name="Normal 4 3 5 2 2 2_SSL" xfId="14631" xr:uid="{00000000-0005-0000-0000-0000463C0000}"/>
    <cellStyle name="Normal 4 3 5 2 2 3" xfId="2617" xr:uid="{00000000-0005-0000-0000-0000473C0000}"/>
    <cellStyle name="Normal 4 3 5 2 2 3 2" xfId="9265" xr:uid="{00000000-0005-0000-0000-0000483C0000}"/>
    <cellStyle name="Normal 4 3 5 2 2 3_SSL" xfId="15184" xr:uid="{00000000-0005-0000-0000-0000493C0000}"/>
    <cellStyle name="Normal 4 3 5 2 2 4" xfId="3437" xr:uid="{00000000-0005-0000-0000-00004A3C0000}"/>
    <cellStyle name="Normal 4 3 5 2 2 4 2" xfId="10082" xr:uid="{00000000-0005-0000-0000-00004B3C0000}"/>
    <cellStyle name="Normal 4 3 5 2 2 4_SSL" xfId="17226" xr:uid="{00000000-0005-0000-0000-00004C3C0000}"/>
    <cellStyle name="Normal 4 3 5 2 2 5" xfId="4257" xr:uid="{00000000-0005-0000-0000-00004D3C0000}"/>
    <cellStyle name="Normal 4 3 5 2 2 5 2" xfId="10897" xr:uid="{00000000-0005-0000-0000-00004E3C0000}"/>
    <cellStyle name="Normal 4 3 5 2 2 5_SSL" xfId="14009" xr:uid="{00000000-0005-0000-0000-00004F3C0000}"/>
    <cellStyle name="Normal 4 3 5 2 2 6" xfId="5068" xr:uid="{00000000-0005-0000-0000-0000503C0000}"/>
    <cellStyle name="Normal 4 3 5 2 2 6 2" xfId="11707" xr:uid="{00000000-0005-0000-0000-0000513C0000}"/>
    <cellStyle name="Normal 4 3 5 2 2 6_SSL" xfId="17991" xr:uid="{00000000-0005-0000-0000-0000523C0000}"/>
    <cellStyle name="Normal 4 3 5 2 2 7" xfId="5878" xr:uid="{00000000-0005-0000-0000-0000533C0000}"/>
    <cellStyle name="Normal 4 3 5 2 2 7 2" xfId="12516" xr:uid="{00000000-0005-0000-0000-0000543C0000}"/>
    <cellStyle name="Normal 4 3 5 2 2 7_SSL" xfId="13022" xr:uid="{00000000-0005-0000-0000-0000553C0000}"/>
    <cellStyle name="Normal 4 3 5 2 2 8" xfId="7677" xr:uid="{00000000-0005-0000-0000-0000563C0000}"/>
    <cellStyle name="Normal 4 3 5 2 2 9" xfId="6808" xr:uid="{00000000-0005-0000-0000-0000573C0000}"/>
    <cellStyle name="Normal 4 3 5 2 2_SSL" xfId="12646" xr:uid="{00000000-0005-0000-0000-0000583C0000}"/>
    <cellStyle name="Normal 4 3 5 2 3" xfId="1796" xr:uid="{00000000-0005-0000-0000-0000593C0000}"/>
    <cellStyle name="Normal 4 3 5 2 3 2" xfId="8451" xr:uid="{00000000-0005-0000-0000-00005A3C0000}"/>
    <cellStyle name="Normal 4 3 5 2 3_SSL" xfId="17616" xr:uid="{00000000-0005-0000-0000-00005B3C0000}"/>
    <cellStyle name="Normal 4 3 5 2 4" xfId="2616" xr:uid="{00000000-0005-0000-0000-00005C3C0000}"/>
    <cellStyle name="Normal 4 3 5 2 4 2" xfId="9264" xr:uid="{00000000-0005-0000-0000-00005D3C0000}"/>
    <cellStyle name="Normal 4 3 5 2 4_SSL" xfId="15704" xr:uid="{00000000-0005-0000-0000-00005E3C0000}"/>
    <cellStyle name="Normal 4 3 5 2 5" xfId="3436" xr:uid="{00000000-0005-0000-0000-00005F3C0000}"/>
    <cellStyle name="Normal 4 3 5 2 5 2" xfId="10081" xr:uid="{00000000-0005-0000-0000-0000603C0000}"/>
    <cellStyle name="Normal 4 3 5 2 5_SSL" xfId="14732" xr:uid="{00000000-0005-0000-0000-0000613C0000}"/>
    <cellStyle name="Normal 4 3 5 2 6" xfId="4256" xr:uid="{00000000-0005-0000-0000-0000623C0000}"/>
    <cellStyle name="Normal 4 3 5 2 6 2" xfId="10896" xr:uid="{00000000-0005-0000-0000-0000633C0000}"/>
    <cellStyle name="Normal 4 3 5 2 6_SSL" xfId="17665" xr:uid="{00000000-0005-0000-0000-0000643C0000}"/>
    <cellStyle name="Normal 4 3 5 2 7" xfId="5067" xr:uid="{00000000-0005-0000-0000-0000653C0000}"/>
    <cellStyle name="Normal 4 3 5 2 7 2" xfId="11706" xr:uid="{00000000-0005-0000-0000-0000663C0000}"/>
    <cellStyle name="Normal 4 3 5 2 7_SSL" xfId="13574" xr:uid="{00000000-0005-0000-0000-0000673C0000}"/>
    <cellStyle name="Normal 4 3 5 2 8" xfId="5877" xr:uid="{00000000-0005-0000-0000-0000683C0000}"/>
    <cellStyle name="Normal 4 3 5 2 8 2" xfId="12515" xr:uid="{00000000-0005-0000-0000-0000693C0000}"/>
    <cellStyle name="Normal 4 3 5 2 8_SSL" xfId="13533" xr:uid="{00000000-0005-0000-0000-00006A3C0000}"/>
    <cellStyle name="Normal 4 3 5 2 9" xfId="7293" xr:uid="{00000000-0005-0000-0000-00006B3C0000}"/>
    <cellStyle name="Normal 4 3 5 2_SSL" xfId="16586" xr:uid="{00000000-0005-0000-0000-00006C3C0000}"/>
    <cellStyle name="Normal 4 3 5 3" xfId="573" xr:uid="{00000000-0005-0000-0000-00006D3C0000}"/>
    <cellStyle name="Normal 4 3 5 3 2" xfId="1798" xr:uid="{00000000-0005-0000-0000-00006E3C0000}"/>
    <cellStyle name="Normal 4 3 5 3 2 2" xfId="8453" xr:uid="{00000000-0005-0000-0000-00006F3C0000}"/>
    <cellStyle name="Normal 4 3 5 3 2_SSL" xfId="13896" xr:uid="{00000000-0005-0000-0000-0000703C0000}"/>
    <cellStyle name="Normal 4 3 5 3 3" xfId="2618" xr:uid="{00000000-0005-0000-0000-0000713C0000}"/>
    <cellStyle name="Normal 4 3 5 3 3 2" xfId="9266" xr:uid="{00000000-0005-0000-0000-0000723C0000}"/>
    <cellStyle name="Normal 4 3 5 3 3_SSL" xfId="17233" xr:uid="{00000000-0005-0000-0000-0000733C0000}"/>
    <cellStyle name="Normal 4 3 5 3 4" xfId="3438" xr:uid="{00000000-0005-0000-0000-0000743C0000}"/>
    <cellStyle name="Normal 4 3 5 3 4 2" xfId="10083" xr:uid="{00000000-0005-0000-0000-0000753C0000}"/>
    <cellStyle name="Normal 4 3 5 3 4_SSL" xfId="14185" xr:uid="{00000000-0005-0000-0000-0000763C0000}"/>
    <cellStyle name="Normal 4 3 5 3 5" xfId="4258" xr:uid="{00000000-0005-0000-0000-0000773C0000}"/>
    <cellStyle name="Normal 4 3 5 3 5 2" xfId="10898" xr:uid="{00000000-0005-0000-0000-0000783C0000}"/>
    <cellStyle name="Normal 4 3 5 3 5_SSL" xfId="16129" xr:uid="{00000000-0005-0000-0000-0000793C0000}"/>
    <cellStyle name="Normal 4 3 5 3 6" xfId="5069" xr:uid="{00000000-0005-0000-0000-00007A3C0000}"/>
    <cellStyle name="Normal 4 3 5 3 6 2" xfId="11708" xr:uid="{00000000-0005-0000-0000-00007B3C0000}"/>
    <cellStyle name="Normal 4 3 5 3 6_SSL" xfId="15504" xr:uid="{00000000-0005-0000-0000-00007C3C0000}"/>
    <cellStyle name="Normal 4 3 5 3 7" xfId="5879" xr:uid="{00000000-0005-0000-0000-00007D3C0000}"/>
    <cellStyle name="Normal 4 3 5 3 7 2" xfId="12517" xr:uid="{00000000-0005-0000-0000-00007E3C0000}"/>
    <cellStyle name="Normal 4 3 5 3 7_SSL" xfId="14748" xr:uid="{00000000-0005-0000-0000-00007F3C0000}"/>
    <cellStyle name="Normal 4 3 5 3 8" xfId="7429" xr:uid="{00000000-0005-0000-0000-0000803C0000}"/>
    <cellStyle name="Normal 4 3 5 3 9" xfId="6809" xr:uid="{00000000-0005-0000-0000-0000813C0000}"/>
    <cellStyle name="Normal 4 3 5 3_SSL" xfId="14025" xr:uid="{00000000-0005-0000-0000-0000823C0000}"/>
    <cellStyle name="Normal 4 3 5 4" xfId="1795" xr:uid="{00000000-0005-0000-0000-0000833C0000}"/>
    <cellStyle name="Normal 4 3 5 4 2" xfId="8450" xr:uid="{00000000-0005-0000-0000-0000843C0000}"/>
    <cellStyle name="Normal 4 3 5 4_SSL" xfId="13699" xr:uid="{00000000-0005-0000-0000-0000853C0000}"/>
    <cellStyle name="Normal 4 3 5 5" xfId="2615" xr:uid="{00000000-0005-0000-0000-0000863C0000}"/>
    <cellStyle name="Normal 4 3 5 5 2" xfId="9263" xr:uid="{00000000-0005-0000-0000-0000873C0000}"/>
    <cellStyle name="Normal 4 3 5 5_SSL" xfId="12792" xr:uid="{00000000-0005-0000-0000-0000883C0000}"/>
    <cellStyle name="Normal 4 3 5 6" xfId="3435" xr:uid="{00000000-0005-0000-0000-0000893C0000}"/>
    <cellStyle name="Normal 4 3 5 6 2" xfId="10080" xr:uid="{00000000-0005-0000-0000-00008A3C0000}"/>
    <cellStyle name="Normal 4 3 5 6_SSL" xfId="13520" xr:uid="{00000000-0005-0000-0000-00008B3C0000}"/>
    <cellStyle name="Normal 4 3 5 7" xfId="4255" xr:uid="{00000000-0005-0000-0000-00008C3C0000}"/>
    <cellStyle name="Normal 4 3 5 7 2" xfId="10895" xr:uid="{00000000-0005-0000-0000-00008D3C0000}"/>
    <cellStyle name="Normal 4 3 5 7_SSL" xfId="6074" xr:uid="{00000000-0005-0000-0000-00008E3C0000}"/>
    <cellStyle name="Normal 4 3 5 8" xfId="5066" xr:uid="{00000000-0005-0000-0000-00008F3C0000}"/>
    <cellStyle name="Normal 4 3 5 8 2" xfId="11705" xr:uid="{00000000-0005-0000-0000-0000903C0000}"/>
    <cellStyle name="Normal 4 3 5 8_SSL" xfId="17290" xr:uid="{00000000-0005-0000-0000-0000913C0000}"/>
    <cellStyle name="Normal 4 3 5 9" xfId="5876" xr:uid="{00000000-0005-0000-0000-0000923C0000}"/>
    <cellStyle name="Normal 4 3 5 9 2" xfId="12514" xr:uid="{00000000-0005-0000-0000-0000933C0000}"/>
    <cellStyle name="Normal 4 3 5 9_SSL" xfId="17062" xr:uid="{00000000-0005-0000-0000-0000943C0000}"/>
    <cellStyle name="Normal 4 3 5_SSL" xfId="13897" xr:uid="{00000000-0005-0000-0000-0000953C0000}"/>
    <cellStyle name="Normal 4 3 6" xfId="239" xr:uid="{00000000-0005-0000-0000-0000963C0000}"/>
    <cellStyle name="Normal 4 3 6 10" xfId="7116" xr:uid="{00000000-0005-0000-0000-0000973C0000}"/>
    <cellStyle name="Normal 4 3 6 11" xfId="6810" xr:uid="{00000000-0005-0000-0000-0000983C0000}"/>
    <cellStyle name="Normal 4 3 6 2" xfId="434" xr:uid="{00000000-0005-0000-0000-0000993C0000}"/>
    <cellStyle name="Normal 4 3 6 2 10" xfId="6811" xr:uid="{00000000-0005-0000-0000-00009A3C0000}"/>
    <cellStyle name="Normal 4 3 6 2 2" xfId="822" xr:uid="{00000000-0005-0000-0000-00009B3C0000}"/>
    <cellStyle name="Normal 4 3 6 2 2 2" xfId="1801" xr:uid="{00000000-0005-0000-0000-00009C3C0000}"/>
    <cellStyle name="Normal 4 3 6 2 2 2 2" xfId="8456" xr:uid="{00000000-0005-0000-0000-00009D3C0000}"/>
    <cellStyle name="Normal 4 3 6 2 2 2_SSL" xfId="17576" xr:uid="{00000000-0005-0000-0000-00009E3C0000}"/>
    <cellStyle name="Normal 4 3 6 2 2 3" xfId="2621" xr:uid="{00000000-0005-0000-0000-00009F3C0000}"/>
    <cellStyle name="Normal 4 3 6 2 2 3 2" xfId="9269" xr:uid="{00000000-0005-0000-0000-0000A03C0000}"/>
    <cellStyle name="Normal 4 3 6 2 2 3_SSL" xfId="17881" xr:uid="{00000000-0005-0000-0000-0000A13C0000}"/>
    <cellStyle name="Normal 4 3 6 2 2 4" xfId="3441" xr:uid="{00000000-0005-0000-0000-0000A23C0000}"/>
    <cellStyle name="Normal 4 3 6 2 2 4 2" xfId="10086" xr:uid="{00000000-0005-0000-0000-0000A33C0000}"/>
    <cellStyle name="Normal 4 3 6 2 2 4_SSL" xfId="13989" xr:uid="{00000000-0005-0000-0000-0000A43C0000}"/>
    <cellStyle name="Normal 4 3 6 2 2 5" xfId="4261" xr:uid="{00000000-0005-0000-0000-0000A53C0000}"/>
    <cellStyle name="Normal 4 3 6 2 2 5 2" xfId="10901" xr:uid="{00000000-0005-0000-0000-0000A63C0000}"/>
    <cellStyle name="Normal 4 3 6 2 2 5_SSL" xfId="16727" xr:uid="{00000000-0005-0000-0000-0000A73C0000}"/>
    <cellStyle name="Normal 4 3 6 2 2 6" xfId="5072" xr:uid="{00000000-0005-0000-0000-0000A83C0000}"/>
    <cellStyle name="Normal 4 3 6 2 2 6 2" xfId="11711" xr:uid="{00000000-0005-0000-0000-0000A93C0000}"/>
    <cellStyle name="Normal 4 3 6 2 2 6_SSL" xfId="13853" xr:uid="{00000000-0005-0000-0000-0000AA3C0000}"/>
    <cellStyle name="Normal 4 3 6 2 2 7" xfId="5882" xr:uid="{00000000-0005-0000-0000-0000AB3C0000}"/>
    <cellStyle name="Normal 4 3 6 2 2 7 2" xfId="12520" xr:uid="{00000000-0005-0000-0000-0000AC3C0000}"/>
    <cellStyle name="Normal 4 3 6 2 2 7_SSL" xfId="6019" xr:uid="{00000000-0005-0000-0000-0000AD3C0000}"/>
    <cellStyle name="Normal 4 3 6 2 2 8" xfId="7678" xr:uid="{00000000-0005-0000-0000-0000AE3C0000}"/>
    <cellStyle name="Normal 4 3 6 2 2 9" xfId="6812" xr:uid="{00000000-0005-0000-0000-0000AF3C0000}"/>
    <cellStyle name="Normal 4 3 6 2 2_SSL" xfId="12866" xr:uid="{00000000-0005-0000-0000-0000B03C0000}"/>
    <cellStyle name="Normal 4 3 6 2 3" xfId="1800" xr:uid="{00000000-0005-0000-0000-0000B13C0000}"/>
    <cellStyle name="Normal 4 3 6 2 3 2" xfId="8455" xr:uid="{00000000-0005-0000-0000-0000B23C0000}"/>
    <cellStyle name="Normal 4 3 6 2 3_SSL" xfId="16027" xr:uid="{00000000-0005-0000-0000-0000B33C0000}"/>
    <cellStyle name="Normal 4 3 6 2 4" xfId="2620" xr:uid="{00000000-0005-0000-0000-0000B43C0000}"/>
    <cellStyle name="Normal 4 3 6 2 4 2" xfId="9268" xr:uid="{00000000-0005-0000-0000-0000B53C0000}"/>
    <cellStyle name="Normal 4 3 6 2 4_SSL" xfId="17396" xr:uid="{00000000-0005-0000-0000-0000B63C0000}"/>
    <cellStyle name="Normal 4 3 6 2 5" xfId="3440" xr:uid="{00000000-0005-0000-0000-0000B73C0000}"/>
    <cellStyle name="Normal 4 3 6 2 5 2" xfId="10085" xr:uid="{00000000-0005-0000-0000-0000B83C0000}"/>
    <cellStyle name="Normal 4 3 6 2 5_SSL" xfId="17211" xr:uid="{00000000-0005-0000-0000-0000B93C0000}"/>
    <cellStyle name="Normal 4 3 6 2 6" xfId="4260" xr:uid="{00000000-0005-0000-0000-0000BA3C0000}"/>
    <cellStyle name="Normal 4 3 6 2 6 2" xfId="10900" xr:uid="{00000000-0005-0000-0000-0000BB3C0000}"/>
    <cellStyle name="Normal 4 3 6 2 6_SSL" xfId="17981" xr:uid="{00000000-0005-0000-0000-0000BC3C0000}"/>
    <cellStyle name="Normal 4 3 6 2 7" xfId="5071" xr:uid="{00000000-0005-0000-0000-0000BD3C0000}"/>
    <cellStyle name="Normal 4 3 6 2 7 2" xfId="11710" xr:uid="{00000000-0005-0000-0000-0000BE3C0000}"/>
    <cellStyle name="Normal 4 3 6 2 7_SSL" xfId="14061" xr:uid="{00000000-0005-0000-0000-0000BF3C0000}"/>
    <cellStyle name="Normal 4 3 6 2 8" xfId="5881" xr:uid="{00000000-0005-0000-0000-0000C03C0000}"/>
    <cellStyle name="Normal 4 3 6 2 8 2" xfId="12519" xr:uid="{00000000-0005-0000-0000-0000C13C0000}"/>
    <cellStyle name="Normal 4 3 6 2 8_SSL" xfId="13904" xr:uid="{00000000-0005-0000-0000-0000C23C0000}"/>
    <cellStyle name="Normal 4 3 6 2 9" xfId="7294" xr:uid="{00000000-0005-0000-0000-0000C33C0000}"/>
    <cellStyle name="Normal 4 3 6 2_SSL" xfId="14111" xr:uid="{00000000-0005-0000-0000-0000C43C0000}"/>
    <cellStyle name="Normal 4 3 6 3" xfId="644" xr:uid="{00000000-0005-0000-0000-0000C53C0000}"/>
    <cellStyle name="Normal 4 3 6 3 2" xfId="1802" xr:uid="{00000000-0005-0000-0000-0000C63C0000}"/>
    <cellStyle name="Normal 4 3 6 3 2 2" xfId="8457" xr:uid="{00000000-0005-0000-0000-0000C73C0000}"/>
    <cellStyle name="Normal 4 3 6 3 2_SSL" xfId="16643" xr:uid="{00000000-0005-0000-0000-0000C83C0000}"/>
    <cellStyle name="Normal 4 3 6 3 3" xfId="2622" xr:uid="{00000000-0005-0000-0000-0000C93C0000}"/>
    <cellStyle name="Normal 4 3 6 3 3 2" xfId="9270" xr:uid="{00000000-0005-0000-0000-0000CA3C0000}"/>
    <cellStyle name="Normal 4 3 6 3 3_SSL" xfId="14931" xr:uid="{00000000-0005-0000-0000-0000CB3C0000}"/>
    <cellStyle name="Normal 4 3 6 3 4" xfId="3442" xr:uid="{00000000-0005-0000-0000-0000CC3C0000}"/>
    <cellStyle name="Normal 4 3 6 3 4 2" xfId="10087" xr:uid="{00000000-0005-0000-0000-0000CD3C0000}"/>
    <cellStyle name="Normal 4 3 6 3 4_SSL" xfId="16885" xr:uid="{00000000-0005-0000-0000-0000CE3C0000}"/>
    <cellStyle name="Normal 4 3 6 3 5" xfId="4262" xr:uid="{00000000-0005-0000-0000-0000CF3C0000}"/>
    <cellStyle name="Normal 4 3 6 3 5 2" xfId="10902" xr:uid="{00000000-0005-0000-0000-0000D03C0000}"/>
    <cellStyle name="Normal 4 3 6 3 5_SSL" xfId="13563" xr:uid="{00000000-0005-0000-0000-0000D13C0000}"/>
    <cellStyle name="Normal 4 3 6 3 6" xfId="5073" xr:uid="{00000000-0005-0000-0000-0000D23C0000}"/>
    <cellStyle name="Normal 4 3 6 3 6 2" xfId="11712" xr:uid="{00000000-0005-0000-0000-0000D33C0000}"/>
    <cellStyle name="Normal 4 3 6 3 6_SSL" xfId="12844" xr:uid="{00000000-0005-0000-0000-0000D43C0000}"/>
    <cellStyle name="Normal 4 3 6 3 7" xfId="5883" xr:uid="{00000000-0005-0000-0000-0000D53C0000}"/>
    <cellStyle name="Normal 4 3 6 3 7 2" xfId="12521" xr:uid="{00000000-0005-0000-0000-0000D63C0000}"/>
    <cellStyle name="Normal 4 3 6 3 7_SSL" xfId="12778" xr:uid="{00000000-0005-0000-0000-0000D73C0000}"/>
    <cellStyle name="Normal 4 3 6 3 8" xfId="7500" xr:uid="{00000000-0005-0000-0000-0000D83C0000}"/>
    <cellStyle name="Normal 4 3 6 3 9" xfId="6813" xr:uid="{00000000-0005-0000-0000-0000D93C0000}"/>
    <cellStyle name="Normal 4 3 6 3_SSL" xfId="14558" xr:uid="{00000000-0005-0000-0000-0000DA3C0000}"/>
    <cellStyle name="Normal 4 3 6 4" xfId="1799" xr:uid="{00000000-0005-0000-0000-0000DB3C0000}"/>
    <cellStyle name="Normal 4 3 6 4 2" xfId="8454" xr:uid="{00000000-0005-0000-0000-0000DC3C0000}"/>
    <cellStyle name="Normal 4 3 6 4_SSL" xfId="15602" xr:uid="{00000000-0005-0000-0000-0000DD3C0000}"/>
    <cellStyle name="Normal 4 3 6 5" xfId="2619" xr:uid="{00000000-0005-0000-0000-0000DE3C0000}"/>
    <cellStyle name="Normal 4 3 6 5 2" xfId="9267" xr:uid="{00000000-0005-0000-0000-0000DF3C0000}"/>
    <cellStyle name="Normal 4 3 6 5_SSL" xfId="17985" xr:uid="{00000000-0005-0000-0000-0000E03C0000}"/>
    <cellStyle name="Normal 4 3 6 6" xfId="3439" xr:uid="{00000000-0005-0000-0000-0000E13C0000}"/>
    <cellStyle name="Normal 4 3 6 6 2" xfId="10084" xr:uid="{00000000-0005-0000-0000-0000E23C0000}"/>
    <cellStyle name="Normal 4 3 6 6_SSL" xfId="13863" xr:uid="{00000000-0005-0000-0000-0000E33C0000}"/>
    <cellStyle name="Normal 4 3 6 7" xfId="4259" xr:uid="{00000000-0005-0000-0000-0000E43C0000}"/>
    <cellStyle name="Normal 4 3 6 7 2" xfId="10899" xr:uid="{00000000-0005-0000-0000-0000E53C0000}"/>
    <cellStyle name="Normal 4 3 6 7_SSL" xfId="13148" xr:uid="{00000000-0005-0000-0000-0000E63C0000}"/>
    <cellStyle name="Normal 4 3 6 8" xfId="5070" xr:uid="{00000000-0005-0000-0000-0000E73C0000}"/>
    <cellStyle name="Normal 4 3 6 8 2" xfId="11709" xr:uid="{00000000-0005-0000-0000-0000E83C0000}"/>
    <cellStyle name="Normal 4 3 6 8_SSL" xfId="13842" xr:uid="{00000000-0005-0000-0000-0000E93C0000}"/>
    <cellStyle name="Normal 4 3 6 9" xfId="5880" xr:uid="{00000000-0005-0000-0000-0000EA3C0000}"/>
    <cellStyle name="Normal 4 3 6 9 2" xfId="12518" xr:uid="{00000000-0005-0000-0000-0000EB3C0000}"/>
    <cellStyle name="Normal 4 3 6 9_SSL" xfId="16430" xr:uid="{00000000-0005-0000-0000-0000EC3C0000}"/>
    <cellStyle name="Normal 4 3 6_SSL" xfId="16775" xr:uid="{00000000-0005-0000-0000-0000ED3C0000}"/>
    <cellStyle name="Normal 4 3 7" xfId="427" xr:uid="{00000000-0005-0000-0000-0000EE3C0000}"/>
    <cellStyle name="Normal 4 3 7 10" xfId="6814" xr:uid="{00000000-0005-0000-0000-0000EF3C0000}"/>
    <cellStyle name="Normal 4 3 7 2" xfId="815" xr:uid="{00000000-0005-0000-0000-0000F03C0000}"/>
    <cellStyle name="Normal 4 3 7 2 2" xfId="1804" xr:uid="{00000000-0005-0000-0000-0000F13C0000}"/>
    <cellStyle name="Normal 4 3 7 2 2 2" xfId="8459" xr:uid="{00000000-0005-0000-0000-0000F23C0000}"/>
    <cellStyle name="Normal 4 3 7 2 2_SSL" xfId="15171" xr:uid="{00000000-0005-0000-0000-0000F33C0000}"/>
    <cellStyle name="Normal 4 3 7 2 3" xfId="2624" xr:uid="{00000000-0005-0000-0000-0000F43C0000}"/>
    <cellStyle name="Normal 4 3 7 2 3 2" xfId="9272" xr:uid="{00000000-0005-0000-0000-0000F53C0000}"/>
    <cellStyle name="Normal 4 3 7 2 3_SSL" xfId="15953" xr:uid="{00000000-0005-0000-0000-0000F63C0000}"/>
    <cellStyle name="Normal 4 3 7 2 4" xfId="3444" xr:uid="{00000000-0005-0000-0000-0000F73C0000}"/>
    <cellStyle name="Normal 4 3 7 2 4 2" xfId="10089" xr:uid="{00000000-0005-0000-0000-0000F83C0000}"/>
    <cellStyle name="Normal 4 3 7 2 4_SSL" xfId="14797" xr:uid="{00000000-0005-0000-0000-0000F93C0000}"/>
    <cellStyle name="Normal 4 3 7 2 5" xfId="4264" xr:uid="{00000000-0005-0000-0000-0000FA3C0000}"/>
    <cellStyle name="Normal 4 3 7 2 5 2" xfId="10904" xr:uid="{00000000-0005-0000-0000-0000FB3C0000}"/>
    <cellStyle name="Normal 4 3 7 2 5_SSL" xfId="14052" xr:uid="{00000000-0005-0000-0000-0000FC3C0000}"/>
    <cellStyle name="Normal 4 3 7 2 6" xfId="5075" xr:uid="{00000000-0005-0000-0000-0000FD3C0000}"/>
    <cellStyle name="Normal 4 3 7 2 6 2" xfId="11714" xr:uid="{00000000-0005-0000-0000-0000FE3C0000}"/>
    <cellStyle name="Normal 4 3 7 2 6_SSL" xfId="13492" xr:uid="{00000000-0005-0000-0000-0000FF3C0000}"/>
    <cellStyle name="Normal 4 3 7 2 7" xfId="5885" xr:uid="{00000000-0005-0000-0000-0000003D0000}"/>
    <cellStyle name="Normal 4 3 7 2 7 2" xfId="12523" xr:uid="{00000000-0005-0000-0000-0000013D0000}"/>
    <cellStyle name="Normal 4 3 7 2 7_SSL" xfId="17387" xr:uid="{00000000-0005-0000-0000-0000023D0000}"/>
    <cellStyle name="Normal 4 3 7 2 8" xfId="7671" xr:uid="{00000000-0005-0000-0000-0000033D0000}"/>
    <cellStyle name="Normal 4 3 7 2 9" xfId="6815" xr:uid="{00000000-0005-0000-0000-0000043D0000}"/>
    <cellStyle name="Normal 4 3 7 2_SSL" xfId="14091" xr:uid="{00000000-0005-0000-0000-0000053D0000}"/>
    <cellStyle name="Normal 4 3 7 3" xfId="1803" xr:uid="{00000000-0005-0000-0000-0000063D0000}"/>
    <cellStyle name="Normal 4 3 7 3 2" xfId="8458" xr:uid="{00000000-0005-0000-0000-0000073D0000}"/>
    <cellStyle name="Normal 4 3 7 3_SSL" xfId="15855" xr:uid="{00000000-0005-0000-0000-0000083D0000}"/>
    <cellStyle name="Normal 4 3 7 4" xfId="2623" xr:uid="{00000000-0005-0000-0000-0000093D0000}"/>
    <cellStyle name="Normal 4 3 7 4 2" xfId="9271" xr:uid="{00000000-0005-0000-0000-00000A3D0000}"/>
    <cellStyle name="Normal 4 3 7 4_SSL" xfId="5996" xr:uid="{00000000-0005-0000-0000-00000B3D0000}"/>
    <cellStyle name="Normal 4 3 7 5" xfId="3443" xr:uid="{00000000-0005-0000-0000-00000C3D0000}"/>
    <cellStyle name="Normal 4 3 7 5 2" xfId="10088" xr:uid="{00000000-0005-0000-0000-00000D3D0000}"/>
    <cellStyle name="Normal 4 3 7 5_SSL" xfId="16448" xr:uid="{00000000-0005-0000-0000-00000E3D0000}"/>
    <cellStyle name="Normal 4 3 7 6" xfId="4263" xr:uid="{00000000-0005-0000-0000-00000F3D0000}"/>
    <cellStyle name="Normal 4 3 7 6 2" xfId="10903" xr:uid="{00000000-0005-0000-0000-0000103D0000}"/>
    <cellStyle name="Normal 4 3 7 6_SSL" xfId="16502" xr:uid="{00000000-0005-0000-0000-0000113D0000}"/>
    <cellStyle name="Normal 4 3 7 7" xfId="5074" xr:uid="{00000000-0005-0000-0000-0000123D0000}"/>
    <cellStyle name="Normal 4 3 7 7 2" xfId="11713" xr:uid="{00000000-0005-0000-0000-0000133D0000}"/>
    <cellStyle name="Normal 4 3 7 7_SSL" xfId="13104" xr:uid="{00000000-0005-0000-0000-0000143D0000}"/>
    <cellStyle name="Normal 4 3 7 8" xfId="5884" xr:uid="{00000000-0005-0000-0000-0000153D0000}"/>
    <cellStyle name="Normal 4 3 7 8 2" xfId="12522" xr:uid="{00000000-0005-0000-0000-0000163D0000}"/>
    <cellStyle name="Normal 4 3 7 8_SSL" xfId="13527" xr:uid="{00000000-0005-0000-0000-0000173D0000}"/>
    <cellStyle name="Normal 4 3 7 9" xfId="7287" xr:uid="{00000000-0005-0000-0000-0000183D0000}"/>
    <cellStyle name="Normal 4 3 7_SSL" xfId="14529" xr:uid="{00000000-0005-0000-0000-0000193D0000}"/>
    <cellStyle name="Normal 4 3 8" xfId="477" xr:uid="{00000000-0005-0000-0000-00001A3D0000}"/>
    <cellStyle name="Normal 4 3 8 2" xfId="1805" xr:uid="{00000000-0005-0000-0000-00001B3D0000}"/>
    <cellStyle name="Normal 4 3 8 2 2" xfId="8460" xr:uid="{00000000-0005-0000-0000-00001C3D0000}"/>
    <cellStyle name="Normal 4 3 8 2_SSL" xfId="17484" xr:uid="{00000000-0005-0000-0000-00001D3D0000}"/>
    <cellStyle name="Normal 4 3 8 3" xfId="2625" xr:uid="{00000000-0005-0000-0000-00001E3D0000}"/>
    <cellStyle name="Normal 4 3 8 3 2" xfId="9273" xr:uid="{00000000-0005-0000-0000-00001F3D0000}"/>
    <cellStyle name="Normal 4 3 8 3_SSL" xfId="17882" xr:uid="{00000000-0005-0000-0000-0000203D0000}"/>
    <cellStyle name="Normal 4 3 8 4" xfId="3445" xr:uid="{00000000-0005-0000-0000-0000213D0000}"/>
    <cellStyle name="Normal 4 3 8 4 2" xfId="10090" xr:uid="{00000000-0005-0000-0000-0000223D0000}"/>
    <cellStyle name="Normal 4 3 8 4_SSL" xfId="16412" xr:uid="{00000000-0005-0000-0000-0000233D0000}"/>
    <cellStyle name="Normal 4 3 8 5" xfId="4265" xr:uid="{00000000-0005-0000-0000-0000243D0000}"/>
    <cellStyle name="Normal 4 3 8 5 2" xfId="10905" xr:uid="{00000000-0005-0000-0000-0000253D0000}"/>
    <cellStyle name="Normal 4 3 8 5_SSL" xfId="14863" xr:uid="{00000000-0005-0000-0000-0000263D0000}"/>
    <cellStyle name="Normal 4 3 8 6" xfId="5076" xr:uid="{00000000-0005-0000-0000-0000273D0000}"/>
    <cellStyle name="Normal 4 3 8 6 2" xfId="11715" xr:uid="{00000000-0005-0000-0000-0000283D0000}"/>
    <cellStyle name="Normal 4 3 8 6_SSL" xfId="16596" xr:uid="{00000000-0005-0000-0000-0000293D0000}"/>
    <cellStyle name="Normal 4 3 8 7" xfId="5886" xr:uid="{00000000-0005-0000-0000-00002A3D0000}"/>
    <cellStyle name="Normal 4 3 8 7 2" xfId="12524" xr:uid="{00000000-0005-0000-0000-00002B3D0000}"/>
    <cellStyle name="Normal 4 3 8 7_SSL" xfId="14465" xr:uid="{00000000-0005-0000-0000-00002C3D0000}"/>
    <cellStyle name="Normal 4 3 8 8" xfId="7333" xr:uid="{00000000-0005-0000-0000-00002D3D0000}"/>
    <cellStyle name="Normal 4 3 8 9" xfId="6816" xr:uid="{00000000-0005-0000-0000-00002E3D0000}"/>
    <cellStyle name="Normal 4 3 8_SSL" xfId="14522" xr:uid="{00000000-0005-0000-0000-00002F3D0000}"/>
    <cellStyle name="Normal 4 3 9" xfId="1774" xr:uid="{00000000-0005-0000-0000-0000303D0000}"/>
    <cellStyle name="Normal 4 3 9 2" xfId="8429" xr:uid="{00000000-0005-0000-0000-0000313D0000}"/>
    <cellStyle name="Normal 4 3 9_SSL" xfId="13617" xr:uid="{00000000-0005-0000-0000-0000323D0000}"/>
    <cellStyle name="Normal 4 3_SSL" xfId="17947" xr:uid="{00000000-0005-0000-0000-0000333D0000}"/>
    <cellStyle name="Normal 4 4" xfId="28" xr:uid="{00000000-0005-0000-0000-0000343D0000}"/>
    <cellStyle name="Normal 4 4 10" xfId="5887" xr:uid="{00000000-0005-0000-0000-0000353D0000}"/>
    <cellStyle name="Normal 4 4 10 2" xfId="12525" xr:uid="{00000000-0005-0000-0000-0000363D0000}"/>
    <cellStyle name="Normal 4 4 10_SSL" xfId="16117" xr:uid="{00000000-0005-0000-0000-0000373D0000}"/>
    <cellStyle name="Normal 4 4 11" xfId="6935" xr:uid="{00000000-0005-0000-0000-0000383D0000}"/>
    <cellStyle name="Normal 4 4 12" xfId="6817" xr:uid="{00000000-0005-0000-0000-0000393D0000}"/>
    <cellStyle name="Normal 4 4 2" xfId="156" xr:uid="{00000000-0005-0000-0000-00003A3D0000}"/>
    <cellStyle name="Normal 4 4 2 10" xfId="7033" xr:uid="{00000000-0005-0000-0000-00003B3D0000}"/>
    <cellStyle name="Normal 4 4 2 11" xfId="6818" xr:uid="{00000000-0005-0000-0000-00003C3D0000}"/>
    <cellStyle name="Normal 4 4 2 2" xfId="436" xr:uid="{00000000-0005-0000-0000-00003D3D0000}"/>
    <cellStyle name="Normal 4 4 2 2 10" xfId="6819" xr:uid="{00000000-0005-0000-0000-00003E3D0000}"/>
    <cellStyle name="Normal 4 4 2 2 2" xfId="824" xr:uid="{00000000-0005-0000-0000-00003F3D0000}"/>
    <cellStyle name="Normal 4 4 2 2 2 2" xfId="1809" xr:uid="{00000000-0005-0000-0000-0000403D0000}"/>
    <cellStyle name="Normal 4 4 2 2 2 2 2" xfId="8464" xr:uid="{00000000-0005-0000-0000-0000413D0000}"/>
    <cellStyle name="Normal 4 4 2 2 2 2_SSL" xfId="16113" xr:uid="{00000000-0005-0000-0000-0000423D0000}"/>
    <cellStyle name="Normal 4 4 2 2 2 3" xfId="2629" xr:uid="{00000000-0005-0000-0000-0000433D0000}"/>
    <cellStyle name="Normal 4 4 2 2 2 3 2" xfId="9277" xr:uid="{00000000-0005-0000-0000-0000443D0000}"/>
    <cellStyle name="Normal 4 4 2 2 2 3_SSL" xfId="17875" xr:uid="{00000000-0005-0000-0000-0000453D0000}"/>
    <cellStyle name="Normal 4 4 2 2 2 4" xfId="3449" xr:uid="{00000000-0005-0000-0000-0000463D0000}"/>
    <cellStyle name="Normal 4 4 2 2 2 4 2" xfId="10094" xr:uid="{00000000-0005-0000-0000-0000473D0000}"/>
    <cellStyle name="Normal 4 4 2 2 2 4_SSL" xfId="13157" xr:uid="{00000000-0005-0000-0000-0000483D0000}"/>
    <cellStyle name="Normal 4 4 2 2 2 5" xfId="4269" xr:uid="{00000000-0005-0000-0000-0000493D0000}"/>
    <cellStyle name="Normal 4 4 2 2 2 5 2" xfId="10909" xr:uid="{00000000-0005-0000-0000-00004A3D0000}"/>
    <cellStyle name="Normal 4 4 2 2 2 5_SSL" xfId="15412" xr:uid="{00000000-0005-0000-0000-00004B3D0000}"/>
    <cellStyle name="Normal 4 4 2 2 2 6" xfId="5080" xr:uid="{00000000-0005-0000-0000-00004C3D0000}"/>
    <cellStyle name="Normal 4 4 2 2 2 6 2" xfId="11719" xr:uid="{00000000-0005-0000-0000-00004D3D0000}"/>
    <cellStyle name="Normal 4 4 2 2 2 6_SSL" xfId="17433" xr:uid="{00000000-0005-0000-0000-00004E3D0000}"/>
    <cellStyle name="Normal 4 4 2 2 2 7" xfId="5890" xr:uid="{00000000-0005-0000-0000-00004F3D0000}"/>
    <cellStyle name="Normal 4 4 2 2 2 7 2" xfId="12528" xr:uid="{00000000-0005-0000-0000-0000503D0000}"/>
    <cellStyle name="Normal 4 4 2 2 2 7_SSL" xfId="15189" xr:uid="{00000000-0005-0000-0000-0000513D0000}"/>
    <cellStyle name="Normal 4 4 2 2 2 8" xfId="7680" xr:uid="{00000000-0005-0000-0000-0000523D0000}"/>
    <cellStyle name="Normal 4 4 2 2 2 9" xfId="6820" xr:uid="{00000000-0005-0000-0000-0000533D0000}"/>
    <cellStyle name="Normal 4 4 2 2 2_SSL" xfId="15650" xr:uid="{00000000-0005-0000-0000-0000543D0000}"/>
    <cellStyle name="Normal 4 4 2 2 3" xfId="1808" xr:uid="{00000000-0005-0000-0000-0000553D0000}"/>
    <cellStyle name="Normal 4 4 2 2 3 2" xfId="8463" xr:uid="{00000000-0005-0000-0000-0000563D0000}"/>
    <cellStyle name="Normal 4 4 2 2 3_SSL" xfId="13832" xr:uid="{00000000-0005-0000-0000-0000573D0000}"/>
    <cellStyle name="Normal 4 4 2 2 4" xfId="2628" xr:uid="{00000000-0005-0000-0000-0000583D0000}"/>
    <cellStyle name="Normal 4 4 2 2 4 2" xfId="9276" xr:uid="{00000000-0005-0000-0000-0000593D0000}"/>
    <cellStyle name="Normal 4 4 2 2 4_SSL" xfId="17595" xr:uid="{00000000-0005-0000-0000-00005A3D0000}"/>
    <cellStyle name="Normal 4 4 2 2 5" xfId="3448" xr:uid="{00000000-0005-0000-0000-00005B3D0000}"/>
    <cellStyle name="Normal 4 4 2 2 5 2" xfId="10093" xr:uid="{00000000-0005-0000-0000-00005C3D0000}"/>
    <cellStyle name="Normal 4 4 2 2 5_SSL" xfId="8563" xr:uid="{00000000-0005-0000-0000-00005D3D0000}"/>
    <cellStyle name="Normal 4 4 2 2 6" xfId="4268" xr:uid="{00000000-0005-0000-0000-00005E3D0000}"/>
    <cellStyle name="Normal 4 4 2 2 6 2" xfId="10908" xr:uid="{00000000-0005-0000-0000-00005F3D0000}"/>
    <cellStyle name="Normal 4 4 2 2 6_SSL" xfId="13761" xr:uid="{00000000-0005-0000-0000-0000603D0000}"/>
    <cellStyle name="Normal 4 4 2 2 7" xfId="5079" xr:uid="{00000000-0005-0000-0000-0000613D0000}"/>
    <cellStyle name="Normal 4 4 2 2 7 2" xfId="11718" xr:uid="{00000000-0005-0000-0000-0000623D0000}"/>
    <cellStyle name="Normal 4 4 2 2 7_SSL" xfId="14285" xr:uid="{00000000-0005-0000-0000-0000633D0000}"/>
    <cellStyle name="Normal 4 4 2 2 8" xfId="5889" xr:uid="{00000000-0005-0000-0000-0000643D0000}"/>
    <cellStyle name="Normal 4 4 2 2 8 2" xfId="12527" xr:uid="{00000000-0005-0000-0000-0000653D0000}"/>
    <cellStyle name="Normal 4 4 2 2 8_SSL" xfId="13799" xr:uid="{00000000-0005-0000-0000-0000663D0000}"/>
    <cellStyle name="Normal 4 4 2 2 9" xfId="7296" xr:uid="{00000000-0005-0000-0000-0000673D0000}"/>
    <cellStyle name="Normal 4 4 2 2_SSL" xfId="16714" xr:uid="{00000000-0005-0000-0000-0000683D0000}"/>
    <cellStyle name="Normal 4 4 2 3" xfId="561" xr:uid="{00000000-0005-0000-0000-0000693D0000}"/>
    <cellStyle name="Normal 4 4 2 3 2" xfId="1810" xr:uid="{00000000-0005-0000-0000-00006A3D0000}"/>
    <cellStyle name="Normal 4 4 2 3 2 2" xfId="8465" xr:uid="{00000000-0005-0000-0000-00006B3D0000}"/>
    <cellStyle name="Normal 4 4 2 3 2_SSL" xfId="17220" xr:uid="{00000000-0005-0000-0000-00006C3D0000}"/>
    <cellStyle name="Normal 4 4 2 3 3" xfId="2630" xr:uid="{00000000-0005-0000-0000-00006D3D0000}"/>
    <cellStyle name="Normal 4 4 2 3 3 2" xfId="9278" xr:uid="{00000000-0005-0000-0000-00006E3D0000}"/>
    <cellStyle name="Normal 4 4 2 3 3_SSL" xfId="6713" xr:uid="{00000000-0005-0000-0000-00006F3D0000}"/>
    <cellStyle name="Normal 4 4 2 3 4" xfId="3450" xr:uid="{00000000-0005-0000-0000-0000703D0000}"/>
    <cellStyle name="Normal 4 4 2 3 4 2" xfId="10095" xr:uid="{00000000-0005-0000-0000-0000713D0000}"/>
    <cellStyle name="Normal 4 4 2 3 4_SSL" xfId="15002" xr:uid="{00000000-0005-0000-0000-0000723D0000}"/>
    <cellStyle name="Normal 4 4 2 3 5" xfId="4270" xr:uid="{00000000-0005-0000-0000-0000733D0000}"/>
    <cellStyle name="Normal 4 4 2 3 5 2" xfId="10910" xr:uid="{00000000-0005-0000-0000-0000743D0000}"/>
    <cellStyle name="Normal 4 4 2 3 5_SSL" xfId="15686" xr:uid="{00000000-0005-0000-0000-0000753D0000}"/>
    <cellStyle name="Normal 4 4 2 3 6" xfId="5081" xr:uid="{00000000-0005-0000-0000-0000763D0000}"/>
    <cellStyle name="Normal 4 4 2 3 6 2" xfId="11720" xr:uid="{00000000-0005-0000-0000-0000773D0000}"/>
    <cellStyle name="Normal 4 4 2 3 6_SSL" xfId="17057" xr:uid="{00000000-0005-0000-0000-0000783D0000}"/>
    <cellStyle name="Normal 4 4 2 3 7" xfId="5891" xr:uid="{00000000-0005-0000-0000-0000793D0000}"/>
    <cellStyle name="Normal 4 4 2 3 7 2" xfId="12529" xr:uid="{00000000-0005-0000-0000-00007A3D0000}"/>
    <cellStyle name="Normal 4 4 2 3 7_SSL" xfId="13086" xr:uid="{00000000-0005-0000-0000-00007B3D0000}"/>
    <cellStyle name="Normal 4 4 2 3 8" xfId="7417" xr:uid="{00000000-0005-0000-0000-00007C3D0000}"/>
    <cellStyle name="Normal 4 4 2 3 9" xfId="6821" xr:uid="{00000000-0005-0000-0000-00007D3D0000}"/>
    <cellStyle name="Normal 4 4 2 3_SSL" xfId="14325" xr:uid="{00000000-0005-0000-0000-00007E3D0000}"/>
    <cellStyle name="Normal 4 4 2 4" xfId="1807" xr:uid="{00000000-0005-0000-0000-00007F3D0000}"/>
    <cellStyle name="Normal 4 4 2 4 2" xfId="8462" xr:uid="{00000000-0005-0000-0000-0000803D0000}"/>
    <cellStyle name="Normal 4 4 2 4_SSL" xfId="17685" xr:uid="{00000000-0005-0000-0000-0000813D0000}"/>
    <cellStyle name="Normal 4 4 2 5" xfId="2627" xr:uid="{00000000-0005-0000-0000-0000823D0000}"/>
    <cellStyle name="Normal 4 4 2 5 2" xfId="9275" xr:uid="{00000000-0005-0000-0000-0000833D0000}"/>
    <cellStyle name="Normal 4 4 2 5_SSL" xfId="15900" xr:uid="{00000000-0005-0000-0000-0000843D0000}"/>
    <cellStyle name="Normal 4 4 2 6" xfId="3447" xr:uid="{00000000-0005-0000-0000-0000853D0000}"/>
    <cellStyle name="Normal 4 4 2 6 2" xfId="10092" xr:uid="{00000000-0005-0000-0000-0000863D0000}"/>
    <cellStyle name="Normal 4 4 2 6_SSL" xfId="15979" xr:uid="{00000000-0005-0000-0000-0000873D0000}"/>
    <cellStyle name="Normal 4 4 2 7" xfId="4267" xr:uid="{00000000-0005-0000-0000-0000883D0000}"/>
    <cellStyle name="Normal 4 4 2 7 2" xfId="10907" xr:uid="{00000000-0005-0000-0000-0000893D0000}"/>
    <cellStyle name="Normal 4 4 2 7_SSL" xfId="13936" xr:uid="{00000000-0005-0000-0000-00008A3D0000}"/>
    <cellStyle name="Normal 4 4 2 8" xfId="5078" xr:uid="{00000000-0005-0000-0000-00008B3D0000}"/>
    <cellStyle name="Normal 4 4 2 8 2" xfId="11717" xr:uid="{00000000-0005-0000-0000-00008C3D0000}"/>
    <cellStyle name="Normal 4 4 2 8_SSL" xfId="14219" xr:uid="{00000000-0005-0000-0000-00008D3D0000}"/>
    <cellStyle name="Normal 4 4 2 9" xfId="5888" xr:uid="{00000000-0005-0000-0000-00008E3D0000}"/>
    <cellStyle name="Normal 4 4 2 9 2" xfId="12526" xr:uid="{00000000-0005-0000-0000-00008F3D0000}"/>
    <cellStyle name="Normal 4 4 2 9_SSL" xfId="16422" xr:uid="{00000000-0005-0000-0000-0000903D0000}"/>
    <cellStyle name="Normal 4 4 2_SSL" xfId="17973" xr:uid="{00000000-0005-0000-0000-0000913D0000}"/>
    <cellStyle name="Normal 4 4 3" xfId="435" xr:uid="{00000000-0005-0000-0000-0000923D0000}"/>
    <cellStyle name="Normal 4 4 3 10" xfId="6822" xr:uid="{00000000-0005-0000-0000-0000933D0000}"/>
    <cellStyle name="Normal 4 4 3 2" xfId="823" xr:uid="{00000000-0005-0000-0000-0000943D0000}"/>
    <cellStyle name="Normal 4 4 3 2 2" xfId="1812" xr:uid="{00000000-0005-0000-0000-0000953D0000}"/>
    <cellStyle name="Normal 4 4 3 2 2 2" xfId="8467" xr:uid="{00000000-0005-0000-0000-0000963D0000}"/>
    <cellStyle name="Normal 4 4 3 2 2_SSL" xfId="15523" xr:uid="{00000000-0005-0000-0000-0000973D0000}"/>
    <cellStyle name="Normal 4 4 3 2 3" xfId="2632" xr:uid="{00000000-0005-0000-0000-0000983D0000}"/>
    <cellStyle name="Normal 4 4 3 2 3 2" xfId="9280" xr:uid="{00000000-0005-0000-0000-0000993D0000}"/>
    <cellStyle name="Normal 4 4 3 2 3_SSL" xfId="14154" xr:uid="{00000000-0005-0000-0000-00009A3D0000}"/>
    <cellStyle name="Normal 4 4 3 2 4" xfId="3452" xr:uid="{00000000-0005-0000-0000-00009B3D0000}"/>
    <cellStyle name="Normal 4 4 3 2 4 2" xfId="10097" xr:uid="{00000000-0005-0000-0000-00009C3D0000}"/>
    <cellStyle name="Normal 4 4 3 2 4_SSL" xfId="13932" xr:uid="{00000000-0005-0000-0000-00009D3D0000}"/>
    <cellStyle name="Normal 4 4 3 2 5" xfId="4272" xr:uid="{00000000-0005-0000-0000-00009E3D0000}"/>
    <cellStyle name="Normal 4 4 3 2 5 2" xfId="10912" xr:uid="{00000000-0005-0000-0000-00009F3D0000}"/>
    <cellStyle name="Normal 4 4 3 2 5_SSL" xfId="14414" xr:uid="{00000000-0005-0000-0000-0000A03D0000}"/>
    <cellStyle name="Normal 4 4 3 2 6" xfId="5083" xr:uid="{00000000-0005-0000-0000-0000A13D0000}"/>
    <cellStyle name="Normal 4 4 3 2 6 2" xfId="11722" xr:uid="{00000000-0005-0000-0000-0000A23D0000}"/>
    <cellStyle name="Normal 4 4 3 2 6_SSL" xfId="15310" xr:uid="{00000000-0005-0000-0000-0000A33D0000}"/>
    <cellStyle name="Normal 4 4 3 2 7" xfId="5893" xr:uid="{00000000-0005-0000-0000-0000A43D0000}"/>
    <cellStyle name="Normal 4 4 3 2 7 2" xfId="12531" xr:uid="{00000000-0005-0000-0000-0000A53D0000}"/>
    <cellStyle name="Normal 4 4 3 2 7_SSL" xfId="13513" xr:uid="{00000000-0005-0000-0000-0000A63D0000}"/>
    <cellStyle name="Normal 4 4 3 2 8" xfId="7679" xr:uid="{00000000-0005-0000-0000-0000A73D0000}"/>
    <cellStyle name="Normal 4 4 3 2 9" xfId="6823" xr:uid="{00000000-0005-0000-0000-0000A83D0000}"/>
    <cellStyle name="Normal 4 4 3 2_SSL" xfId="16398" xr:uid="{00000000-0005-0000-0000-0000A93D0000}"/>
    <cellStyle name="Normal 4 4 3 3" xfId="1811" xr:uid="{00000000-0005-0000-0000-0000AA3D0000}"/>
    <cellStyle name="Normal 4 4 3 3 2" xfId="8466" xr:uid="{00000000-0005-0000-0000-0000AB3D0000}"/>
    <cellStyle name="Normal 4 4 3 3_SSL" xfId="14783" xr:uid="{00000000-0005-0000-0000-0000AC3D0000}"/>
    <cellStyle name="Normal 4 4 3 4" xfId="2631" xr:uid="{00000000-0005-0000-0000-0000AD3D0000}"/>
    <cellStyle name="Normal 4 4 3 4 2" xfId="9279" xr:uid="{00000000-0005-0000-0000-0000AE3D0000}"/>
    <cellStyle name="Normal 4 4 3 4_SSL" xfId="17835" xr:uid="{00000000-0005-0000-0000-0000AF3D0000}"/>
    <cellStyle name="Normal 4 4 3 5" xfId="3451" xr:uid="{00000000-0005-0000-0000-0000B03D0000}"/>
    <cellStyle name="Normal 4 4 3 5 2" xfId="10096" xr:uid="{00000000-0005-0000-0000-0000B13D0000}"/>
    <cellStyle name="Normal 4 4 3 5_SSL" xfId="15839" xr:uid="{00000000-0005-0000-0000-0000B23D0000}"/>
    <cellStyle name="Normal 4 4 3 6" xfId="4271" xr:uid="{00000000-0005-0000-0000-0000B33D0000}"/>
    <cellStyle name="Normal 4 4 3 6 2" xfId="10911" xr:uid="{00000000-0005-0000-0000-0000B43D0000}"/>
    <cellStyle name="Normal 4 4 3 6_SSL" xfId="14879" xr:uid="{00000000-0005-0000-0000-0000B53D0000}"/>
    <cellStyle name="Normal 4 4 3 7" xfId="5082" xr:uid="{00000000-0005-0000-0000-0000B63D0000}"/>
    <cellStyle name="Normal 4 4 3 7 2" xfId="11721" xr:uid="{00000000-0005-0000-0000-0000B73D0000}"/>
    <cellStyle name="Normal 4 4 3 7_SSL" xfId="17820" xr:uid="{00000000-0005-0000-0000-0000B83D0000}"/>
    <cellStyle name="Normal 4 4 3 8" xfId="5892" xr:uid="{00000000-0005-0000-0000-0000B93D0000}"/>
    <cellStyle name="Normal 4 4 3 8 2" xfId="12530" xr:uid="{00000000-0005-0000-0000-0000BA3D0000}"/>
    <cellStyle name="Normal 4 4 3 8_SSL" xfId="17228" xr:uid="{00000000-0005-0000-0000-0000BB3D0000}"/>
    <cellStyle name="Normal 4 4 3 9" xfId="7295" xr:uid="{00000000-0005-0000-0000-0000BC3D0000}"/>
    <cellStyle name="Normal 4 4 3_SSL" xfId="14188" xr:uid="{00000000-0005-0000-0000-0000BD3D0000}"/>
    <cellStyle name="Normal 4 4 4" xfId="465" xr:uid="{00000000-0005-0000-0000-0000BE3D0000}"/>
    <cellStyle name="Normal 4 4 4 2" xfId="1813" xr:uid="{00000000-0005-0000-0000-0000BF3D0000}"/>
    <cellStyle name="Normal 4 4 4 2 2" xfId="8468" xr:uid="{00000000-0005-0000-0000-0000C03D0000}"/>
    <cellStyle name="Normal 4 4 4 2_SSL" xfId="13700" xr:uid="{00000000-0005-0000-0000-0000C13D0000}"/>
    <cellStyle name="Normal 4 4 4 3" xfId="2633" xr:uid="{00000000-0005-0000-0000-0000C23D0000}"/>
    <cellStyle name="Normal 4 4 4 3 2" xfId="9281" xr:uid="{00000000-0005-0000-0000-0000C33D0000}"/>
    <cellStyle name="Normal 4 4 4 3_SSL" xfId="17138" xr:uid="{00000000-0005-0000-0000-0000C43D0000}"/>
    <cellStyle name="Normal 4 4 4 4" xfId="3453" xr:uid="{00000000-0005-0000-0000-0000C53D0000}"/>
    <cellStyle name="Normal 4 4 4 4 2" xfId="10098" xr:uid="{00000000-0005-0000-0000-0000C63D0000}"/>
    <cellStyle name="Normal 4 4 4 4_SSL" xfId="13711" xr:uid="{00000000-0005-0000-0000-0000C73D0000}"/>
    <cellStyle name="Normal 4 4 4 5" xfId="4273" xr:uid="{00000000-0005-0000-0000-0000C83D0000}"/>
    <cellStyle name="Normal 4 4 4 5 2" xfId="10913" xr:uid="{00000000-0005-0000-0000-0000C93D0000}"/>
    <cellStyle name="Normal 4 4 4 5_SSL" xfId="16078" xr:uid="{00000000-0005-0000-0000-0000CA3D0000}"/>
    <cellStyle name="Normal 4 4 4 6" xfId="5084" xr:uid="{00000000-0005-0000-0000-0000CB3D0000}"/>
    <cellStyle name="Normal 4 4 4 6 2" xfId="11723" xr:uid="{00000000-0005-0000-0000-0000CC3D0000}"/>
    <cellStyle name="Normal 4 4 4 6_SSL" xfId="13502" xr:uid="{00000000-0005-0000-0000-0000CD3D0000}"/>
    <cellStyle name="Normal 4 4 4 7" xfId="5894" xr:uid="{00000000-0005-0000-0000-0000CE3D0000}"/>
    <cellStyle name="Normal 4 4 4 7 2" xfId="12532" xr:uid="{00000000-0005-0000-0000-0000CF3D0000}"/>
    <cellStyle name="Normal 4 4 4 7_SSL" xfId="15545" xr:uid="{00000000-0005-0000-0000-0000D03D0000}"/>
    <cellStyle name="Normal 4 4 4 8" xfId="7321" xr:uid="{00000000-0005-0000-0000-0000D13D0000}"/>
    <cellStyle name="Normal 4 4 4 9" xfId="6824" xr:uid="{00000000-0005-0000-0000-0000D23D0000}"/>
    <cellStyle name="Normal 4 4 4_SSL" xfId="15427" xr:uid="{00000000-0005-0000-0000-0000D33D0000}"/>
    <cellStyle name="Normal 4 4 5" xfId="1806" xr:uid="{00000000-0005-0000-0000-0000D43D0000}"/>
    <cellStyle name="Normal 4 4 5 2" xfId="8461" xr:uid="{00000000-0005-0000-0000-0000D53D0000}"/>
    <cellStyle name="Normal 4 4 5_SSL" xfId="16426" xr:uid="{00000000-0005-0000-0000-0000D63D0000}"/>
    <cellStyle name="Normal 4 4 6" xfId="2626" xr:uid="{00000000-0005-0000-0000-0000D73D0000}"/>
    <cellStyle name="Normal 4 4 6 2" xfId="9274" xr:uid="{00000000-0005-0000-0000-0000D83D0000}"/>
    <cellStyle name="Normal 4 4 6_SSL" xfId="14806" xr:uid="{00000000-0005-0000-0000-0000D93D0000}"/>
    <cellStyle name="Normal 4 4 7" xfId="3446" xr:uid="{00000000-0005-0000-0000-0000DA3D0000}"/>
    <cellStyle name="Normal 4 4 7 2" xfId="10091" xr:uid="{00000000-0005-0000-0000-0000DB3D0000}"/>
    <cellStyle name="Normal 4 4 7_SSL" xfId="15586" xr:uid="{00000000-0005-0000-0000-0000DC3D0000}"/>
    <cellStyle name="Normal 4 4 8" xfId="4266" xr:uid="{00000000-0005-0000-0000-0000DD3D0000}"/>
    <cellStyle name="Normal 4 4 8 2" xfId="10906" xr:uid="{00000000-0005-0000-0000-0000DE3D0000}"/>
    <cellStyle name="Normal 4 4 8_SSL" xfId="13773" xr:uid="{00000000-0005-0000-0000-0000DF3D0000}"/>
    <cellStyle name="Normal 4 4 9" xfId="5077" xr:uid="{00000000-0005-0000-0000-0000E03D0000}"/>
    <cellStyle name="Normal 4 4 9 2" xfId="11716" xr:uid="{00000000-0005-0000-0000-0000E13D0000}"/>
    <cellStyle name="Normal 4 4 9_SSL" xfId="14395" xr:uid="{00000000-0005-0000-0000-0000E23D0000}"/>
    <cellStyle name="Normal 4 4_SSL" xfId="16889" xr:uid="{00000000-0005-0000-0000-0000E33D0000}"/>
    <cellStyle name="Normal 4 5" xfId="79" xr:uid="{00000000-0005-0000-0000-0000E43D0000}"/>
    <cellStyle name="Normal 4 5 10" xfId="5895" xr:uid="{00000000-0005-0000-0000-0000E53D0000}"/>
    <cellStyle name="Normal 4 5 10 2" xfId="12533" xr:uid="{00000000-0005-0000-0000-0000E63D0000}"/>
    <cellStyle name="Normal 4 5 10_SSL" xfId="15164" xr:uid="{00000000-0005-0000-0000-0000E73D0000}"/>
    <cellStyle name="Normal 4 5 11" xfId="6960" xr:uid="{00000000-0005-0000-0000-0000E83D0000}"/>
    <cellStyle name="Normal 4 5 12" xfId="6825" xr:uid="{00000000-0005-0000-0000-0000E93D0000}"/>
    <cellStyle name="Normal 4 5 2" xfId="179" xr:uid="{00000000-0005-0000-0000-0000EA3D0000}"/>
    <cellStyle name="Normal 4 5 2 10" xfId="7056" xr:uid="{00000000-0005-0000-0000-0000EB3D0000}"/>
    <cellStyle name="Normal 4 5 2 11" xfId="6826" xr:uid="{00000000-0005-0000-0000-0000EC3D0000}"/>
    <cellStyle name="Normal 4 5 2 2" xfId="438" xr:uid="{00000000-0005-0000-0000-0000ED3D0000}"/>
    <cellStyle name="Normal 4 5 2 2 10" xfId="6827" xr:uid="{00000000-0005-0000-0000-0000EE3D0000}"/>
    <cellStyle name="Normal 4 5 2 2 2" xfId="826" xr:uid="{00000000-0005-0000-0000-0000EF3D0000}"/>
    <cellStyle name="Normal 4 5 2 2 2 2" xfId="1817" xr:uid="{00000000-0005-0000-0000-0000F03D0000}"/>
    <cellStyle name="Normal 4 5 2 2 2 2 2" xfId="8472" xr:uid="{00000000-0005-0000-0000-0000F13D0000}"/>
    <cellStyle name="Normal 4 5 2 2 2 2_SSL" xfId="6043" xr:uid="{00000000-0005-0000-0000-0000F23D0000}"/>
    <cellStyle name="Normal 4 5 2 2 2 3" xfId="2637" xr:uid="{00000000-0005-0000-0000-0000F33D0000}"/>
    <cellStyle name="Normal 4 5 2 2 2 3 2" xfId="9285" xr:uid="{00000000-0005-0000-0000-0000F43D0000}"/>
    <cellStyle name="Normal 4 5 2 2 2 3_SSL" xfId="16041" xr:uid="{00000000-0005-0000-0000-0000F53D0000}"/>
    <cellStyle name="Normal 4 5 2 2 2 4" xfId="3457" xr:uid="{00000000-0005-0000-0000-0000F63D0000}"/>
    <cellStyle name="Normal 4 5 2 2 2 4 2" xfId="10102" xr:uid="{00000000-0005-0000-0000-0000F73D0000}"/>
    <cellStyle name="Normal 4 5 2 2 2 4_SSL" xfId="14787" xr:uid="{00000000-0005-0000-0000-0000F83D0000}"/>
    <cellStyle name="Normal 4 5 2 2 2 5" xfId="4277" xr:uid="{00000000-0005-0000-0000-0000F93D0000}"/>
    <cellStyle name="Normal 4 5 2 2 2 5 2" xfId="10917" xr:uid="{00000000-0005-0000-0000-0000FA3D0000}"/>
    <cellStyle name="Normal 4 5 2 2 2 5_SSL" xfId="17272" xr:uid="{00000000-0005-0000-0000-0000FB3D0000}"/>
    <cellStyle name="Normal 4 5 2 2 2 6" xfId="5088" xr:uid="{00000000-0005-0000-0000-0000FC3D0000}"/>
    <cellStyle name="Normal 4 5 2 2 2 6 2" xfId="11727" xr:uid="{00000000-0005-0000-0000-0000FD3D0000}"/>
    <cellStyle name="Normal 4 5 2 2 2 6_SSL" xfId="17878" xr:uid="{00000000-0005-0000-0000-0000FE3D0000}"/>
    <cellStyle name="Normal 4 5 2 2 2 7" xfId="5898" xr:uid="{00000000-0005-0000-0000-0000FF3D0000}"/>
    <cellStyle name="Normal 4 5 2 2 2 7 2" xfId="12536" xr:uid="{00000000-0005-0000-0000-0000003E0000}"/>
    <cellStyle name="Normal 4 5 2 2 2 7_SSL" xfId="13093" xr:uid="{00000000-0005-0000-0000-0000013E0000}"/>
    <cellStyle name="Normal 4 5 2 2 2 8" xfId="7682" xr:uid="{00000000-0005-0000-0000-0000023E0000}"/>
    <cellStyle name="Normal 4 5 2 2 2 9" xfId="6828" xr:uid="{00000000-0005-0000-0000-0000033E0000}"/>
    <cellStyle name="Normal 4 5 2 2 2_SSL" xfId="14302" xr:uid="{00000000-0005-0000-0000-0000043E0000}"/>
    <cellStyle name="Normal 4 5 2 2 3" xfId="1816" xr:uid="{00000000-0005-0000-0000-0000053E0000}"/>
    <cellStyle name="Normal 4 5 2 2 3 2" xfId="8471" xr:uid="{00000000-0005-0000-0000-0000063E0000}"/>
    <cellStyle name="Normal 4 5 2 2 3_SSL" xfId="13669" xr:uid="{00000000-0005-0000-0000-0000073E0000}"/>
    <cellStyle name="Normal 4 5 2 2 4" xfId="2636" xr:uid="{00000000-0005-0000-0000-0000083E0000}"/>
    <cellStyle name="Normal 4 5 2 2 4 2" xfId="9284" xr:uid="{00000000-0005-0000-0000-0000093E0000}"/>
    <cellStyle name="Normal 4 5 2 2 4_SSL" xfId="16402" xr:uid="{00000000-0005-0000-0000-00000A3E0000}"/>
    <cellStyle name="Normal 4 5 2 2 5" xfId="3456" xr:uid="{00000000-0005-0000-0000-00000B3E0000}"/>
    <cellStyle name="Normal 4 5 2 2 5 2" xfId="10101" xr:uid="{00000000-0005-0000-0000-00000C3E0000}"/>
    <cellStyle name="Normal 4 5 2 2 5_SSL" xfId="13992" xr:uid="{00000000-0005-0000-0000-00000D3E0000}"/>
    <cellStyle name="Normal 4 5 2 2 6" xfId="4276" xr:uid="{00000000-0005-0000-0000-00000E3E0000}"/>
    <cellStyle name="Normal 4 5 2 2 6 2" xfId="10916" xr:uid="{00000000-0005-0000-0000-00000F3E0000}"/>
    <cellStyle name="Normal 4 5 2 2 6_SSL" xfId="16851" xr:uid="{00000000-0005-0000-0000-0000103E0000}"/>
    <cellStyle name="Normal 4 5 2 2 7" xfId="5087" xr:uid="{00000000-0005-0000-0000-0000113E0000}"/>
    <cellStyle name="Normal 4 5 2 2 7 2" xfId="11726" xr:uid="{00000000-0005-0000-0000-0000123E0000}"/>
    <cellStyle name="Normal 4 5 2 2 7_SSL" xfId="17306" xr:uid="{00000000-0005-0000-0000-0000133E0000}"/>
    <cellStyle name="Normal 4 5 2 2 8" xfId="5897" xr:uid="{00000000-0005-0000-0000-0000143E0000}"/>
    <cellStyle name="Normal 4 5 2 2 8 2" xfId="12535" xr:uid="{00000000-0005-0000-0000-0000153E0000}"/>
    <cellStyle name="Normal 4 5 2 2 8_SSL" xfId="17077" xr:uid="{00000000-0005-0000-0000-0000163E0000}"/>
    <cellStyle name="Normal 4 5 2 2 9" xfId="7298" xr:uid="{00000000-0005-0000-0000-0000173E0000}"/>
    <cellStyle name="Normal 4 5 2 2_SSL" xfId="15302" xr:uid="{00000000-0005-0000-0000-0000183E0000}"/>
    <cellStyle name="Normal 4 5 2 3" xfId="584" xr:uid="{00000000-0005-0000-0000-0000193E0000}"/>
    <cellStyle name="Normal 4 5 2 3 2" xfId="1818" xr:uid="{00000000-0005-0000-0000-00001A3E0000}"/>
    <cellStyle name="Normal 4 5 2 3 2 2" xfId="8473" xr:uid="{00000000-0005-0000-0000-00001B3E0000}"/>
    <cellStyle name="Normal 4 5 2 3 2_SSL" xfId="13531" xr:uid="{00000000-0005-0000-0000-00001C3E0000}"/>
    <cellStyle name="Normal 4 5 2 3 3" xfId="2638" xr:uid="{00000000-0005-0000-0000-00001D3E0000}"/>
    <cellStyle name="Normal 4 5 2 3 3 2" xfId="9286" xr:uid="{00000000-0005-0000-0000-00001E3E0000}"/>
    <cellStyle name="Normal 4 5 2 3 3_SSL" xfId="16906" xr:uid="{00000000-0005-0000-0000-00001F3E0000}"/>
    <cellStyle name="Normal 4 5 2 3 4" xfId="3458" xr:uid="{00000000-0005-0000-0000-0000203E0000}"/>
    <cellStyle name="Normal 4 5 2 3 4 2" xfId="10103" xr:uid="{00000000-0005-0000-0000-0000213E0000}"/>
    <cellStyle name="Normal 4 5 2 3 4_SSL" xfId="15526" xr:uid="{00000000-0005-0000-0000-0000223E0000}"/>
    <cellStyle name="Normal 4 5 2 3 5" xfId="4278" xr:uid="{00000000-0005-0000-0000-0000233E0000}"/>
    <cellStyle name="Normal 4 5 2 3 5 2" xfId="10918" xr:uid="{00000000-0005-0000-0000-0000243E0000}"/>
    <cellStyle name="Normal 4 5 2 3 5_SSL" xfId="16013" xr:uid="{00000000-0005-0000-0000-0000253E0000}"/>
    <cellStyle name="Normal 4 5 2 3 6" xfId="5089" xr:uid="{00000000-0005-0000-0000-0000263E0000}"/>
    <cellStyle name="Normal 4 5 2 3 6 2" xfId="11728" xr:uid="{00000000-0005-0000-0000-0000273E0000}"/>
    <cellStyle name="Normal 4 5 2 3 6_SSL" xfId="16859" xr:uid="{00000000-0005-0000-0000-0000283E0000}"/>
    <cellStyle name="Normal 4 5 2 3 7" xfId="5899" xr:uid="{00000000-0005-0000-0000-0000293E0000}"/>
    <cellStyle name="Normal 4 5 2 3 7 2" xfId="12537" xr:uid="{00000000-0005-0000-0000-00002A3E0000}"/>
    <cellStyle name="Normal 4 5 2 3 7_SSL" xfId="17130" xr:uid="{00000000-0005-0000-0000-00002B3E0000}"/>
    <cellStyle name="Normal 4 5 2 3 8" xfId="7440" xr:uid="{00000000-0005-0000-0000-00002C3E0000}"/>
    <cellStyle name="Normal 4 5 2 3 9" xfId="6829" xr:uid="{00000000-0005-0000-0000-00002D3E0000}"/>
    <cellStyle name="Normal 4 5 2 3_SSL" xfId="14964" xr:uid="{00000000-0005-0000-0000-00002E3E0000}"/>
    <cellStyle name="Normal 4 5 2 4" xfId="1815" xr:uid="{00000000-0005-0000-0000-00002F3E0000}"/>
    <cellStyle name="Normal 4 5 2 4 2" xfId="8470" xr:uid="{00000000-0005-0000-0000-0000303E0000}"/>
    <cellStyle name="Normal 4 5 2 4_SSL" xfId="16237" xr:uid="{00000000-0005-0000-0000-0000313E0000}"/>
    <cellStyle name="Normal 4 5 2 5" xfId="2635" xr:uid="{00000000-0005-0000-0000-0000323E0000}"/>
    <cellStyle name="Normal 4 5 2 5 2" xfId="9283" xr:uid="{00000000-0005-0000-0000-0000333E0000}"/>
    <cellStyle name="Normal 4 5 2 5_SSL" xfId="14093" xr:uid="{00000000-0005-0000-0000-0000343E0000}"/>
    <cellStyle name="Normal 4 5 2 6" xfId="3455" xr:uid="{00000000-0005-0000-0000-0000353E0000}"/>
    <cellStyle name="Normal 4 5 2 6 2" xfId="10100" xr:uid="{00000000-0005-0000-0000-0000363E0000}"/>
    <cellStyle name="Normal 4 5 2 6_SSL" xfId="17234" xr:uid="{00000000-0005-0000-0000-0000373E0000}"/>
    <cellStyle name="Normal 4 5 2 7" xfId="4275" xr:uid="{00000000-0005-0000-0000-0000383E0000}"/>
    <cellStyle name="Normal 4 5 2 7 2" xfId="10915" xr:uid="{00000000-0005-0000-0000-0000393E0000}"/>
    <cellStyle name="Normal 4 5 2 7_SSL" xfId="15497" xr:uid="{00000000-0005-0000-0000-00003A3E0000}"/>
    <cellStyle name="Normal 4 5 2 8" xfId="5086" xr:uid="{00000000-0005-0000-0000-00003B3E0000}"/>
    <cellStyle name="Normal 4 5 2 8 2" xfId="11725" xr:uid="{00000000-0005-0000-0000-00003C3E0000}"/>
    <cellStyle name="Normal 4 5 2 8_SSL" xfId="14122" xr:uid="{00000000-0005-0000-0000-00003D3E0000}"/>
    <cellStyle name="Normal 4 5 2 9" xfId="5896" xr:uid="{00000000-0005-0000-0000-00003E3E0000}"/>
    <cellStyle name="Normal 4 5 2 9 2" xfId="12534" xr:uid="{00000000-0005-0000-0000-00003F3E0000}"/>
    <cellStyle name="Normal 4 5 2 9_SSL" xfId="15180" xr:uid="{00000000-0005-0000-0000-0000403E0000}"/>
    <cellStyle name="Normal 4 5 2_SSL" xfId="14359" xr:uid="{00000000-0005-0000-0000-0000413E0000}"/>
    <cellStyle name="Normal 4 5 3" xfId="437" xr:uid="{00000000-0005-0000-0000-0000423E0000}"/>
    <cellStyle name="Normal 4 5 3 10" xfId="6830" xr:uid="{00000000-0005-0000-0000-0000433E0000}"/>
    <cellStyle name="Normal 4 5 3 2" xfId="825" xr:uid="{00000000-0005-0000-0000-0000443E0000}"/>
    <cellStyle name="Normal 4 5 3 2 2" xfId="1820" xr:uid="{00000000-0005-0000-0000-0000453E0000}"/>
    <cellStyle name="Normal 4 5 3 2 2 2" xfId="8475" xr:uid="{00000000-0005-0000-0000-0000463E0000}"/>
    <cellStyle name="Normal 4 5 3 2 2_SSL" xfId="6124" xr:uid="{00000000-0005-0000-0000-0000473E0000}"/>
    <cellStyle name="Normal 4 5 3 2 3" xfId="2640" xr:uid="{00000000-0005-0000-0000-0000483E0000}"/>
    <cellStyle name="Normal 4 5 3 2 3 2" xfId="9288" xr:uid="{00000000-0005-0000-0000-0000493E0000}"/>
    <cellStyle name="Normal 4 5 3 2 3_SSL" xfId="15623" xr:uid="{00000000-0005-0000-0000-00004A3E0000}"/>
    <cellStyle name="Normal 4 5 3 2 4" xfId="3460" xr:uid="{00000000-0005-0000-0000-00004B3E0000}"/>
    <cellStyle name="Normal 4 5 3 2 4 2" xfId="10105" xr:uid="{00000000-0005-0000-0000-00004C3E0000}"/>
    <cellStyle name="Normal 4 5 3 2 4_SSL" xfId="15943" xr:uid="{00000000-0005-0000-0000-00004D3E0000}"/>
    <cellStyle name="Normal 4 5 3 2 5" xfId="4280" xr:uid="{00000000-0005-0000-0000-00004E3E0000}"/>
    <cellStyle name="Normal 4 5 3 2 5 2" xfId="10920" xr:uid="{00000000-0005-0000-0000-00004F3E0000}"/>
    <cellStyle name="Normal 4 5 3 2 5_SSL" xfId="16112" xr:uid="{00000000-0005-0000-0000-0000503E0000}"/>
    <cellStyle name="Normal 4 5 3 2 6" xfId="5091" xr:uid="{00000000-0005-0000-0000-0000513E0000}"/>
    <cellStyle name="Normal 4 5 3 2 6 2" xfId="11730" xr:uid="{00000000-0005-0000-0000-0000523E0000}"/>
    <cellStyle name="Normal 4 5 3 2 6_SSL" xfId="16876" xr:uid="{00000000-0005-0000-0000-0000533E0000}"/>
    <cellStyle name="Normal 4 5 3 2 7" xfId="5901" xr:uid="{00000000-0005-0000-0000-0000543E0000}"/>
    <cellStyle name="Normal 4 5 3 2 7 2" xfId="12539" xr:uid="{00000000-0005-0000-0000-0000553E0000}"/>
    <cellStyle name="Normal 4 5 3 2 7_SSL" xfId="17658" xr:uid="{00000000-0005-0000-0000-0000563E0000}"/>
    <cellStyle name="Normal 4 5 3 2 8" xfId="7681" xr:uid="{00000000-0005-0000-0000-0000573E0000}"/>
    <cellStyle name="Normal 4 5 3 2 9" xfId="6831" xr:uid="{00000000-0005-0000-0000-0000583E0000}"/>
    <cellStyle name="Normal 4 5 3 2_SSL" xfId="14088" xr:uid="{00000000-0005-0000-0000-0000593E0000}"/>
    <cellStyle name="Normal 4 5 3 3" xfId="1819" xr:uid="{00000000-0005-0000-0000-00005A3E0000}"/>
    <cellStyle name="Normal 4 5 3 3 2" xfId="8474" xr:uid="{00000000-0005-0000-0000-00005B3E0000}"/>
    <cellStyle name="Normal 4 5 3 3_SSL" xfId="16141" xr:uid="{00000000-0005-0000-0000-00005C3E0000}"/>
    <cellStyle name="Normal 4 5 3 4" xfId="2639" xr:uid="{00000000-0005-0000-0000-00005D3E0000}"/>
    <cellStyle name="Normal 4 5 3 4 2" xfId="9287" xr:uid="{00000000-0005-0000-0000-00005E3E0000}"/>
    <cellStyle name="Normal 4 5 3 4_SSL" xfId="13944" xr:uid="{00000000-0005-0000-0000-00005F3E0000}"/>
    <cellStyle name="Normal 4 5 3 5" xfId="3459" xr:uid="{00000000-0005-0000-0000-0000603E0000}"/>
    <cellStyle name="Normal 4 5 3 5 2" xfId="10104" xr:uid="{00000000-0005-0000-0000-0000613E0000}"/>
    <cellStyle name="Normal 4 5 3 5_SSL" xfId="16469" xr:uid="{00000000-0005-0000-0000-0000623E0000}"/>
    <cellStyle name="Normal 4 5 3 6" xfId="4279" xr:uid="{00000000-0005-0000-0000-0000633E0000}"/>
    <cellStyle name="Normal 4 5 3 6 2" xfId="10919" xr:uid="{00000000-0005-0000-0000-0000643E0000}"/>
    <cellStyle name="Normal 4 5 3 6_SSL" xfId="15147" xr:uid="{00000000-0005-0000-0000-0000653E0000}"/>
    <cellStyle name="Normal 4 5 3 7" xfId="5090" xr:uid="{00000000-0005-0000-0000-0000663E0000}"/>
    <cellStyle name="Normal 4 5 3 7 2" xfId="11729" xr:uid="{00000000-0005-0000-0000-0000673E0000}"/>
    <cellStyle name="Normal 4 5 3 7_SSL" xfId="15599" xr:uid="{00000000-0005-0000-0000-0000683E0000}"/>
    <cellStyle name="Normal 4 5 3 8" xfId="5900" xr:uid="{00000000-0005-0000-0000-0000693E0000}"/>
    <cellStyle name="Normal 4 5 3 8 2" xfId="12538" xr:uid="{00000000-0005-0000-0000-00006A3E0000}"/>
    <cellStyle name="Normal 4 5 3 8_SSL" xfId="14322" xr:uid="{00000000-0005-0000-0000-00006B3E0000}"/>
    <cellStyle name="Normal 4 5 3 9" xfId="7297" xr:uid="{00000000-0005-0000-0000-00006C3E0000}"/>
    <cellStyle name="Normal 4 5 3_SSL" xfId="13573" xr:uid="{00000000-0005-0000-0000-00006D3E0000}"/>
    <cellStyle name="Normal 4 5 4" xfId="488" xr:uid="{00000000-0005-0000-0000-00006E3E0000}"/>
    <cellStyle name="Normal 4 5 4 2" xfId="1821" xr:uid="{00000000-0005-0000-0000-00006F3E0000}"/>
    <cellStyle name="Normal 4 5 4 2 2" xfId="8476" xr:uid="{00000000-0005-0000-0000-0000703E0000}"/>
    <cellStyle name="Normal 4 5 4 2_SSL" xfId="13075" xr:uid="{00000000-0005-0000-0000-0000713E0000}"/>
    <cellStyle name="Normal 4 5 4 3" xfId="2641" xr:uid="{00000000-0005-0000-0000-0000723E0000}"/>
    <cellStyle name="Normal 4 5 4 3 2" xfId="9289" xr:uid="{00000000-0005-0000-0000-0000733E0000}"/>
    <cellStyle name="Normal 4 5 4 3_SSL" xfId="17648" xr:uid="{00000000-0005-0000-0000-0000743E0000}"/>
    <cellStyle name="Normal 4 5 4 4" xfId="3461" xr:uid="{00000000-0005-0000-0000-0000753E0000}"/>
    <cellStyle name="Normal 4 5 4 4 2" xfId="10106" xr:uid="{00000000-0005-0000-0000-0000763E0000}"/>
    <cellStyle name="Normal 4 5 4 4_SSL" xfId="13158" xr:uid="{00000000-0005-0000-0000-0000773E0000}"/>
    <cellStyle name="Normal 4 5 4 5" xfId="4281" xr:uid="{00000000-0005-0000-0000-0000783E0000}"/>
    <cellStyle name="Normal 4 5 4 5 2" xfId="10921" xr:uid="{00000000-0005-0000-0000-0000793E0000}"/>
    <cellStyle name="Normal 4 5 4 5_SSL" xfId="14331" xr:uid="{00000000-0005-0000-0000-00007A3E0000}"/>
    <cellStyle name="Normal 4 5 4 6" xfId="5092" xr:uid="{00000000-0005-0000-0000-00007B3E0000}"/>
    <cellStyle name="Normal 4 5 4 6 2" xfId="11731" xr:uid="{00000000-0005-0000-0000-00007C3E0000}"/>
    <cellStyle name="Normal 4 5 4 6_SSL" xfId="16127" xr:uid="{00000000-0005-0000-0000-00007D3E0000}"/>
    <cellStyle name="Normal 4 5 4 7" xfId="5902" xr:uid="{00000000-0005-0000-0000-00007E3E0000}"/>
    <cellStyle name="Normal 4 5 4 7 2" xfId="12540" xr:uid="{00000000-0005-0000-0000-00007F3E0000}"/>
    <cellStyle name="Normal 4 5 4 7_SSL" xfId="15543" xr:uid="{00000000-0005-0000-0000-0000803E0000}"/>
    <cellStyle name="Normal 4 5 4 8" xfId="7344" xr:uid="{00000000-0005-0000-0000-0000813E0000}"/>
    <cellStyle name="Normal 4 5 4 9" xfId="6832" xr:uid="{00000000-0005-0000-0000-0000823E0000}"/>
    <cellStyle name="Normal 4 5 4_SSL" xfId="14942" xr:uid="{00000000-0005-0000-0000-0000833E0000}"/>
    <cellStyle name="Normal 4 5 5" xfId="1814" xr:uid="{00000000-0005-0000-0000-0000843E0000}"/>
    <cellStyle name="Normal 4 5 5 2" xfId="8469" xr:uid="{00000000-0005-0000-0000-0000853E0000}"/>
    <cellStyle name="Normal 4 5 5_SSL" xfId="13727" xr:uid="{00000000-0005-0000-0000-0000863E0000}"/>
    <cellStyle name="Normal 4 5 6" xfId="2634" xr:uid="{00000000-0005-0000-0000-0000873E0000}"/>
    <cellStyle name="Normal 4 5 6 2" xfId="9282" xr:uid="{00000000-0005-0000-0000-0000883E0000}"/>
    <cellStyle name="Normal 4 5 6_SSL" xfId="16739" xr:uid="{00000000-0005-0000-0000-0000893E0000}"/>
    <cellStyle name="Normal 4 5 7" xfId="3454" xr:uid="{00000000-0005-0000-0000-00008A3E0000}"/>
    <cellStyle name="Normal 4 5 7 2" xfId="10099" xr:uid="{00000000-0005-0000-0000-00008B3E0000}"/>
    <cellStyle name="Normal 4 5 7_SSL" xfId="15550" xr:uid="{00000000-0005-0000-0000-00008C3E0000}"/>
    <cellStyle name="Normal 4 5 8" xfId="4274" xr:uid="{00000000-0005-0000-0000-00008D3E0000}"/>
    <cellStyle name="Normal 4 5 8 2" xfId="10914" xr:uid="{00000000-0005-0000-0000-00008E3E0000}"/>
    <cellStyle name="Normal 4 5 8_SSL" xfId="15008" xr:uid="{00000000-0005-0000-0000-00008F3E0000}"/>
    <cellStyle name="Normal 4 5 9" xfId="5085" xr:uid="{00000000-0005-0000-0000-0000903E0000}"/>
    <cellStyle name="Normal 4 5 9 2" xfId="11724" xr:uid="{00000000-0005-0000-0000-0000913E0000}"/>
    <cellStyle name="Normal 4 5 9_SSL" xfId="17492" xr:uid="{00000000-0005-0000-0000-0000923E0000}"/>
    <cellStyle name="Normal 4 5_SSL" xfId="12697" xr:uid="{00000000-0005-0000-0000-0000933E0000}"/>
    <cellStyle name="Normal 4 6" xfId="106" xr:uid="{00000000-0005-0000-0000-0000943E0000}"/>
    <cellStyle name="Normal 4 6 10" xfId="5903" xr:uid="{00000000-0005-0000-0000-0000953E0000}"/>
    <cellStyle name="Normal 4 6 10 2" xfId="12541" xr:uid="{00000000-0005-0000-0000-0000963E0000}"/>
    <cellStyle name="Normal 4 6 10_SSL" xfId="13515" xr:uid="{00000000-0005-0000-0000-0000973E0000}"/>
    <cellStyle name="Normal 4 6 11" xfId="6983" xr:uid="{00000000-0005-0000-0000-0000983E0000}"/>
    <cellStyle name="Normal 4 6 12" xfId="6833" xr:uid="{00000000-0005-0000-0000-0000993E0000}"/>
    <cellStyle name="Normal 4 6 2" xfId="202" xr:uid="{00000000-0005-0000-0000-00009A3E0000}"/>
    <cellStyle name="Normal 4 6 2 10" xfId="7079" xr:uid="{00000000-0005-0000-0000-00009B3E0000}"/>
    <cellStyle name="Normal 4 6 2 11" xfId="6834" xr:uid="{00000000-0005-0000-0000-00009C3E0000}"/>
    <cellStyle name="Normal 4 6 2 2" xfId="440" xr:uid="{00000000-0005-0000-0000-00009D3E0000}"/>
    <cellStyle name="Normal 4 6 2 2 10" xfId="6835" xr:uid="{00000000-0005-0000-0000-00009E3E0000}"/>
    <cellStyle name="Normal 4 6 2 2 2" xfId="828" xr:uid="{00000000-0005-0000-0000-00009F3E0000}"/>
    <cellStyle name="Normal 4 6 2 2 2 2" xfId="1825" xr:uid="{00000000-0005-0000-0000-0000A03E0000}"/>
    <cellStyle name="Normal 4 6 2 2 2 2 2" xfId="8480" xr:uid="{00000000-0005-0000-0000-0000A13E0000}"/>
    <cellStyle name="Normal 4 6 2 2 2 2_SSL" xfId="14939" xr:uid="{00000000-0005-0000-0000-0000A23E0000}"/>
    <cellStyle name="Normal 4 6 2 2 2 3" xfId="2645" xr:uid="{00000000-0005-0000-0000-0000A33E0000}"/>
    <cellStyle name="Normal 4 6 2 2 2 3 2" xfId="9293" xr:uid="{00000000-0005-0000-0000-0000A43E0000}"/>
    <cellStyle name="Normal 4 6 2 2 2 3_SSL" xfId="13816" xr:uid="{00000000-0005-0000-0000-0000A53E0000}"/>
    <cellStyle name="Normal 4 6 2 2 2 4" xfId="3465" xr:uid="{00000000-0005-0000-0000-0000A63E0000}"/>
    <cellStyle name="Normal 4 6 2 2 2 4 2" xfId="10110" xr:uid="{00000000-0005-0000-0000-0000A73E0000}"/>
    <cellStyle name="Normal 4 6 2 2 2 4_SSL" xfId="13194" xr:uid="{00000000-0005-0000-0000-0000A83E0000}"/>
    <cellStyle name="Normal 4 6 2 2 2 5" xfId="4285" xr:uid="{00000000-0005-0000-0000-0000A93E0000}"/>
    <cellStyle name="Normal 4 6 2 2 2 5 2" xfId="10925" xr:uid="{00000000-0005-0000-0000-0000AA3E0000}"/>
    <cellStyle name="Normal 4 6 2 2 2 5_SSL" xfId="13655" xr:uid="{00000000-0005-0000-0000-0000AB3E0000}"/>
    <cellStyle name="Normal 4 6 2 2 2 6" xfId="5096" xr:uid="{00000000-0005-0000-0000-0000AC3E0000}"/>
    <cellStyle name="Normal 4 6 2 2 2 6 2" xfId="11735" xr:uid="{00000000-0005-0000-0000-0000AD3E0000}"/>
    <cellStyle name="Normal 4 6 2 2 2 6_SSL" xfId="13813" xr:uid="{00000000-0005-0000-0000-0000AE3E0000}"/>
    <cellStyle name="Normal 4 6 2 2 2 7" xfId="5906" xr:uid="{00000000-0005-0000-0000-0000AF3E0000}"/>
    <cellStyle name="Normal 4 6 2 2 2 7 2" xfId="12544" xr:uid="{00000000-0005-0000-0000-0000B03E0000}"/>
    <cellStyle name="Normal 4 6 2 2 2 7_SSL" xfId="13274" xr:uid="{00000000-0005-0000-0000-0000B13E0000}"/>
    <cellStyle name="Normal 4 6 2 2 2 8" xfId="7684" xr:uid="{00000000-0005-0000-0000-0000B23E0000}"/>
    <cellStyle name="Normal 4 6 2 2 2 9" xfId="6836" xr:uid="{00000000-0005-0000-0000-0000B33E0000}"/>
    <cellStyle name="Normal 4 6 2 2 2_SSL" xfId="17913" xr:uid="{00000000-0005-0000-0000-0000B43E0000}"/>
    <cellStyle name="Normal 4 6 2 2 3" xfId="1824" xr:uid="{00000000-0005-0000-0000-0000B53E0000}"/>
    <cellStyle name="Normal 4 6 2 2 3 2" xfId="8479" xr:uid="{00000000-0005-0000-0000-0000B63E0000}"/>
    <cellStyle name="Normal 4 6 2 2 3_SSL" xfId="17942" xr:uid="{00000000-0005-0000-0000-0000B73E0000}"/>
    <cellStyle name="Normal 4 6 2 2 4" xfId="2644" xr:uid="{00000000-0005-0000-0000-0000B83E0000}"/>
    <cellStyle name="Normal 4 6 2 2 4 2" xfId="9292" xr:uid="{00000000-0005-0000-0000-0000B93E0000}"/>
    <cellStyle name="Normal 4 6 2 2 4_SSL" xfId="14725" xr:uid="{00000000-0005-0000-0000-0000BA3E0000}"/>
    <cellStyle name="Normal 4 6 2 2 5" xfId="3464" xr:uid="{00000000-0005-0000-0000-0000BB3E0000}"/>
    <cellStyle name="Normal 4 6 2 2 5 2" xfId="10109" xr:uid="{00000000-0005-0000-0000-0000BC3E0000}"/>
    <cellStyle name="Normal 4 6 2 2 5_SSL" xfId="17998" xr:uid="{00000000-0005-0000-0000-0000BD3E0000}"/>
    <cellStyle name="Normal 4 6 2 2 6" xfId="4284" xr:uid="{00000000-0005-0000-0000-0000BE3E0000}"/>
    <cellStyle name="Normal 4 6 2 2 6 2" xfId="10924" xr:uid="{00000000-0005-0000-0000-0000BF3E0000}"/>
    <cellStyle name="Normal 4 6 2 2 6_SSL" xfId="13721" xr:uid="{00000000-0005-0000-0000-0000C03E0000}"/>
    <cellStyle name="Normal 4 6 2 2 7" xfId="5095" xr:uid="{00000000-0005-0000-0000-0000C13E0000}"/>
    <cellStyle name="Normal 4 6 2 2 7 2" xfId="11734" xr:uid="{00000000-0005-0000-0000-0000C23E0000}"/>
    <cellStyle name="Normal 4 6 2 2 7_SSL" xfId="16803" xr:uid="{00000000-0005-0000-0000-0000C33E0000}"/>
    <cellStyle name="Normal 4 6 2 2 8" xfId="5905" xr:uid="{00000000-0005-0000-0000-0000C43E0000}"/>
    <cellStyle name="Normal 4 6 2 2 8 2" xfId="12543" xr:uid="{00000000-0005-0000-0000-0000C53E0000}"/>
    <cellStyle name="Normal 4 6 2 2 8_SSL" xfId="14409" xr:uid="{00000000-0005-0000-0000-0000C63E0000}"/>
    <cellStyle name="Normal 4 6 2 2 9" xfId="7300" xr:uid="{00000000-0005-0000-0000-0000C73E0000}"/>
    <cellStyle name="Normal 4 6 2 2_SSL" xfId="15622" xr:uid="{00000000-0005-0000-0000-0000C83E0000}"/>
    <cellStyle name="Normal 4 6 2 3" xfId="607" xr:uid="{00000000-0005-0000-0000-0000C93E0000}"/>
    <cellStyle name="Normal 4 6 2 3 2" xfId="1826" xr:uid="{00000000-0005-0000-0000-0000CA3E0000}"/>
    <cellStyle name="Normal 4 6 2 3 2 2" xfId="8481" xr:uid="{00000000-0005-0000-0000-0000CB3E0000}"/>
    <cellStyle name="Normal 4 6 2 3 2_SSL" xfId="17046" xr:uid="{00000000-0005-0000-0000-0000CC3E0000}"/>
    <cellStyle name="Normal 4 6 2 3 3" xfId="2646" xr:uid="{00000000-0005-0000-0000-0000CD3E0000}"/>
    <cellStyle name="Normal 4 6 2 3 3 2" xfId="9294" xr:uid="{00000000-0005-0000-0000-0000CE3E0000}"/>
    <cellStyle name="Normal 4 6 2 3 3_SSL" xfId="14841" xr:uid="{00000000-0005-0000-0000-0000CF3E0000}"/>
    <cellStyle name="Normal 4 6 2 3 4" xfId="3466" xr:uid="{00000000-0005-0000-0000-0000D03E0000}"/>
    <cellStyle name="Normal 4 6 2 3 4 2" xfId="10111" xr:uid="{00000000-0005-0000-0000-0000D13E0000}"/>
    <cellStyle name="Normal 4 6 2 3 4_SSL" xfId="15289" xr:uid="{00000000-0005-0000-0000-0000D23E0000}"/>
    <cellStyle name="Normal 4 6 2 3 5" xfId="4286" xr:uid="{00000000-0005-0000-0000-0000D33E0000}"/>
    <cellStyle name="Normal 4 6 2 3 5 2" xfId="10926" xr:uid="{00000000-0005-0000-0000-0000D43E0000}"/>
    <cellStyle name="Normal 4 6 2 3 5_SSL" xfId="16070" xr:uid="{00000000-0005-0000-0000-0000D53E0000}"/>
    <cellStyle name="Normal 4 6 2 3 6" xfId="5097" xr:uid="{00000000-0005-0000-0000-0000D63E0000}"/>
    <cellStyle name="Normal 4 6 2 3 6 2" xfId="11736" xr:uid="{00000000-0005-0000-0000-0000D73E0000}"/>
    <cellStyle name="Normal 4 6 2 3 6_SSL" xfId="17972" xr:uid="{00000000-0005-0000-0000-0000D83E0000}"/>
    <cellStyle name="Normal 4 6 2 3 7" xfId="5907" xr:uid="{00000000-0005-0000-0000-0000D93E0000}"/>
    <cellStyle name="Normal 4 6 2 3 7 2" xfId="12545" xr:uid="{00000000-0005-0000-0000-0000DA3E0000}"/>
    <cellStyle name="Normal 4 6 2 3 7_SSL" xfId="13447" xr:uid="{00000000-0005-0000-0000-0000DB3E0000}"/>
    <cellStyle name="Normal 4 6 2 3 8" xfId="7463" xr:uid="{00000000-0005-0000-0000-0000DC3E0000}"/>
    <cellStyle name="Normal 4 6 2 3 9" xfId="6837" xr:uid="{00000000-0005-0000-0000-0000DD3E0000}"/>
    <cellStyle name="Normal 4 6 2 3_SSL" xfId="15966" xr:uid="{00000000-0005-0000-0000-0000DE3E0000}"/>
    <cellStyle name="Normal 4 6 2 4" xfId="1823" xr:uid="{00000000-0005-0000-0000-0000DF3E0000}"/>
    <cellStyle name="Normal 4 6 2 4 2" xfId="8478" xr:uid="{00000000-0005-0000-0000-0000E03E0000}"/>
    <cellStyle name="Normal 4 6 2 4_SSL" xfId="17124" xr:uid="{00000000-0005-0000-0000-0000E13E0000}"/>
    <cellStyle name="Normal 4 6 2 5" xfId="2643" xr:uid="{00000000-0005-0000-0000-0000E23E0000}"/>
    <cellStyle name="Normal 4 6 2 5 2" xfId="9291" xr:uid="{00000000-0005-0000-0000-0000E33E0000}"/>
    <cellStyle name="Normal 4 6 2 5_SSL" xfId="16444" xr:uid="{00000000-0005-0000-0000-0000E43E0000}"/>
    <cellStyle name="Normal 4 6 2 6" xfId="3463" xr:uid="{00000000-0005-0000-0000-0000E53E0000}"/>
    <cellStyle name="Normal 4 6 2 6 2" xfId="10108" xr:uid="{00000000-0005-0000-0000-0000E63E0000}"/>
    <cellStyle name="Normal 4 6 2 6_SSL" xfId="17718" xr:uid="{00000000-0005-0000-0000-0000E73E0000}"/>
    <cellStyle name="Normal 4 6 2 7" xfId="4283" xr:uid="{00000000-0005-0000-0000-0000E83E0000}"/>
    <cellStyle name="Normal 4 6 2 7 2" xfId="10923" xr:uid="{00000000-0005-0000-0000-0000E93E0000}"/>
    <cellStyle name="Normal 4 6 2 7_SSL" xfId="17207" xr:uid="{00000000-0005-0000-0000-0000EA3E0000}"/>
    <cellStyle name="Normal 4 6 2 8" xfId="5094" xr:uid="{00000000-0005-0000-0000-0000EB3E0000}"/>
    <cellStyle name="Normal 4 6 2 8 2" xfId="11733" xr:uid="{00000000-0005-0000-0000-0000EC3E0000}"/>
    <cellStyle name="Normal 4 6 2 8_SSL" xfId="6711" xr:uid="{00000000-0005-0000-0000-0000ED3E0000}"/>
    <cellStyle name="Normal 4 6 2 9" xfId="5904" xr:uid="{00000000-0005-0000-0000-0000EE3E0000}"/>
    <cellStyle name="Normal 4 6 2 9 2" xfId="12542" xr:uid="{00000000-0005-0000-0000-0000EF3E0000}"/>
    <cellStyle name="Normal 4 6 2 9_SSL" xfId="17490" xr:uid="{00000000-0005-0000-0000-0000F03E0000}"/>
    <cellStyle name="Normal 4 6 2_SSL" xfId="15792" xr:uid="{00000000-0005-0000-0000-0000F13E0000}"/>
    <cellStyle name="Normal 4 6 3" xfId="439" xr:uid="{00000000-0005-0000-0000-0000F23E0000}"/>
    <cellStyle name="Normal 4 6 3 10" xfId="6838" xr:uid="{00000000-0005-0000-0000-0000F33E0000}"/>
    <cellStyle name="Normal 4 6 3 2" xfId="827" xr:uid="{00000000-0005-0000-0000-0000F43E0000}"/>
    <cellStyle name="Normal 4 6 3 2 2" xfId="1828" xr:uid="{00000000-0005-0000-0000-0000F53E0000}"/>
    <cellStyle name="Normal 4 6 3 2 2 2" xfId="8483" xr:uid="{00000000-0005-0000-0000-0000F63E0000}"/>
    <cellStyle name="Normal 4 6 3 2 2_SSL" xfId="13497" xr:uid="{00000000-0005-0000-0000-0000F73E0000}"/>
    <cellStyle name="Normal 4 6 3 2 3" xfId="2648" xr:uid="{00000000-0005-0000-0000-0000F83E0000}"/>
    <cellStyle name="Normal 4 6 3 2 3 2" xfId="9296" xr:uid="{00000000-0005-0000-0000-0000F93E0000}"/>
    <cellStyle name="Normal 4 6 3 2 3_SSL" xfId="15910" xr:uid="{00000000-0005-0000-0000-0000FA3E0000}"/>
    <cellStyle name="Normal 4 6 3 2 4" xfId="3468" xr:uid="{00000000-0005-0000-0000-0000FB3E0000}"/>
    <cellStyle name="Normal 4 6 3 2 4 2" xfId="10113" xr:uid="{00000000-0005-0000-0000-0000FC3E0000}"/>
    <cellStyle name="Normal 4 6 3 2 4_SSL" xfId="14513" xr:uid="{00000000-0005-0000-0000-0000FD3E0000}"/>
    <cellStyle name="Normal 4 6 3 2 5" xfId="4288" xr:uid="{00000000-0005-0000-0000-0000FE3E0000}"/>
    <cellStyle name="Normal 4 6 3 2 5 2" xfId="10928" xr:uid="{00000000-0005-0000-0000-0000FF3E0000}"/>
    <cellStyle name="Normal 4 6 3 2 5_SSL" xfId="14112" xr:uid="{00000000-0005-0000-0000-0000003F0000}"/>
    <cellStyle name="Normal 4 6 3 2 6" xfId="5099" xr:uid="{00000000-0005-0000-0000-0000013F0000}"/>
    <cellStyle name="Normal 4 6 3 2 6 2" xfId="11738" xr:uid="{00000000-0005-0000-0000-0000023F0000}"/>
    <cellStyle name="Normal 4 6 3 2 6_SSL" xfId="14890" xr:uid="{00000000-0005-0000-0000-0000033F0000}"/>
    <cellStyle name="Normal 4 6 3 2 7" xfId="5909" xr:uid="{00000000-0005-0000-0000-0000043F0000}"/>
    <cellStyle name="Normal 4 6 3 2 7 2" xfId="12547" xr:uid="{00000000-0005-0000-0000-0000053F0000}"/>
    <cellStyle name="Normal 4 6 3 2 7_SSL" xfId="15170" xr:uid="{00000000-0005-0000-0000-0000063F0000}"/>
    <cellStyle name="Normal 4 6 3 2 8" xfId="7683" xr:uid="{00000000-0005-0000-0000-0000073F0000}"/>
    <cellStyle name="Normal 4 6 3 2 9" xfId="6839" xr:uid="{00000000-0005-0000-0000-0000083F0000}"/>
    <cellStyle name="Normal 4 6 3 2_SSL" xfId="16616" xr:uid="{00000000-0005-0000-0000-0000093F0000}"/>
    <cellStyle name="Normal 4 6 3 3" xfId="1827" xr:uid="{00000000-0005-0000-0000-00000A3F0000}"/>
    <cellStyle name="Normal 4 6 3 3 2" xfId="8482" xr:uid="{00000000-0005-0000-0000-00000B3F0000}"/>
    <cellStyle name="Normal 4 6 3 3_SSL" xfId="16680" xr:uid="{00000000-0005-0000-0000-00000C3F0000}"/>
    <cellStyle name="Normal 4 6 3 4" xfId="2647" xr:uid="{00000000-0005-0000-0000-00000D3F0000}"/>
    <cellStyle name="Normal 4 6 3 4 2" xfId="9295" xr:uid="{00000000-0005-0000-0000-00000E3F0000}"/>
    <cellStyle name="Normal 4 6 3 4_SSL" xfId="13460" xr:uid="{00000000-0005-0000-0000-00000F3F0000}"/>
    <cellStyle name="Normal 4 6 3 5" xfId="3467" xr:uid="{00000000-0005-0000-0000-0000103F0000}"/>
    <cellStyle name="Normal 4 6 3 5 2" xfId="10112" xr:uid="{00000000-0005-0000-0000-0000113F0000}"/>
    <cellStyle name="Normal 4 6 3 5_SSL" xfId="15735" xr:uid="{00000000-0005-0000-0000-0000123F0000}"/>
    <cellStyle name="Normal 4 6 3 6" xfId="4287" xr:uid="{00000000-0005-0000-0000-0000133F0000}"/>
    <cellStyle name="Normal 4 6 3 6 2" xfId="10927" xr:uid="{00000000-0005-0000-0000-0000143F0000}"/>
    <cellStyle name="Normal 4 6 3 6_SSL" xfId="13709" xr:uid="{00000000-0005-0000-0000-0000153F0000}"/>
    <cellStyle name="Normal 4 6 3 7" xfId="5098" xr:uid="{00000000-0005-0000-0000-0000163F0000}"/>
    <cellStyle name="Normal 4 6 3 7 2" xfId="11737" xr:uid="{00000000-0005-0000-0000-0000173F0000}"/>
    <cellStyle name="Normal 4 6 3 7_SSL" xfId="13224" xr:uid="{00000000-0005-0000-0000-0000183F0000}"/>
    <cellStyle name="Normal 4 6 3 8" xfId="5908" xr:uid="{00000000-0005-0000-0000-0000193F0000}"/>
    <cellStyle name="Normal 4 6 3 8 2" xfId="12546" xr:uid="{00000000-0005-0000-0000-00001A3F0000}"/>
    <cellStyle name="Normal 4 6 3 8_SSL" xfId="12914" xr:uid="{00000000-0005-0000-0000-00001B3F0000}"/>
    <cellStyle name="Normal 4 6 3 9" xfId="7299" xr:uid="{00000000-0005-0000-0000-00001C3F0000}"/>
    <cellStyle name="Normal 4 6 3_SSL" xfId="14036" xr:uid="{00000000-0005-0000-0000-00001D3F0000}"/>
    <cellStyle name="Normal 4 6 4" xfId="511" xr:uid="{00000000-0005-0000-0000-00001E3F0000}"/>
    <cellStyle name="Normal 4 6 4 2" xfId="1829" xr:uid="{00000000-0005-0000-0000-00001F3F0000}"/>
    <cellStyle name="Normal 4 6 4 2 2" xfId="8484" xr:uid="{00000000-0005-0000-0000-0000203F0000}"/>
    <cellStyle name="Normal 4 6 4 2_SSL" xfId="12762" xr:uid="{00000000-0005-0000-0000-0000213F0000}"/>
    <cellStyle name="Normal 4 6 4 3" xfId="2649" xr:uid="{00000000-0005-0000-0000-0000223F0000}"/>
    <cellStyle name="Normal 4 6 4 3 2" xfId="9297" xr:uid="{00000000-0005-0000-0000-0000233F0000}"/>
    <cellStyle name="Normal 4 6 4 3_SSL" xfId="16685" xr:uid="{00000000-0005-0000-0000-0000243F0000}"/>
    <cellStyle name="Normal 4 6 4 4" xfId="3469" xr:uid="{00000000-0005-0000-0000-0000253F0000}"/>
    <cellStyle name="Normal 4 6 4 4 2" xfId="10114" xr:uid="{00000000-0005-0000-0000-0000263F0000}"/>
    <cellStyle name="Normal 4 6 4 4_SSL" xfId="17935" xr:uid="{00000000-0005-0000-0000-0000273F0000}"/>
    <cellStyle name="Normal 4 6 4 5" xfId="4289" xr:uid="{00000000-0005-0000-0000-0000283F0000}"/>
    <cellStyle name="Normal 4 6 4 5 2" xfId="10929" xr:uid="{00000000-0005-0000-0000-0000293F0000}"/>
    <cellStyle name="Normal 4 6 4 5_SSL" xfId="16466" xr:uid="{00000000-0005-0000-0000-00002A3F0000}"/>
    <cellStyle name="Normal 4 6 4 6" xfId="5100" xr:uid="{00000000-0005-0000-0000-00002B3F0000}"/>
    <cellStyle name="Normal 4 6 4 6 2" xfId="11739" xr:uid="{00000000-0005-0000-0000-00002C3F0000}"/>
    <cellStyle name="Normal 4 6 4 6_SSL" xfId="13098" xr:uid="{00000000-0005-0000-0000-00002D3F0000}"/>
    <cellStyle name="Normal 4 6 4 7" xfId="5910" xr:uid="{00000000-0005-0000-0000-00002E3F0000}"/>
    <cellStyle name="Normal 4 6 4 7 2" xfId="12548" xr:uid="{00000000-0005-0000-0000-00002F3F0000}"/>
    <cellStyle name="Normal 4 6 4 7_SSL" xfId="17532" xr:uid="{00000000-0005-0000-0000-0000303F0000}"/>
    <cellStyle name="Normal 4 6 4 8" xfId="7367" xr:uid="{00000000-0005-0000-0000-0000313F0000}"/>
    <cellStyle name="Normal 4 6 4 9" xfId="6840" xr:uid="{00000000-0005-0000-0000-0000323F0000}"/>
    <cellStyle name="Normal 4 6 4_SSL" xfId="16703" xr:uid="{00000000-0005-0000-0000-0000333F0000}"/>
    <cellStyle name="Normal 4 6 5" xfId="1822" xr:uid="{00000000-0005-0000-0000-0000343F0000}"/>
    <cellStyle name="Normal 4 6 5 2" xfId="8477" xr:uid="{00000000-0005-0000-0000-0000353F0000}"/>
    <cellStyle name="Normal 4 6 5_SSL" xfId="14861" xr:uid="{00000000-0005-0000-0000-0000363F0000}"/>
    <cellStyle name="Normal 4 6 6" xfId="2642" xr:uid="{00000000-0005-0000-0000-0000373F0000}"/>
    <cellStyle name="Normal 4 6 6 2" xfId="9290" xr:uid="{00000000-0005-0000-0000-0000383F0000}"/>
    <cellStyle name="Normal 4 6 6_SSL" xfId="13094" xr:uid="{00000000-0005-0000-0000-0000393F0000}"/>
    <cellStyle name="Normal 4 6 7" xfId="3462" xr:uid="{00000000-0005-0000-0000-00003A3F0000}"/>
    <cellStyle name="Normal 4 6 7 2" xfId="10107" xr:uid="{00000000-0005-0000-0000-00003B3F0000}"/>
    <cellStyle name="Normal 4 6 7_SSL" xfId="13657" xr:uid="{00000000-0005-0000-0000-00003C3F0000}"/>
    <cellStyle name="Normal 4 6 8" xfId="4282" xr:uid="{00000000-0005-0000-0000-00003D3F0000}"/>
    <cellStyle name="Normal 4 6 8 2" xfId="10922" xr:uid="{00000000-0005-0000-0000-00003E3F0000}"/>
    <cellStyle name="Normal 4 6 8_SSL" xfId="15144" xr:uid="{00000000-0005-0000-0000-00003F3F0000}"/>
    <cellStyle name="Normal 4 6 9" xfId="5093" xr:uid="{00000000-0005-0000-0000-0000403F0000}"/>
    <cellStyle name="Normal 4 6 9 2" xfId="11732" xr:uid="{00000000-0005-0000-0000-0000413F0000}"/>
    <cellStyle name="Normal 4 6 9_SSL" xfId="12965" xr:uid="{00000000-0005-0000-0000-0000423F0000}"/>
    <cellStyle name="Normal 4 6_SSL" xfId="16330" xr:uid="{00000000-0005-0000-0000-0000433F0000}"/>
    <cellStyle name="Normal 4 7" xfId="131" xr:uid="{00000000-0005-0000-0000-0000443F0000}"/>
    <cellStyle name="Normal 4 7 10" xfId="7008" xr:uid="{00000000-0005-0000-0000-0000453F0000}"/>
    <cellStyle name="Normal 4 7 11" xfId="6841" xr:uid="{00000000-0005-0000-0000-0000463F0000}"/>
    <cellStyle name="Normal 4 7 2" xfId="441" xr:uid="{00000000-0005-0000-0000-0000473F0000}"/>
    <cellStyle name="Normal 4 7 2 10" xfId="6842" xr:uid="{00000000-0005-0000-0000-0000483F0000}"/>
    <cellStyle name="Normal 4 7 2 2" xfId="829" xr:uid="{00000000-0005-0000-0000-0000493F0000}"/>
    <cellStyle name="Normal 4 7 2 2 2" xfId="1832" xr:uid="{00000000-0005-0000-0000-00004A3F0000}"/>
    <cellStyle name="Normal 4 7 2 2 2 2" xfId="8487" xr:uid="{00000000-0005-0000-0000-00004B3F0000}"/>
    <cellStyle name="Normal 4 7 2 2 2_SSL" xfId="17006" xr:uid="{00000000-0005-0000-0000-00004C3F0000}"/>
    <cellStyle name="Normal 4 7 2 2 3" xfId="2652" xr:uid="{00000000-0005-0000-0000-00004D3F0000}"/>
    <cellStyle name="Normal 4 7 2 2 3 2" xfId="9300" xr:uid="{00000000-0005-0000-0000-00004E3F0000}"/>
    <cellStyle name="Normal 4 7 2 2 3_SSL" xfId="13759" xr:uid="{00000000-0005-0000-0000-00004F3F0000}"/>
    <cellStyle name="Normal 4 7 2 2 4" xfId="3472" xr:uid="{00000000-0005-0000-0000-0000503F0000}"/>
    <cellStyle name="Normal 4 7 2 2 4 2" xfId="10117" xr:uid="{00000000-0005-0000-0000-0000513F0000}"/>
    <cellStyle name="Normal 4 7 2 2 4_SSL" xfId="17566" xr:uid="{00000000-0005-0000-0000-0000523F0000}"/>
    <cellStyle name="Normal 4 7 2 2 5" xfId="4292" xr:uid="{00000000-0005-0000-0000-0000533F0000}"/>
    <cellStyle name="Normal 4 7 2 2 5 2" xfId="10932" xr:uid="{00000000-0005-0000-0000-0000543F0000}"/>
    <cellStyle name="Normal 4 7 2 2 5_SSL" xfId="13839" xr:uid="{00000000-0005-0000-0000-0000553F0000}"/>
    <cellStyle name="Normal 4 7 2 2 6" xfId="5103" xr:uid="{00000000-0005-0000-0000-0000563F0000}"/>
    <cellStyle name="Normal 4 7 2 2 6 2" xfId="11742" xr:uid="{00000000-0005-0000-0000-0000573F0000}"/>
    <cellStyle name="Normal 4 7 2 2 6_SSL" xfId="17356" xr:uid="{00000000-0005-0000-0000-0000583F0000}"/>
    <cellStyle name="Normal 4 7 2 2 7" xfId="5913" xr:uid="{00000000-0005-0000-0000-0000593F0000}"/>
    <cellStyle name="Normal 4 7 2 2 7 2" xfId="12551" xr:uid="{00000000-0005-0000-0000-00005A3F0000}"/>
    <cellStyle name="Normal 4 7 2 2 7_SSL" xfId="14500" xr:uid="{00000000-0005-0000-0000-00005B3F0000}"/>
    <cellStyle name="Normal 4 7 2 2 8" xfId="7685" xr:uid="{00000000-0005-0000-0000-00005C3F0000}"/>
    <cellStyle name="Normal 4 7 2 2 9" xfId="6843" xr:uid="{00000000-0005-0000-0000-00005D3F0000}"/>
    <cellStyle name="Normal 4 7 2 2_SSL" xfId="17813" xr:uid="{00000000-0005-0000-0000-00005E3F0000}"/>
    <cellStyle name="Normal 4 7 2 3" xfId="1831" xr:uid="{00000000-0005-0000-0000-00005F3F0000}"/>
    <cellStyle name="Normal 4 7 2 3 2" xfId="8486" xr:uid="{00000000-0005-0000-0000-0000603F0000}"/>
    <cellStyle name="Normal 4 7 2 3_SSL" xfId="15348" xr:uid="{00000000-0005-0000-0000-0000613F0000}"/>
    <cellStyle name="Normal 4 7 2 4" xfId="2651" xr:uid="{00000000-0005-0000-0000-0000623F0000}"/>
    <cellStyle name="Normal 4 7 2 4 2" xfId="9299" xr:uid="{00000000-0005-0000-0000-0000633F0000}"/>
    <cellStyle name="Normal 4 7 2 4_SSL" xfId="15485" xr:uid="{00000000-0005-0000-0000-0000643F0000}"/>
    <cellStyle name="Normal 4 7 2 5" xfId="3471" xr:uid="{00000000-0005-0000-0000-0000653F0000}"/>
    <cellStyle name="Normal 4 7 2 5 2" xfId="10116" xr:uid="{00000000-0005-0000-0000-0000663F0000}"/>
    <cellStyle name="Normal 4 7 2 5_SSL" xfId="14644" xr:uid="{00000000-0005-0000-0000-0000673F0000}"/>
    <cellStyle name="Normal 4 7 2 6" xfId="4291" xr:uid="{00000000-0005-0000-0000-0000683F0000}"/>
    <cellStyle name="Normal 4 7 2 6 2" xfId="10931" xr:uid="{00000000-0005-0000-0000-0000693F0000}"/>
    <cellStyle name="Normal 4 7 2 6_SSL" xfId="16569" xr:uid="{00000000-0005-0000-0000-00006A3F0000}"/>
    <cellStyle name="Normal 4 7 2 7" xfId="5102" xr:uid="{00000000-0005-0000-0000-00006B3F0000}"/>
    <cellStyle name="Normal 4 7 2 7 2" xfId="11741" xr:uid="{00000000-0005-0000-0000-00006C3F0000}"/>
    <cellStyle name="Normal 4 7 2 7_SSL" xfId="13084" xr:uid="{00000000-0005-0000-0000-00006D3F0000}"/>
    <cellStyle name="Normal 4 7 2 8" xfId="5912" xr:uid="{00000000-0005-0000-0000-00006E3F0000}"/>
    <cellStyle name="Normal 4 7 2 8 2" xfId="12550" xr:uid="{00000000-0005-0000-0000-00006F3F0000}"/>
    <cellStyle name="Normal 4 7 2 8_SSL" xfId="17938" xr:uid="{00000000-0005-0000-0000-0000703F0000}"/>
    <cellStyle name="Normal 4 7 2 9" xfId="7301" xr:uid="{00000000-0005-0000-0000-0000713F0000}"/>
    <cellStyle name="Normal 4 7 2_SSL" xfId="16728" xr:uid="{00000000-0005-0000-0000-0000723F0000}"/>
    <cellStyle name="Normal 4 7 3" xfId="536" xr:uid="{00000000-0005-0000-0000-0000733F0000}"/>
    <cellStyle name="Normal 4 7 3 2" xfId="1833" xr:uid="{00000000-0005-0000-0000-0000743F0000}"/>
    <cellStyle name="Normal 4 7 3 2 2" xfId="8488" xr:uid="{00000000-0005-0000-0000-0000753F0000}"/>
    <cellStyle name="Normal 4 7 3 2_SSL" xfId="14958" xr:uid="{00000000-0005-0000-0000-0000763F0000}"/>
    <cellStyle name="Normal 4 7 3 3" xfId="2653" xr:uid="{00000000-0005-0000-0000-0000773F0000}"/>
    <cellStyle name="Normal 4 7 3 3 2" xfId="9301" xr:uid="{00000000-0005-0000-0000-0000783F0000}"/>
    <cellStyle name="Normal 4 7 3 3_SSL" xfId="15309" xr:uid="{00000000-0005-0000-0000-0000793F0000}"/>
    <cellStyle name="Normal 4 7 3 4" xfId="3473" xr:uid="{00000000-0005-0000-0000-00007A3F0000}"/>
    <cellStyle name="Normal 4 7 3 4 2" xfId="10118" xr:uid="{00000000-0005-0000-0000-00007B3F0000}"/>
    <cellStyle name="Normal 4 7 3 4_SSL" xfId="14546" xr:uid="{00000000-0005-0000-0000-00007C3F0000}"/>
    <cellStyle name="Normal 4 7 3 5" xfId="4293" xr:uid="{00000000-0005-0000-0000-00007D3F0000}"/>
    <cellStyle name="Normal 4 7 3 5 2" xfId="10933" xr:uid="{00000000-0005-0000-0000-00007E3F0000}"/>
    <cellStyle name="Normal 4 7 3 5_SSL" xfId="14743" xr:uid="{00000000-0005-0000-0000-00007F3F0000}"/>
    <cellStyle name="Normal 4 7 3 6" xfId="5104" xr:uid="{00000000-0005-0000-0000-0000803F0000}"/>
    <cellStyle name="Normal 4 7 3 6 2" xfId="11743" xr:uid="{00000000-0005-0000-0000-0000813F0000}"/>
    <cellStyle name="Normal 4 7 3 6_SSL" xfId="14934" xr:uid="{00000000-0005-0000-0000-0000823F0000}"/>
    <cellStyle name="Normal 4 7 3 7" xfId="5914" xr:uid="{00000000-0005-0000-0000-0000833F0000}"/>
    <cellStyle name="Normal 4 7 3 7 2" xfId="12552" xr:uid="{00000000-0005-0000-0000-0000843F0000}"/>
    <cellStyle name="Normal 4 7 3 7_SSL" xfId="13864" xr:uid="{00000000-0005-0000-0000-0000853F0000}"/>
    <cellStyle name="Normal 4 7 3 8" xfId="7392" xr:uid="{00000000-0005-0000-0000-0000863F0000}"/>
    <cellStyle name="Normal 4 7 3 9" xfId="6844" xr:uid="{00000000-0005-0000-0000-0000873F0000}"/>
    <cellStyle name="Normal 4 7 3_SSL" xfId="17544" xr:uid="{00000000-0005-0000-0000-0000883F0000}"/>
    <cellStyle name="Normal 4 7 4" xfId="1830" xr:uid="{00000000-0005-0000-0000-0000893F0000}"/>
    <cellStyle name="Normal 4 7 4 2" xfId="8485" xr:uid="{00000000-0005-0000-0000-00008A3F0000}"/>
    <cellStyle name="Normal 4 7 4_SSL" xfId="14150" xr:uid="{00000000-0005-0000-0000-00008B3F0000}"/>
    <cellStyle name="Normal 4 7 5" xfId="2650" xr:uid="{00000000-0005-0000-0000-00008C3F0000}"/>
    <cellStyle name="Normal 4 7 5 2" xfId="9298" xr:uid="{00000000-0005-0000-0000-00008D3F0000}"/>
    <cellStyle name="Normal 4 7 5_SSL" xfId="14637" xr:uid="{00000000-0005-0000-0000-00008E3F0000}"/>
    <cellStyle name="Normal 4 7 6" xfId="3470" xr:uid="{00000000-0005-0000-0000-00008F3F0000}"/>
    <cellStyle name="Normal 4 7 6 2" xfId="10115" xr:uid="{00000000-0005-0000-0000-0000903F0000}"/>
    <cellStyle name="Normal 4 7 6_SSL" xfId="14547" xr:uid="{00000000-0005-0000-0000-0000913F0000}"/>
    <cellStyle name="Normal 4 7 7" xfId="4290" xr:uid="{00000000-0005-0000-0000-0000923F0000}"/>
    <cellStyle name="Normal 4 7 7 2" xfId="10930" xr:uid="{00000000-0005-0000-0000-0000933F0000}"/>
    <cellStyle name="Normal 4 7 7_SSL" xfId="13074" xr:uid="{00000000-0005-0000-0000-0000943F0000}"/>
    <cellStyle name="Normal 4 7 8" xfId="5101" xr:uid="{00000000-0005-0000-0000-0000953F0000}"/>
    <cellStyle name="Normal 4 7 8 2" xfId="11740" xr:uid="{00000000-0005-0000-0000-0000963F0000}"/>
    <cellStyle name="Normal 4 7 8_SSL" xfId="17682" xr:uid="{00000000-0005-0000-0000-0000973F0000}"/>
    <cellStyle name="Normal 4 7 9" xfId="5911" xr:uid="{00000000-0005-0000-0000-0000983F0000}"/>
    <cellStyle name="Normal 4 7 9 2" xfId="12549" xr:uid="{00000000-0005-0000-0000-0000993F0000}"/>
    <cellStyle name="Normal 4 7 9_SSL" xfId="13218" xr:uid="{00000000-0005-0000-0000-00009A3F0000}"/>
    <cellStyle name="Normal 4 7_SSL" xfId="17392" xr:uid="{00000000-0005-0000-0000-00009B3F0000}"/>
    <cellStyle name="Normal 4 8" xfId="227" xr:uid="{00000000-0005-0000-0000-00009C3F0000}"/>
    <cellStyle name="Normal 4 8 10" xfId="7104" xr:uid="{00000000-0005-0000-0000-00009D3F0000}"/>
    <cellStyle name="Normal 4 8 11" xfId="6845" xr:uid="{00000000-0005-0000-0000-00009E3F0000}"/>
    <cellStyle name="Normal 4 8 2" xfId="442" xr:uid="{00000000-0005-0000-0000-00009F3F0000}"/>
    <cellStyle name="Normal 4 8 2 10" xfId="6846" xr:uid="{00000000-0005-0000-0000-0000A03F0000}"/>
    <cellStyle name="Normal 4 8 2 2" xfId="830" xr:uid="{00000000-0005-0000-0000-0000A13F0000}"/>
    <cellStyle name="Normal 4 8 2 2 2" xfId="1836" xr:uid="{00000000-0005-0000-0000-0000A23F0000}"/>
    <cellStyle name="Normal 4 8 2 2 2 2" xfId="8491" xr:uid="{00000000-0005-0000-0000-0000A33F0000}"/>
    <cellStyle name="Normal 4 8 2 2 2_SSL" xfId="13726" xr:uid="{00000000-0005-0000-0000-0000A43F0000}"/>
    <cellStyle name="Normal 4 8 2 2 3" xfId="2656" xr:uid="{00000000-0005-0000-0000-0000A53F0000}"/>
    <cellStyle name="Normal 4 8 2 2 3 2" xfId="9304" xr:uid="{00000000-0005-0000-0000-0000A63F0000}"/>
    <cellStyle name="Normal 4 8 2 2 3_SSL" xfId="17407" xr:uid="{00000000-0005-0000-0000-0000A73F0000}"/>
    <cellStyle name="Normal 4 8 2 2 4" xfId="3476" xr:uid="{00000000-0005-0000-0000-0000A83F0000}"/>
    <cellStyle name="Normal 4 8 2 2 4 2" xfId="10121" xr:uid="{00000000-0005-0000-0000-0000A93F0000}"/>
    <cellStyle name="Normal 4 8 2 2 4_SSL" xfId="17736" xr:uid="{00000000-0005-0000-0000-0000AA3F0000}"/>
    <cellStyle name="Normal 4 8 2 2 5" xfId="4296" xr:uid="{00000000-0005-0000-0000-0000AB3F0000}"/>
    <cellStyle name="Normal 4 8 2 2 5 2" xfId="10936" xr:uid="{00000000-0005-0000-0000-0000AC3F0000}"/>
    <cellStyle name="Normal 4 8 2 2 5_SSL" xfId="16574" xr:uid="{00000000-0005-0000-0000-0000AD3F0000}"/>
    <cellStyle name="Normal 4 8 2 2 6" xfId="5107" xr:uid="{00000000-0005-0000-0000-0000AE3F0000}"/>
    <cellStyle name="Normal 4 8 2 2 6 2" xfId="11746" xr:uid="{00000000-0005-0000-0000-0000AF3F0000}"/>
    <cellStyle name="Normal 4 8 2 2 6_SSL" xfId="13636" xr:uid="{00000000-0005-0000-0000-0000B03F0000}"/>
    <cellStyle name="Normal 4 8 2 2 7" xfId="5917" xr:uid="{00000000-0005-0000-0000-0000B13F0000}"/>
    <cellStyle name="Normal 4 8 2 2 7 2" xfId="12555" xr:uid="{00000000-0005-0000-0000-0000B23F0000}"/>
    <cellStyle name="Normal 4 8 2 2 7_SSL" xfId="16605" xr:uid="{00000000-0005-0000-0000-0000B33F0000}"/>
    <cellStyle name="Normal 4 8 2 2 8" xfId="7686" xr:uid="{00000000-0005-0000-0000-0000B43F0000}"/>
    <cellStyle name="Normal 4 8 2 2 9" xfId="6847" xr:uid="{00000000-0005-0000-0000-0000B53F0000}"/>
    <cellStyle name="Normal 4 8 2 2_SSL" xfId="16559" xr:uid="{00000000-0005-0000-0000-0000B63F0000}"/>
    <cellStyle name="Normal 4 8 2 3" xfId="1835" xr:uid="{00000000-0005-0000-0000-0000B73F0000}"/>
    <cellStyle name="Normal 4 8 2 3 2" xfId="8490" xr:uid="{00000000-0005-0000-0000-0000B83F0000}"/>
    <cellStyle name="Normal 4 8 2 3_SSL" xfId="17793" xr:uid="{00000000-0005-0000-0000-0000B93F0000}"/>
    <cellStyle name="Normal 4 8 2 4" xfId="2655" xr:uid="{00000000-0005-0000-0000-0000BA3F0000}"/>
    <cellStyle name="Normal 4 8 2 4 2" xfId="9303" xr:uid="{00000000-0005-0000-0000-0000BB3F0000}"/>
    <cellStyle name="Normal 4 8 2 4_SSL" xfId="16839" xr:uid="{00000000-0005-0000-0000-0000BC3F0000}"/>
    <cellStyle name="Normal 4 8 2 5" xfId="3475" xr:uid="{00000000-0005-0000-0000-0000BD3F0000}"/>
    <cellStyle name="Normal 4 8 2 5 2" xfId="10120" xr:uid="{00000000-0005-0000-0000-0000BE3F0000}"/>
    <cellStyle name="Normal 4 8 2 5_SSL" xfId="17534" xr:uid="{00000000-0005-0000-0000-0000BF3F0000}"/>
    <cellStyle name="Normal 4 8 2 6" xfId="4295" xr:uid="{00000000-0005-0000-0000-0000C03F0000}"/>
    <cellStyle name="Normal 4 8 2 6 2" xfId="10935" xr:uid="{00000000-0005-0000-0000-0000C13F0000}"/>
    <cellStyle name="Normal 4 8 2 6_SSL" xfId="17227" xr:uid="{00000000-0005-0000-0000-0000C23F0000}"/>
    <cellStyle name="Normal 4 8 2 7" xfId="5106" xr:uid="{00000000-0005-0000-0000-0000C33F0000}"/>
    <cellStyle name="Normal 4 8 2 7 2" xfId="11745" xr:uid="{00000000-0005-0000-0000-0000C43F0000}"/>
    <cellStyle name="Normal 4 8 2 7_SSL" xfId="14678" xr:uid="{00000000-0005-0000-0000-0000C53F0000}"/>
    <cellStyle name="Normal 4 8 2 8" xfId="5916" xr:uid="{00000000-0005-0000-0000-0000C63F0000}"/>
    <cellStyle name="Normal 4 8 2 8 2" xfId="12554" xr:uid="{00000000-0005-0000-0000-0000C73F0000}"/>
    <cellStyle name="Normal 4 8 2 8_SSL" xfId="16322" xr:uid="{00000000-0005-0000-0000-0000C83F0000}"/>
    <cellStyle name="Normal 4 8 2 9" xfId="7302" xr:uid="{00000000-0005-0000-0000-0000C93F0000}"/>
    <cellStyle name="Normal 4 8 2_SSL" xfId="12984" xr:uid="{00000000-0005-0000-0000-0000CA3F0000}"/>
    <cellStyle name="Normal 4 8 3" xfId="632" xr:uid="{00000000-0005-0000-0000-0000CB3F0000}"/>
    <cellStyle name="Normal 4 8 3 2" xfId="1837" xr:uid="{00000000-0005-0000-0000-0000CC3F0000}"/>
    <cellStyle name="Normal 4 8 3 2 2" xfId="8492" xr:uid="{00000000-0005-0000-0000-0000CD3F0000}"/>
    <cellStyle name="Normal 4 8 3 2_SSL" xfId="13350" xr:uid="{00000000-0005-0000-0000-0000CE3F0000}"/>
    <cellStyle name="Normal 4 8 3 3" xfId="2657" xr:uid="{00000000-0005-0000-0000-0000CF3F0000}"/>
    <cellStyle name="Normal 4 8 3 3 2" xfId="9305" xr:uid="{00000000-0005-0000-0000-0000D03F0000}"/>
    <cellStyle name="Normal 4 8 3 3_SSL" xfId="15566" xr:uid="{00000000-0005-0000-0000-0000D13F0000}"/>
    <cellStyle name="Normal 4 8 3 4" xfId="3477" xr:uid="{00000000-0005-0000-0000-0000D23F0000}"/>
    <cellStyle name="Normal 4 8 3 4 2" xfId="10122" xr:uid="{00000000-0005-0000-0000-0000D33F0000}"/>
    <cellStyle name="Normal 4 8 3 4_SSL" xfId="17156" xr:uid="{00000000-0005-0000-0000-0000D43F0000}"/>
    <cellStyle name="Normal 4 8 3 5" xfId="4297" xr:uid="{00000000-0005-0000-0000-0000D53F0000}"/>
    <cellStyle name="Normal 4 8 3 5 2" xfId="10937" xr:uid="{00000000-0005-0000-0000-0000D63F0000}"/>
    <cellStyle name="Normal 4 8 3 5_SSL" xfId="15617" xr:uid="{00000000-0005-0000-0000-0000D73F0000}"/>
    <cellStyle name="Normal 4 8 3 6" xfId="5108" xr:uid="{00000000-0005-0000-0000-0000D83F0000}"/>
    <cellStyle name="Normal 4 8 3 6 2" xfId="11747" xr:uid="{00000000-0005-0000-0000-0000D93F0000}"/>
    <cellStyle name="Normal 4 8 3 6_SSL" xfId="17075" xr:uid="{00000000-0005-0000-0000-0000DA3F0000}"/>
    <cellStyle name="Normal 4 8 3 7" xfId="5918" xr:uid="{00000000-0005-0000-0000-0000DB3F0000}"/>
    <cellStyle name="Normal 4 8 3 7 2" xfId="12556" xr:uid="{00000000-0005-0000-0000-0000DC3F0000}"/>
    <cellStyle name="Normal 4 8 3 7_SSL" xfId="14978" xr:uid="{00000000-0005-0000-0000-0000DD3F0000}"/>
    <cellStyle name="Normal 4 8 3 8" xfId="7488" xr:uid="{00000000-0005-0000-0000-0000DE3F0000}"/>
    <cellStyle name="Normal 4 8 3 9" xfId="6848" xr:uid="{00000000-0005-0000-0000-0000DF3F0000}"/>
    <cellStyle name="Normal 4 8 3_SSL" xfId="14630" xr:uid="{00000000-0005-0000-0000-0000E03F0000}"/>
    <cellStyle name="Normal 4 8 4" xfId="1834" xr:uid="{00000000-0005-0000-0000-0000E13F0000}"/>
    <cellStyle name="Normal 4 8 4 2" xfId="8489" xr:uid="{00000000-0005-0000-0000-0000E23F0000}"/>
    <cellStyle name="Normal 4 8 4_SSL" xfId="15379" xr:uid="{00000000-0005-0000-0000-0000E33F0000}"/>
    <cellStyle name="Normal 4 8 5" xfId="2654" xr:uid="{00000000-0005-0000-0000-0000E43F0000}"/>
    <cellStyle name="Normal 4 8 5 2" xfId="9302" xr:uid="{00000000-0005-0000-0000-0000E53F0000}"/>
    <cellStyle name="Normal 4 8 5_SSL" xfId="12717" xr:uid="{00000000-0005-0000-0000-0000E63F0000}"/>
    <cellStyle name="Normal 4 8 6" xfId="3474" xr:uid="{00000000-0005-0000-0000-0000E73F0000}"/>
    <cellStyle name="Normal 4 8 6 2" xfId="10119" xr:uid="{00000000-0005-0000-0000-0000E83F0000}"/>
    <cellStyle name="Normal 4 8 6_SSL" xfId="17085" xr:uid="{00000000-0005-0000-0000-0000E93F0000}"/>
    <cellStyle name="Normal 4 8 7" xfId="4294" xr:uid="{00000000-0005-0000-0000-0000EA3F0000}"/>
    <cellStyle name="Normal 4 8 7 2" xfId="10934" xr:uid="{00000000-0005-0000-0000-0000EB3F0000}"/>
    <cellStyle name="Normal 4 8 7_SSL" xfId="16028" xr:uid="{00000000-0005-0000-0000-0000EC3F0000}"/>
    <cellStyle name="Normal 4 8 8" xfId="5105" xr:uid="{00000000-0005-0000-0000-0000ED3F0000}"/>
    <cellStyle name="Normal 4 8 8 2" xfId="11744" xr:uid="{00000000-0005-0000-0000-0000EE3F0000}"/>
    <cellStyle name="Normal 4 8 8_SSL" xfId="16921" xr:uid="{00000000-0005-0000-0000-0000EF3F0000}"/>
    <cellStyle name="Normal 4 8 9" xfId="5915" xr:uid="{00000000-0005-0000-0000-0000F03F0000}"/>
    <cellStyle name="Normal 4 8 9 2" xfId="12553" xr:uid="{00000000-0005-0000-0000-0000F13F0000}"/>
    <cellStyle name="Normal 4 8 9_SSL" xfId="12987" xr:uid="{00000000-0005-0000-0000-0000F23F0000}"/>
    <cellStyle name="Normal 4 8_SSL" xfId="16794" xr:uid="{00000000-0005-0000-0000-0000F33F0000}"/>
    <cellStyle name="Normal 4 9" xfId="1044" xr:uid="{00000000-0005-0000-0000-0000F43F0000}"/>
    <cellStyle name="Normal 4 9 2" xfId="1838" xr:uid="{00000000-0005-0000-0000-0000F53F0000}"/>
    <cellStyle name="Normal 4 9 2 2" xfId="8493" xr:uid="{00000000-0005-0000-0000-0000F63F0000}"/>
    <cellStyle name="Normal 4 9 2_SSL" xfId="17890" xr:uid="{00000000-0005-0000-0000-0000F73F0000}"/>
    <cellStyle name="Normal 4 9 3" xfId="2658" xr:uid="{00000000-0005-0000-0000-0000F83F0000}"/>
    <cellStyle name="Normal 4 9 3 2" xfId="9306" xr:uid="{00000000-0005-0000-0000-0000F93F0000}"/>
    <cellStyle name="Normal 4 9 3_SSL" xfId="16638" xr:uid="{00000000-0005-0000-0000-0000FA3F0000}"/>
    <cellStyle name="Normal 4 9 4" xfId="3478" xr:uid="{00000000-0005-0000-0000-0000FB3F0000}"/>
    <cellStyle name="Normal 4 9 4 2" xfId="10123" xr:uid="{00000000-0005-0000-0000-0000FC3F0000}"/>
    <cellStyle name="Normal 4 9 4_SSL" xfId="15183" xr:uid="{00000000-0005-0000-0000-0000FD3F0000}"/>
    <cellStyle name="Normal 4 9 5" xfId="4298" xr:uid="{00000000-0005-0000-0000-0000FE3F0000}"/>
    <cellStyle name="Normal 4 9 5 2" xfId="10938" xr:uid="{00000000-0005-0000-0000-0000FF3F0000}"/>
    <cellStyle name="Normal 4 9 5_SSL" xfId="12796" xr:uid="{00000000-0005-0000-0000-000000400000}"/>
    <cellStyle name="Normal 4 9 6" xfId="5109" xr:uid="{00000000-0005-0000-0000-000001400000}"/>
    <cellStyle name="Normal 4 9 6 2" xfId="11748" xr:uid="{00000000-0005-0000-0000-000002400000}"/>
    <cellStyle name="Normal 4 9 6_SSL" xfId="13443" xr:uid="{00000000-0005-0000-0000-000003400000}"/>
    <cellStyle name="Normal 4 9 7" xfId="5919" xr:uid="{00000000-0005-0000-0000-000004400000}"/>
    <cellStyle name="Normal 4 9 7 2" xfId="12557" xr:uid="{00000000-0005-0000-0000-000005400000}"/>
    <cellStyle name="Normal 4 9 7_SSL" xfId="14826" xr:uid="{00000000-0005-0000-0000-000006400000}"/>
    <cellStyle name="Normal 4 9 8" xfId="7714" xr:uid="{00000000-0005-0000-0000-000007400000}"/>
    <cellStyle name="Normal 4 9 9" xfId="6849" xr:uid="{00000000-0005-0000-0000-000008400000}"/>
    <cellStyle name="Normal 4 9_SSL" xfId="14801" xr:uid="{00000000-0005-0000-0000-000009400000}"/>
    <cellStyle name="Normal 40" xfId="1073" xr:uid="{00000000-0005-0000-0000-00000A400000}"/>
    <cellStyle name="Normal 40 2" xfId="7734" xr:uid="{00000000-0005-0000-0000-00000B400000}"/>
    <cellStyle name="Normal 40_SSL" xfId="15692" xr:uid="{00000000-0005-0000-0000-00000C400000}"/>
    <cellStyle name="Normal 41" xfId="1076" xr:uid="{00000000-0005-0000-0000-00000D400000}"/>
    <cellStyle name="Normal 41 2" xfId="7737" xr:uid="{00000000-0005-0000-0000-00000E400000}"/>
    <cellStyle name="Normal 41_SSL" xfId="15459" xr:uid="{00000000-0005-0000-0000-00000F400000}"/>
    <cellStyle name="Normal 42" xfId="1074" xr:uid="{00000000-0005-0000-0000-000010400000}"/>
    <cellStyle name="Normal 42 2" xfId="7735" xr:uid="{00000000-0005-0000-0000-000011400000}"/>
    <cellStyle name="Normal 42_SSL" xfId="17861" xr:uid="{00000000-0005-0000-0000-000012400000}"/>
    <cellStyle name="Normal 43" xfId="1081" xr:uid="{00000000-0005-0000-0000-000013400000}"/>
    <cellStyle name="Normal 43 2" xfId="7742" xr:uid="{00000000-0005-0000-0000-000014400000}"/>
    <cellStyle name="Normal 43_SSL" xfId="14718" xr:uid="{00000000-0005-0000-0000-000015400000}"/>
    <cellStyle name="Normal 44" xfId="1075" xr:uid="{00000000-0005-0000-0000-000016400000}"/>
    <cellStyle name="Normal 44 2" xfId="7736" xr:uid="{00000000-0005-0000-0000-000017400000}"/>
    <cellStyle name="Normal 44_SSL" xfId="14265" xr:uid="{00000000-0005-0000-0000-000018400000}"/>
    <cellStyle name="Normal 45" xfId="1088" xr:uid="{00000000-0005-0000-0000-000019400000}"/>
    <cellStyle name="Normal 46" xfId="1089" xr:uid="{00000000-0005-0000-0000-00001A400000}"/>
    <cellStyle name="Normal 47" xfId="1093" xr:uid="{00000000-0005-0000-0000-00001B400000}"/>
    <cellStyle name="Normal 48" xfId="1091" xr:uid="{00000000-0005-0000-0000-00001C400000}"/>
    <cellStyle name="Normal 49" xfId="1911" xr:uid="{00000000-0005-0000-0000-00001D400000}"/>
    <cellStyle name="Normal 5" xfId="15" xr:uid="{00000000-0005-0000-0000-00001E400000}"/>
    <cellStyle name="Normal 5 10" xfId="2740" xr:uid="{00000000-0005-0000-0000-00001F400000}"/>
    <cellStyle name="Normal 5 10 2" xfId="9385" xr:uid="{00000000-0005-0000-0000-000020400000}"/>
    <cellStyle name="Normal 5 10_SSL" xfId="15166" xr:uid="{00000000-0005-0000-0000-000021400000}"/>
    <cellStyle name="Normal 5 11" xfId="3562" xr:uid="{00000000-0005-0000-0000-000022400000}"/>
    <cellStyle name="Normal 5 11 2" xfId="10203" xr:uid="{00000000-0005-0000-0000-000023400000}"/>
    <cellStyle name="Normal 5 11_SSL" xfId="17292" xr:uid="{00000000-0005-0000-0000-000024400000}"/>
    <cellStyle name="Normal 5 12" xfId="4374" xr:uid="{00000000-0005-0000-0000-000025400000}"/>
    <cellStyle name="Normal 5 12 2" xfId="11013" xr:uid="{00000000-0005-0000-0000-000026400000}"/>
    <cellStyle name="Normal 5 12_SSL" xfId="15745" xr:uid="{00000000-0005-0000-0000-000027400000}"/>
    <cellStyle name="Normal 5 13" xfId="5184" xr:uid="{00000000-0005-0000-0000-000028400000}"/>
    <cellStyle name="Normal 5 13 2" xfId="11822" xr:uid="{00000000-0005-0000-0000-000029400000}"/>
    <cellStyle name="Normal 5 13_SSL" xfId="15657" xr:uid="{00000000-0005-0000-0000-00002A400000}"/>
    <cellStyle name="Normal 5 14" xfId="6930" xr:uid="{00000000-0005-0000-0000-00002B400000}"/>
    <cellStyle name="Normal 5 15" xfId="6078" xr:uid="{00000000-0005-0000-0000-00002C400000}"/>
    <cellStyle name="Normal 5 2" xfId="43" xr:uid="{00000000-0005-0000-0000-00002D400000}"/>
    <cellStyle name="Normal 5 3" xfId="127" xr:uid="{00000000-0005-0000-0000-00002E400000}"/>
    <cellStyle name="Normal 5 3 10" xfId="5920" xr:uid="{00000000-0005-0000-0000-00002F400000}"/>
    <cellStyle name="Normal 5 3 10 2" xfId="12558" xr:uid="{00000000-0005-0000-0000-000030400000}"/>
    <cellStyle name="Normal 5 3 10_SSL" xfId="16450" xr:uid="{00000000-0005-0000-0000-000031400000}"/>
    <cellStyle name="Normal 5 3 11" xfId="7004" xr:uid="{00000000-0005-0000-0000-000032400000}"/>
    <cellStyle name="Normal 5 3 12" xfId="6851" xr:uid="{00000000-0005-0000-0000-000033400000}"/>
    <cellStyle name="Normal 5 3 2" xfId="223" xr:uid="{00000000-0005-0000-0000-000034400000}"/>
    <cellStyle name="Normal 5 3 2 10" xfId="7100" xr:uid="{00000000-0005-0000-0000-000035400000}"/>
    <cellStyle name="Normal 5 3 2 11" xfId="6852" xr:uid="{00000000-0005-0000-0000-000036400000}"/>
    <cellStyle name="Normal 5 3 2 2" xfId="444" xr:uid="{00000000-0005-0000-0000-000037400000}"/>
    <cellStyle name="Normal 5 3 2 2 10" xfId="6853" xr:uid="{00000000-0005-0000-0000-000038400000}"/>
    <cellStyle name="Normal 5 3 2 2 2" xfId="832" xr:uid="{00000000-0005-0000-0000-000039400000}"/>
    <cellStyle name="Normal 5 3 2 2 2 2" xfId="1842" xr:uid="{00000000-0005-0000-0000-00003A400000}"/>
    <cellStyle name="Normal 5 3 2 2 2 2 2" xfId="8497" xr:uid="{00000000-0005-0000-0000-00003B400000}"/>
    <cellStyle name="Normal 5 3 2 2 2 2_SSL" xfId="13327" xr:uid="{00000000-0005-0000-0000-00003C400000}"/>
    <cellStyle name="Normal 5 3 2 2 2 3" xfId="2662" xr:uid="{00000000-0005-0000-0000-00003D400000}"/>
    <cellStyle name="Normal 5 3 2 2 2 3 2" xfId="9310" xr:uid="{00000000-0005-0000-0000-00003E400000}"/>
    <cellStyle name="Normal 5 3 2 2 2 3_SSL" xfId="17825" xr:uid="{00000000-0005-0000-0000-00003F400000}"/>
    <cellStyle name="Normal 5 3 2 2 2 4" xfId="3482" xr:uid="{00000000-0005-0000-0000-000040400000}"/>
    <cellStyle name="Normal 5 3 2 2 2 4 2" xfId="10127" xr:uid="{00000000-0005-0000-0000-000041400000}"/>
    <cellStyle name="Normal 5 3 2 2 2 4_SSL" xfId="17997" xr:uid="{00000000-0005-0000-0000-000042400000}"/>
    <cellStyle name="Normal 5 3 2 2 2 5" xfId="4302" xr:uid="{00000000-0005-0000-0000-000043400000}"/>
    <cellStyle name="Normal 5 3 2 2 2 5 2" xfId="10942" xr:uid="{00000000-0005-0000-0000-000044400000}"/>
    <cellStyle name="Normal 5 3 2 2 2 5_SSL" xfId="17559" xr:uid="{00000000-0005-0000-0000-000045400000}"/>
    <cellStyle name="Normal 5 3 2 2 2 6" xfId="5113" xr:uid="{00000000-0005-0000-0000-000046400000}"/>
    <cellStyle name="Normal 5 3 2 2 2 6 2" xfId="11752" xr:uid="{00000000-0005-0000-0000-000047400000}"/>
    <cellStyle name="Normal 5 3 2 2 2 6_SSL" xfId="14060" xr:uid="{00000000-0005-0000-0000-000048400000}"/>
    <cellStyle name="Normal 5 3 2 2 2 7" xfId="5923" xr:uid="{00000000-0005-0000-0000-000049400000}"/>
    <cellStyle name="Normal 5 3 2 2 2 7 2" xfId="12561" xr:uid="{00000000-0005-0000-0000-00004A400000}"/>
    <cellStyle name="Normal 5 3 2 2 2 7_SSL" xfId="12671" xr:uid="{00000000-0005-0000-0000-00004B400000}"/>
    <cellStyle name="Normal 5 3 2 2 2 8" xfId="7688" xr:uid="{00000000-0005-0000-0000-00004C400000}"/>
    <cellStyle name="Normal 5 3 2 2 2 9" xfId="6854" xr:uid="{00000000-0005-0000-0000-00004D400000}"/>
    <cellStyle name="Normal 5 3 2 2 2_SSL" xfId="16588" xr:uid="{00000000-0005-0000-0000-00004E400000}"/>
    <cellStyle name="Normal 5 3 2 2 3" xfId="1841" xr:uid="{00000000-0005-0000-0000-00004F400000}"/>
    <cellStyle name="Normal 5 3 2 2 3 2" xfId="8496" xr:uid="{00000000-0005-0000-0000-000050400000}"/>
    <cellStyle name="Normal 5 3 2 2 3_SSL" xfId="16933" xr:uid="{00000000-0005-0000-0000-000051400000}"/>
    <cellStyle name="Normal 5 3 2 2 4" xfId="2661" xr:uid="{00000000-0005-0000-0000-000052400000}"/>
    <cellStyle name="Normal 5 3 2 2 4 2" xfId="9309" xr:uid="{00000000-0005-0000-0000-000053400000}"/>
    <cellStyle name="Normal 5 3 2 2 4_SSL" xfId="16824" xr:uid="{00000000-0005-0000-0000-000054400000}"/>
    <cellStyle name="Normal 5 3 2 2 5" xfId="3481" xr:uid="{00000000-0005-0000-0000-000055400000}"/>
    <cellStyle name="Normal 5 3 2 2 5 2" xfId="10126" xr:uid="{00000000-0005-0000-0000-000056400000}"/>
    <cellStyle name="Normal 5 3 2 2 5_SSL" xfId="17151" xr:uid="{00000000-0005-0000-0000-000057400000}"/>
    <cellStyle name="Normal 5 3 2 2 6" xfId="4301" xr:uid="{00000000-0005-0000-0000-000058400000}"/>
    <cellStyle name="Normal 5 3 2 2 6 2" xfId="10941" xr:uid="{00000000-0005-0000-0000-000059400000}"/>
    <cellStyle name="Normal 5 3 2 2 6_SSL" xfId="16809" xr:uid="{00000000-0005-0000-0000-00005A400000}"/>
    <cellStyle name="Normal 5 3 2 2 7" xfId="5112" xr:uid="{00000000-0005-0000-0000-00005B400000}"/>
    <cellStyle name="Normal 5 3 2 2 7 2" xfId="11751" xr:uid="{00000000-0005-0000-0000-00005C400000}"/>
    <cellStyle name="Normal 5 3 2 2 7_SSL" xfId="13918" xr:uid="{00000000-0005-0000-0000-00005D400000}"/>
    <cellStyle name="Normal 5 3 2 2 8" xfId="5922" xr:uid="{00000000-0005-0000-0000-00005E400000}"/>
    <cellStyle name="Normal 5 3 2 2 8 2" xfId="12560" xr:uid="{00000000-0005-0000-0000-00005F400000}"/>
    <cellStyle name="Normal 5 3 2 2 8_SSL" xfId="17750" xr:uid="{00000000-0005-0000-0000-000060400000}"/>
    <cellStyle name="Normal 5 3 2 2 9" xfId="7304" xr:uid="{00000000-0005-0000-0000-000061400000}"/>
    <cellStyle name="Normal 5 3 2 2_SSL" xfId="14777" xr:uid="{00000000-0005-0000-0000-000062400000}"/>
    <cellStyle name="Normal 5 3 2 3" xfId="628" xr:uid="{00000000-0005-0000-0000-000063400000}"/>
    <cellStyle name="Normal 5 3 2 3 2" xfId="1843" xr:uid="{00000000-0005-0000-0000-000064400000}"/>
    <cellStyle name="Normal 5 3 2 3 2 2" xfId="8498" xr:uid="{00000000-0005-0000-0000-000065400000}"/>
    <cellStyle name="Normal 5 3 2 3 2_SSL" xfId="13416" xr:uid="{00000000-0005-0000-0000-000066400000}"/>
    <cellStyle name="Normal 5 3 2 3 3" xfId="2663" xr:uid="{00000000-0005-0000-0000-000067400000}"/>
    <cellStyle name="Normal 5 3 2 3 3 2" xfId="9311" xr:uid="{00000000-0005-0000-0000-000068400000}"/>
    <cellStyle name="Normal 5 3 2 3 3_SSL" xfId="14716" xr:uid="{00000000-0005-0000-0000-000069400000}"/>
    <cellStyle name="Normal 5 3 2 3 4" xfId="3483" xr:uid="{00000000-0005-0000-0000-00006A400000}"/>
    <cellStyle name="Normal 5 3 2 3 4 2" xfId="10128" xr:uid="{00000000-0005-0000-0000-00006B400000}"/>
    <cellStyle name="Normal 5 3 2 3 4_SSL" xfId="14615" xr:uid="{00000000-0005-0000-0000-00006C400000}"/>
    <cellStyle name="Normal 5 3 2 3 5" xfId="4303" xr:uid="{00000000-0005-0000-0000-00006D400000}"/>
    <cellStyle name="Normal 5 3 2 3 5 2" xfId="10943" xr:uid="{00000000-0005-0000-0000-00006E400000}"/>
    <cellStyle name="Normal 5 3 2 3 5_SSL" xfId="14175" xr:uid="{00000000-0005-0000-0000-00006F400000}"/>
    <cellStyle name="Normal 5 3 2 3 6" xfId="5114" xr:uid="{00000000-0005-0000-0000-000070400000}"/>
    <cellStyle name="Normal 5 3 2 3 6 2" xfId="11753" xr:uid="{00000000-0005-0000-0000-000071400000}"/>
    <cellStyle name="Normal 5 3 2 3 6_SSL" xfId="16207" xr:uid="{00000000-0005-0000-0000-000072400000}"/>
    <cellStyle name="Normal 5 3 2 3 7" xfId="5924" xr:uid="{00000000-0005-0000-0000-000073400000}"/>
    <cellStyle name="Normal 5 3 2 3 7 2" xfId="12562" xr:uid="{00000000-0005-0000-0000-000074400000}"/>
    <cellStyle name="Normal 5 3 2 3 7_SSL" xfId="17950" xr:uid="{00000000-0005-0000-0000-000075400000}"/>
    <cellStyle name="Normal 5 3 2 3 8" xfId="7484" xr:uid="{00000000-0005-0000-0000-000076400000}"/>
    <cellStyle name="Normal 5 3 2 3 9" xfId="6855" xr:uid="{00000000-0005-0000-0000-000077400000}"/>
    <cellStyle name="Normal 5 3 2 3_SSL" xfId="17318" xr:uid="{00000000-0005-0000-0000-000078400000}"/>
    <cellStyle name="Normal 5 3 2 4" xfId="1840" xr:uid="{00000000-0005-0000-0000-000079400000}"/>
    <cellStyle name="Normal 5 3 2 4 2" xfId="8495" xr:uid="{00000000-0005-0000-0000-00007A400000}"/>
    <cellStyle name="Normal 5 3 2 4_SSL" xfId="17797" xr:uid="{00000000-0005-0000-0000-00007B400000}"/>
    <cellStyle name="Normal 5 3 2 5" xfId="2660" xr:uid="{00000000-0005-0000-0000-00007C400000}"/>
    <cellStyle name="Normal 5 3 2 5 2" xfId="9308" xr:uid="{00000000-0005-0000-0000-00007D400000}"/>
    <cellStyle name="Normal 5 3 2 5_SSL" xfId="17239" xr:uid="{00000000-0005-0000-0000-00007E400000}"/>
    <cellStyle name="Normal 5 3 2 6" xfId="3480" xr:uid="{00000000-0005-0000-0000-00007F400000}"/>
    <cellStyle name="Normal 5 3 2 6 2" xfId="10125" xr:uid="{00000000-0005-0000-0000-000080400000}"/>
    <cellStyle name="Normal 5 3 2 6_SSL" xfId="16114" xr:uid="{00000000-0005-0000-0000-000081400000}"/>
    <cellStyle name="Normal 5 3 2 7" xfId="4300" xr:uid="{00000000-0005-0000-0000-000082400000}"/>
    <cellStyle name="Normal 5 3 2 7 2" xfId="10940" xr:uid="{00000000-0005-0000-0000-000083400000}"/>
    <cellStyle name="Normal 5 3 2 7_SSL" xfId="16674" xr:uid="{00000000-0005-0000-0000-000084400000}"/>
    <cellStyle name="Normal 5 3 2 8" xfId="5111" xr:uid="{00000000-0005-0000-0000-000085400000}"/>
    <cellStyle name="Normal 5 3 2 8 2" xfId="11750" xr:uid="{00000000-0005-0000-0000-000086400000}"/>
    <cellStyle name="Normal 5 3 2 8_SSL" xfId="15822" xr:uid="{00000000-0005-0000-0000-000087400000}"/>
    <cellStyle name="Normal 5 3 2 9" xfId="5921" xr:uid="{00000000-0005-0000-0000-000088400000}"/>
    <cellStyle name="Normal 5 3 2 9 2" xfId="12559" xr:uid="{00000000-0005-0000-0000-000089400000}"/>
    <cellStyle name="Normal 5 3 2 9_SSL" xfId="16284" xr:uid="{00000000-0005-0000-0000-00008A400000}"/>
    <cellStyle name="Normal 5 3 2_SSL" xfId="16419" xr:uid="{00000000-0005-0000-0000-00008B400000}"/>
    <cellStyle name="Normal 5 3 3" xfId="443" xr:uid="{00000000-0005-0000-0000-00008C400000}"/>
    <cellStyle name="Normal 5 3 3 10" xfId="6856" xr:uid="{00000000-0005-0000-0000-00008D400000}"/>
    <cellStyle name="Normal 5 3 3 2" xfId="831" xr:uid="{00000000-0005-0000-0000-00008E400000}"/>
    <cellStyle name="Normal 5 3 3 2 2" xfId="1845" xr:uid="{00000000-0005-0000-0000-00008F400000}"/>
    <cellStyle name="Normal 5 3 3 2 2 2" xfId="8500" xr:uid="{00000000-0005-0000-0000-000090400000}"/>
    <cellStyle name="Normal 5 3 3 2 2_SSL" xfId="15946" xr:uid="{00000000-0005-0000-0000-000091400000}"/>
    <cellStyle name="Normal 5 3 3 2 3" xfId="2665" xr:uid="{00000000-0005-0000-0000-000092400000}"/>
    <cellStyle name="Normal 5 3 3 2 3 2" xfId="9313" xr:uid="{00000000-0005-0000-0000-000093400000}"/>
    <cellStyle name="Normal 5 3 3 2 3_SSL" xfId="16995" xr:uid="{00000000-0005-0000-0000-000094400000}"/>
    <cellStyle name="Normal 5 3 3 2 4" xfId="3485" xr:uid="{00000000-0005-0000-0000-000095400000}"/>
    <cellStyle name="Normal 5 3 3 2 4 2" xfId="10130" xr:uid="{00000000-0005-0000-0000-000096400000}"/>
    <cellStyle name="Normal 5 3 3 2 4_SSL" xfId="13731" xr:uid="{00000000-0005-0000-0000-000097400000}"/>
    <cellStyle name="Normal 5 3 3 2 5" xfId="4305" xr:uid="{00000000-0005-0000-0000-000098400000}"/>
    <cellStyle name="Normal 5 3 3 2 5 2" xfId="10945" xr:uid="{00000000-0005-0000-0000-000099400000}"/>
    <cellStyle name="Normal 5 3 3 2 5_SSL" xfId="13329" xr:uid="{00000000-0005-0000-0000-00009A400000}"/>
    <cellStyle name="Normal 5 3 3 2 6" xfId="5116" xr:uid="{00000000-0005-0000-0000-00009B400000}"/>
    <cellStyle name="Normal 5 3 3 2 6 2" xfId="11755" xr:uid="{00000000-0005-0000-0000-00009C400000}"/>
    <cellStyle name="Normal 5 3 3 2 6_SSL" xfId="16033" xr:uid="{00000000-0005-0000-0000-00009D400000}"/>
    <cellStyle name="Normal 5 3 3 2 7" xfId="5926" xr:uid="{00000000-0005-0000-0000-00009E400000}"/>
    <cellStyle name="Normal 5 3 3 2 7 2" xfId="12564" xr:uid="{00000000-0005-0000-0000-00009F400000}"/>
    <cellStyle name="Normal 5 3 3 2 7_SSL" xfId="13747" xr:uid="{00000000-0005-0000-0000-0000A0400000}"/>
    <cellStyle name="Normal 5 3 3 2 8" xfId="7687" xr:uid="{00000000-0005-0000-0000-0000A1400000}"/>
    <cellStyle name="Normal 5 3 3 2 9" xfId="6857" xr:uid="{00000000-0005-0000-0000-0000A2400000}"/>
    <cellStyle name="Normal 5 3 3 2_SSL" xfId="16764" xr:uid="{00000000-0005-0000-0000-0000A3400000}"/>
    <cellStyle name="Normal 5 3 3 3" xfId="1844" xr:uid="{00000000-0005-0000-0000-0000A4400000}"/>
    <cellStyle name="Normal 5 3 3 3 2" xfId="8499" xr:uid="{00000000-0005-0000-0000-0000A5400000}"/>
    <cellStyle name="Normal 5 3 3 3_SSL" xfId="6031" xr:uid="{00000000-0005-0000-0000-0000A6400000}"/>
    <cellStyle name="Normal 5 3 3 4" xfId="2664" xr:uid="{00000000-0005-0000-0000-0000A7400000}"/>
    <cellStyle name="Normal 5 3 3 4 2" xfId="9312" xr:uid="{00000000-0005-0000-0000-0000A8400000}"/>
    <cellStyle name="Normal 5 3 3 4_SSL" xfId="12917" xr:uid="{00000000-0005-0000-0000-0000A9400000}"/>
    <cellStyle name="Normal 5 3 3 5" xfId="3484" xr:uid="{00000000-0005-0000-0000-0000AA400000}"/>
    <cellStyle name="Normal 5 3 3 5 2" xfId="10129" xr:uid="{00000000-0005-0000-0000-0000AB400000}"/>
    <cellStyle name="Normal 5 3 3 5_SSL" xfId="16120" xr:uid="{00000000-0005-0000-0000-0000AC400000}"/>
    <cellStyle name="Normal 5 3 3 6" xfId="4304" xr:uid="{00000000-0005-0000-0000-0000AD400000}"/>
    <cellStyle name="Normal 5 3 3 6 2" xfId="10944" xr:uid="{00000000-0005-0000-0000-0000AE400000}"/>
    <cellStyle name="Normal 5 3 3 6_SSL" xfId="14996" xr:uid="{00000000-0005-0000-0000-0000AF400000}"/>
    <cellStyle name="Normal 5 3 3 7" xfId="5115" xr:uid="{00000000-0005-0000-0000-0000B0400000}"/>
    <cellStyle name="Normal 5 3 3 7 2" xfId="11754" xr:uid="{00000000-0005-0000-0000-0000B1400000}"/>
    <cellStyle name="Normal 5 3 3 7_SSL" xfId="17830" xr:uid="{00000000-0005-0000-0000-0000B2400000}"/>
    <cellStyle name="Normal 5 3 3 8" xfId="5925" xr:uid="{00000000-0005-0000-0000-0000B3400000}"/>
    <cellStyle name="Normal 5 3 3 8 2" xfId="12563" xr:uid="{00000000-0005-0000-0000-0000B4400000}"/>
    <cellStyle name="Normal 5 3 3 8_SSL" xfId="16215" xr:uid="{00000000-0005-0000-0000-0000B5400000}"/>
    <cellStyle name="Normal 5 3 3 9" xfId="7303" xr:uid="{00000000-0005-0000-0000-0000B6400000}"/>
    <cellStyle name="Normal 5 3 3_SSL" xfId="14789" xr:uid="{00000000-0005-0000-0000-0000B7400000}"/>
    <cellStyle name="Normal 5 3 4" xfId="532" xr:uid="{00000000-0005-0000-0000-0000B8400000}"/>
    <cellStyle name="Normal 5 3 4 2" xfId="1846" xr:uid="{00000000-0005-0000-0000-0000B9400000}"/>
    <cellStyle name="Normal 5 3 4 2 2" xfId="8501" xr:uid="{00000000-0005-0000-0000-0000BA400000}"/>
    <cellStyle name="Normal 5 3 4 2_SSL" xfId="16930" xr:uid="{00000000-0005-0000-0000-0000BB400000}"/>
    <cellStyle name="Normal 5 3 4 3" xfId="2666" xr:uid="{00000000-0005-0000-0000-0000BC400000}"/>
    <cellStyle name="Normal 5 3 4 3 2" xfId="9314" xr:uid="{00000000-0005-0000-0000-0000BD400000}"/>
    <cellStyle name="Normal 5 3 4 3_SSL" xfId="13149" xr:uid="{00000000-0005-0000-0000-0000BE400000}"/>
    <cellStyle name="Normal 5 3 4 4" xfId="3486" xr:uid="{00000000-0005-0000-0000-0000BF400000}"/>
    <cellStyle name="Normal 5 3 4 4 2" xfId="10131" xr:uid="{00000000-0005-0000-0000-0000C0400000}"/>
    <cellStyle name="Normal 5 3 4 4_SSL" xfId="16355" xr:uid="{00000000-0005-0000-0000-0000C1400000}"/>
    <cellStyle name="Normal 5 3 4 5" xfId="4306" xr:uid="{00000000-0005-0000-0000-0000C2400000}"/>
    <cellStyle name="Normal 5 3 4 5 2" xfId="10946" xr:uid="{00000000-0005-0000-0000-0000C3400000}"/>
    <cellStyle name="Normal 5 3 4 5_SSL" xfId="14389" xr:uid="{00000000-0005-0000-0000-0000C4400000}"/>
    <cellStyle name="Normal 5 3 4 6" xfId="5117" xr:uid="{00000000-0005-0000-0000-0000C5400000}"/>
    <cellStyle name="Normal 5 3 4 6 2" xfId="11756" xr:uid="{00000000-0005-0000-0000-0000C6400000}"/>
    <cellStyle name="Normal 5 3 4 6_SSL" xfId="14836" xr:uid="{00000000-0005-0000-0000-0000C7400000}"/>
    <cellStyle name="Normal 5 3 4 7" xfId="5927" xr:uid="{00000000-0005-0000-0000-0000C8400000}"/>
    <cellStyle name="Normal 5 3 4 7 2" xfId="12565" xr:uid="{00000000-0005-0000-0000-0000C9400000}"/>
    <cellStyle name="Normal 5 3 4 7_SSL" xfId="15573" xr:uid="{00000000-0005-0000-0000-0000CA400000}"/>
    <cellStyle name="Normal 5 3 4 8" xfId="7388" xr:uid="{00000000-0005-0000-0000-0000CB400000}"/>
    <cellStyle name="Normal 5 3 4 9" xfId="6858" xr:uid="{00000000-0005-0000-0000-0000CC400000}"/>
    <cellStyle name="Normal 5 3 4_SSL" xfId="14963" xr:uid="{00000000-0005-0000-0000-0000CD400000}"/>
    <cellStyle name="Normal 5 3 5" xfId="1839" xr:uid="{00000000-0005-0000-0000-0000CE400000}"/>
    <cellStyle name="Normal 5 3 5 2" xfId="8494" xr:uid="{00000000-0005-0000-0000-0000CF400000}"/>
    <cellStyle name="Normal 5 3 5_SSL" xfId="16683" xr:uid="{00000000-0005-0000-0000-0000D0400000}"/>
    <cellStyle name="Normal 5 3 6" xfId="2659" xr:uid="{00000000-0005-0000-0000-0000D1400000}"/>
    <cellStyle name="Normal 5 3 6 2" xfId="9307" xr:uid="{00000000-0005-0000-0000-0000D2400000}"/>
    <cellStyle name="Normal 5 3 6_SSL" xfId="12886" xr:uid="{00000000-0005-0000-0000-0000D3400000}"/>
    <cellStyle name="Normal 5 3 7" xfId="3479" xr:uid="{00000000-0005-0000-0000-0000D4400000}"/>
    <cellStyle name="Normal 5 3 7 2" xfId="10124" xr:uid="{00000000-0005-0000-0000-0000D5400000}"/>
    <cellStyle name="Normal 5 3 7_SSL" xfId="15056" xr:uid="{00000000-0005-0000-0000-0000D6400000}"/>
    <cellStyle name="Normal 5 3 8" xfId="4299" xr:uid="{00000000-0005-0000-0000-0000D7400000}"/>
    <cellStyle name="Normal 5 3 8 2" xfId="10939" xr:uid="{00000000-0005-0000-0000-0000D8400000}"/>
    <cellStyle name="Normal 5 3 8_SSL" xfId="16671" xr:uid="{00000000-0005-0000-0000-0000D9400000}"/>
    <cellStyle name="Normal 5 3 9" xfId="5110" xr:uid="{00000000-0005-0000-0000-0000DA400000}"/>
    <cellStyle name="Normal 5 3 9 2" xfId="11749" xr:uid="{00000000-0005-0000-0000-0000DB400000}"/>
    <cellStyle name="Normal 5 3 9_SSL" xfId="15015" xr:uid="{00000000-0005-0000-0000-0000DC400000}"/>
    <cellStyle name="Normal 5 3_SSL" xfId="17224" xr:uid="{00000000-0005-0000-0000-0000DD400000}"/>
    <cellStyle name="Normal 5 4" xfId="152" xr:uid="{00000000-0005-0000-0000-0000DE400000}"/>
    <cellStyle name="Normal 5 4 10" xfId="7029" xr:uid="{00000000-0005-0000-0000-0000DF400000}"/>
    <cellStyle name="Normal 5 4 11" xfId="6859" xr:uid="{00000000-0005-0000-0000-0000E0400000}"/>
    <cellStyle name="Normal 5 4 2" xfId="445" xr:uid="{00000000-0005-0000-0000-0000E1400000}"/>
    <cellStyle name="Normal 5 4 2 10" xfId="6860" xr:uid="{00000000-0005-0000-0000-0000E2400000}"/>
    <cellStyle name="Normal 5 4 2 2" xfId="833" xr:uid="{00000000-0005-0000-0000-0000E3400000}"/>
    <cellStyle name="Normal 5 4 2 2 2" xfId="1849" xr:uid="{00000000-0005-0000-0000-0000E4400000}"/>
    <cellStyle name="Normal 5 4 2 2 2 2" xfId="8504" xr:uid="{00000000-0005-0000-0000-0000E5400000}"/>
    <cellStyle name="Normal 5 4 2 2 2_SSL" xfId="15402" xr:uid="{00000000-0005-0000-0000-0000E6400000}"/>
    <cellStyle name="Normal 5 4 2 2 3" xfId="2669" xr:uid="{00000000-0005-0000-0000-0000E7400000}"/>
    <cellStyle name="Normal 5 4 2 2 3 2" xfId="9317" xr:uid="{00000000-0005-0000-0000-0000E8400000}"/>
    <cellStyle name="Normal 5 4 2 2 3_SSL" xfId="16413" xr:uid="{00000000-0005-0000-0000-0000E9400000}"/>
    <cellStyle name="Normal 5 4 2 2 4" xfId="3489" xr:uid="{00000000-0005-0000-0000-0000EA400000}"/>
    <cellStyle name="Normal 5 4 2 2 4 2" xfId="10134" xr:uid="{00000000-0005-0000-0000-0000EB400000}"/>
    <cellStyle name="Normal 5 4 2 2 4_SSL" xfId="16849" xr:uid="{00000000-0005-0000-0000-0000EC400000}"/>
    <cellStyle name="Normal 5 4 2 2 5" xfId="4309" xr:uid="{00000000-0005-0000-0000-0000ED400000}"/>
    <cellStyle name="Normal 5 4 2 2 5 2" xfId="10949" xr:uid="{00000000-0005-0000-0000-0000EE400000}"/>
    <cellStyle name="Normal 5 4 2 2 5_SSL" xfId="16143" xr:uid="{00000000-0005-0000-0000-0000EF400000}"/>
    <cellStyle name="Normal 5 4 2 2 6" xfId="5120" xr:uid="{00000000-0005-0000-0000-0000F0400000}"/>
    <cellStyle name="Normal 5 4 2 2 6 2" xfId="11759" xr:uid="{00000000-0005-0000-0000-0000F1400000}"/>
    <cellStyle name="Normal 5 4 2 2 6_SSL" xfId="17344" xr:uid="{00000000-0005-0000-0000-0000F2400000}"/>
    <cellStyle name="Normal 5 4 2 2 7" xfId="5930" xr:uid="{00000000-0005-0000-0000-0000F3400000}"/>
    <cellStyle name="Normal 5 4 2 2 7 2" xfId="12568" xr:uid="{00000000-0005-0000-0000-0000F4400000}"/>
    <cellStyle name="Normal 5 4 2 2 7_SSL" xfId="17620" xr:uid="{00000000-0005-0000-0000-0000F5400000}"/>
    <cellStyle name="Normal 5 4 2 2 8" xfId="7689" xr:uid="{00000000-0005-0000-0000-0000F6400000}"/>
    <cellStyle name="Normal 5 4 2 2 9" xfId="6861" xr:uid="{00000000-0005-0000-0000-0000F7400000}"/>
    <cellStyle name="Normal 5 4 2 2_SSL" xfId="15373" xr:uid="{00000000-0005-0000-0000-0000F8400000}"/>
    <cellStyle name="Normal 5 4 2 3" xfId="1848" xr:uid="{00000000-0005-0000-0000-0000F9400000}"/>
    <cellStyle name="Normal 5 4 2 3 2" xfId="8503" xr:uid="{00000000-0005-0000-0000-0000FA400000}"/>
    <cellStyle name="Normal 5 4 2 3_SSL" xfId="13314" xr:uid="{00000000-0005-0000-0000-0000FB400000}"/>
    <cellStyle name="Normal 5 4 2 4" xfId="2668" xr:uid="{00000000-0005-0000-0000-0000FC400000}"/>
    <cellStyle name="Normal 5 4 2 4 2" xfId="9316" xr:uid="{00000000-0005-0000-0000-0000FD400000}"/>
    <cellStyle name="Normal 5 4 2 4_SSL" xfId="15572" xr:uid="{00000000-0005-0000-0000-0000FE400000}"/>
    <cellStyle name="Normal 5 4 2 5" xfId="3488" xr:uid="{00000000-0005-0000-0000-0000FF400000}"/>
    <cellStyle name="Normal 5 4 2 5 2" xfId="10133" xr:uid="{00000000-0005-0000-0000-000000410000}"/>
    <cellStyle name="Normal 5 4 2 5_SSL" xfId="17943" xr:uid="{00000000-0005-0000-0000-000001410000}"/>
    <cellStyle name="Normal 5 4 2 6" xfId="4308" xr:uid="{00000000-0005-0000-0000-000002410000}"/>
    <cellStyle name="Normal 5 4 2 6 2" xfId="10948" xr:uid="{00000000-0005-0000-0000-000003410000}"/>
    <cellStyle name="Normal 5 4 2 6_SSL" xfId="14711" xr:uid="{00000000-0005-0000-0000-000004410000}"/>
    <cellStyle name="Normal 5 4 2 7" xfId="5119" xr:uid="{00000000-0005-0000-0000-000005410000}"/>
    <cellStyle name="Normal 5 4 2 7 2" xfId="11758" xr:uid="{00000000-0005-0000-0000-000006410000}"/>
    <cellStyle name="Normal 5 4 2 7_SSL" xfId="12639" xr:uid="{00000000-0005-0000-0000-000007410000}"/>
    <cellStyle name="Normal 5 4 2 8" xfId="5929" xr:uid="{00000000-0005-0000-0000-000008410000}"/>
    <cellStyle name="Normal 5 4 2 8 2" xfId="12567" xr:uid="{00000000-0005-0000-0000-000009410000}"/>
    <cellStyle name="Normal 5 4 2 8_SSL" xfId="15291" xr:uid="{00000000-0005-0000-0000-00000A410000}"/>
    <cellStyle name="Normal 5 4 2 9" xfId="7305" xr:uid="{00000000-0005-0000-0000-00000B410000}"/>
    <cellStyle name="Normal 5 4 2_SSL" xfId="17283" xr:uid="{00000000-0005-0000-0000-00000C410000}"/>
    <cellStyle name="Normal 5 4 3" xfId="557" xr:uid="{00000000-0005-0000-0000-00000D410000}"/>
    <cellStyle name="Normal 5 4 3 2" xfId="1850" xr:uid="{00000000-0005-0000-0000-00000E410000}"/>
    <cellStyle name="Normal 5 4 3 2 2" xfId="8505" xr:uid="{00000000-0005-0000-0000-00000F410000}"/>
    <cellStyle name="Normal 5 4 3 2_SSL" xfId="13996" xr:uid="{00000000-0005-0000-0000-000010410000}"/>
    <cellStyle name="Normal 5 4 3 3" xfId="2670" xr:uid="{00000000-0005-0000-0000-000011410000}"/>
    <cellStyle name="Normal 5 4 3 3 2" xfId="9318" xr:uid="{00000000-0005-0000-0000-000012410000}"/>
    <cellStyle name="Normal 5 4 3 3_SSL" xfId="15562" xr:uid="{00000000-0005-0000-0000-000013410000}"/>
    <cellStyle name="Normal 5 4 3 4" xfId="3490" xr:uid="{00000000-0005-0000-0000-000014410000}"/>
    <cellStyle name="Normal 5 4 3 4 2" xfId="10135" xr:uid="{00000000-0005-0000-0000-000015410000}"/>
    <cellStyle name="Normal 5 4 3 4_SSL" xfId="17297" xr:uid="{00000000-0005-0000-0000-000016410000}"/>
    <cellStyle name="Normal 5 4 3 5" xfId="4310" xr:uid="{00000000-0005-0000-0000-000017410000}"/>
    <cellStyle name="Normal 5 4 3 5 2" xfId="10950" xr:uid="{00000000-0005-0000-0000-000018410000}"/>
    <cellStyle name="Normal 5 4 3 5_SSL" xfId="16038" xr:uid="{00000000-0005-0000-0000-000019410000}"/>
    <cellStyle name="Normal 5 4 3 6" xfId="5121" xr:uid="{00000000-0005-0000-0000-00001A410000}"/>
    <cellStyle name="Normal 5 4 3 6 2" xfId="11760" xr:uid="{00000000-0005-0000-0000-00001B410000}"/>
    <cellStyle name="Normal 5 4 3 6_SSL" xfId="13980" xr:uid="{00000000-0005-0000-0000-00001C410000}"/>
    <cellStyle name="Normal 5 4 3 7" xfId="5931" xr:uid="{00000000-0005-0000-0000-00001D410000}"/>
    <cellStyle name="Normal 5 4 3 7 2" xfId="12569" xr:uid="{00000000-0005-0000-0000-00001E410000}"/>
    <cellStyle name="Normal 5 4 3 7_SSL" xfId="16990" xr:uid="{00000000-0005-0000-0000-00001F410000}"/>
    <cellStyle name="Normal 5 4 3 8" xfId="7413" xr:uid="{00000000-0005-0000-0000-000020410000}"/>
    <cellStyle name="Normal 5 4 3 9" xfId="6862" xr:uid="{00000000-0005-0000-0000-000021410000}"/>
    <cellStyle name="Normal 5 4 3_SSL" xfId="16613" xr:uid="{00000000-0005-0000-0000-000022410000}"/>
    <cellStyle name="Normal 5 4 4" xfId="1847" xr:uid="{00000000-0005-0000-0000-000023410000}"/>
    <cellStyle name="Normal 5 4 4 2" xfId="8502" xr:uid="{00000000-0005-0000-0000-000024410000}"/>
    <cellStyle name="Normal 5 4 4_SSL" xfId="16698" xr:uid="{00000000-0005-0000-0000-000025410000}"/>
    <cellStyle name="Normal 5 4 5" xfId="2667" xr:uid="{00000000-0005-0000-0000-000026410000}"/>
    <cellStyle name="Normal 5 4 5 2" xfId="9315" xr:uid="{00000000-0005-0000-0000-000027410000}"/>
    <cellStyle name="Normal 5 4 5_SSL" xfId="16173" xr:uid="{00000000-0005-0000-0000-000028410000}"/>
    <cellStyle name="Normal 5 4 6" xfId="3487" xr:uid="{00000000-0005-0000-0000-000029410000}"/>
    <cellStyle name="Normal 5 4 6 2" xfId="10132" xr:uid="{00000000-0005-0000-0000-00002A410000}"/>
    <cellStyle name="Normal 5 4 6_SSL" xfId="14381" xr:uid="{00000000-0005-0000-0000-00002B410000}"/>
    <cellStyle name="Normal 5 4 7" xfId="4307" xr:uid="{00000000-0005-0000-0000-00002C410000}"/>
    <cellStyle name="Normal 5 4 7 2" xfId="10947" xr:uid="{00000000-0005-0000-0000-00002D410000}"/>
    <cellStyle name="Normal 5 4 7_SSL" xfId="14594" xr:uid="{00000000-0005-0000-0000-00002E410000}"/>
    <cellStyle name="Normal 5 4 8" xfId="5118" xr:uid="{00000000-0005-0000-0000-00002F410000}"/>
    <cellStyle name="Normal 5 4 8 2" xfId="11757" xr:uid="{00000000-0005-0000-0000-000030410000}"/>
    <cellStyle name="Normal 5 4 8_SSL" xfId="17511" xr:uid="{00000000-0005-0000-0000-000031410000}"/>
    <cellStyle name="Normal 5 4 9" xfId="5928" xr:uid="{00000000-0005-0000-0000-000032410000}"/>
    <cellStyle name="Normal 5 4 9 2" xfId="12566" xr:uid="{00000000-0005-0000-0000-000033410000}"/>
    <cellStyle name="Normal 5 4 9_SSL" xfId="16197" xr:uid="{00000000-0005-0000-0000-000034410000}"/>
    <cellStyle name="Normal 5 4_SSL" xfId="17516" xr:uid="{00000000-0005-0000-0000-000035410000}"/>
    <cellStyle name="Normal 5 5" xfId="256" xr:uid="{00000000-0005-0000-0000-000036410000}"/>
    <cellStyle name="Normal 5 5 10" xfId="6863" xr:uid="{00000000-0005-0000-0000-000037410000}"/>
    <cellStyle name="Normal 5 5 2" xfId="653" xr:uid="{00000000-0005-0000-0000-000038410000}"/>
    <cellStyle name="Normal 5 5 2 2" xfId="1852" xr:uid="{00000000-0005-0000-0000-000039410000}"/>
    <cellStyle name="Normal 5 5 2 2 2" xfId="8507" xr:uid="{00000000-0005-0000-0000-00003A410000}"/>
    <cellStyle name="Normal 5 5 2 2_SSL" xfId="15362" xr:uid="{00000000-0005-0000-0000-00003B410000}"/>
    <cellStyle name="Normal 5 5 2 3" xfId="2672" xr:uid="{00000000-0005-0000-0000-00003C410000}"/>
    <cellStyle name="Normal 5 5 2 3 2" xfId="9320" xr:uid="{00000000-0005-0000-0000-00003D410000}"/>
    <cellStyle name="Normal 5 5 2 3_SSL" xfId="16076" xr:uid="{00000000-0005-0000-0000-00003E410000}"/>
    <cellStyle name="Normal 5 5 2 4" xfId="3492" xr:uid="{00000000-0005-0000-0000-00003F410000}"/>
    <cellStyle name="Normal 5 5 2 4 2" xfId="10137" xr:uid="{00000000-0005-0000-0000-000040410000}"/>
    <cellStyle name="Normal 5 5 2 4_SSL" xfId="13750" xr:uid="{00000000-0005-0000-0000-000041410000}"/>
    <cellStyle name="Normal 5 5 2 5" xfId="4312" xr:uid="{00000000-0005-0000-0000-000042410000}"/>
    <cellStyle name="Normal 5 5 2 5 2" xfId="10952" xr:uid="{00000000-0005-0000-0000-000043410000}"/>
    <cellStyle name="Normal 5 5 2 5_SSL" xfId="17522" xr:uid="{00000000-0005-0000-0000-000044410000}"/>
    <cellStyle name="Normal 5 5 2 6" xfId="5123" xr:uid="{00000000-0005-0000-0000-000045410000}"/>
    <cellStyle name="Normal 5 5 2 6 2" xfId="11762" xr:uid="{00000000-0005-0000-0000-000046410000}"/>
    <cellStyle name="Normal 5 5 2 6_SSL" xfId="14566" xr:uid="{00000000-0005-0000-0000-000047410000}"/>
    <cellStyle name="Normal 5 5 2 7" xfId="5933" xr:uid="{00000000-0005-0000-0000-000048410000}"/>
    <cellStyle name="Normal 5 5 2 7 2" xfId="12571" xr:uid="{00000000-0005-0000-0000-000049410000}"/>
    <cellStyle name="Normal 5 5 2 7_SSL" xfId="17780" xr:uid="{00000000-0005-0000-0000-00004A410000}"/>
    <cellStyle name="Normal 5 5 2 8" xfId="7509" xr:uid="{00000000-0005-0000-0000-00004B410000}"/>
    <cellStyle name="Normal 5 5 2 9" xfId="6864" xr:uid="{00000000-0005-0000-0000-00004C410000}"/>
    <cellStyle name="Normal 5 5 2_SSL" xfId="6117" xr:uid="{00000000-0005-0000-0000-00004D410000}"/>
    <cellStyle name="Normal 5 5 3" xfId="1851" xr:uid="{00000000-0005-0000-0000-00004E410000}"/>
    <cellStyle name="Normal 5 5 3 2" xfId="8506" xr:uid="{00000000-0005-0000-0000-00004F410000}"/>
    <cellStyle name="Normal 5 5 3_SSL" xfId="14581" xr:uid="{00000000-0005-0000-0000-000050410000}"/>
    <cellStyle name="Normal 5 5 4" xfId="2671" xr:uid="{00000000-0005-0000-0000-000051410000}"/>
    <cellStyle name="Normal 5 5 4 2" xfId="9319" xr:uid="{00000000-0005-0000-0000-000052410000}"/>
    <cellStyle name="Normal 5 5 4_SSL" xfId="15419" xr:uid="{00000000-0005-0000-0000-000053410000}"/>
    <cellStyle name="Normal 5 5 5" xfId="3491" xr:uid="{00000000-0005-0000-0000-000054410000}"/>
    <cellStyle name="Normal 5 5 5 2" xfId="10136" xr:uid="{00000000-0005-0000-0000-000055410000}"/>
    <cellStyle name="Normal 5 5 5_SSL" xfId="13577" xr:uid="{00000000-0005-0000-0000-000056410000}"/>
    <cellStyle name="Normal 5 5 6" xfId="4311" xr:uid="{00000000-0005-0000-0000-000057410000}"/>
    <cellStyle name="Normal 5 5 6 2" xfId="10951" xr:uid="{00000000-0005-0000-0000-000058410000}"/>
    <cellStyle name="Normal 5 5 6_SSL" xfId="16601" xr:uid="{00000000-0005-0000-0000-000059410000}"/>
    <cellStyle name="Normal 5 5 7" xfId="5122" xr:uid="{00000000-0005-0000-0000-00005A410000}"/>
    <cellStyle name="Normal 5 5 7 2" xfId="11761" xr:uid="{00000000-0005-0000-0000-00005B410000}"/>
    <cellStyle name="Normal 5 5 7_SSL" xfId="13592" xr:uid="{00000000-0005-0000-0000-00005C410000}"/>
    <cellStyle name="Normal 5 5 8" xfId="5932" xr:uid="{00000000-0005-0000-0000-00005D410000}"/>
    <cellStyle name="Normal 5 5 8 2" xfId="12570" xr:uid="{00000000-0005-0000-0000-00005E410000}"/>
    <cellStyle name="Normal 5 5 8_SSL" xfId="12719" xr:uid="{00000000-0005-0000-0000-00005F410000}"/>
    <cellStyle name="Normal 5 5 9" xfId="7125" xr:uid="{00000000-0005-0000-0000-000060410000}"/>
    <cellStyle name="Normal 5 5_SSL" xfId="16350" xr:uid="{00000000-0005-0000-0000-000061410000}"/>
    <cellStyle name="Normal 5 6" xfId="461" xr:uid="{00000000-0005-0000-0000-000062410000}"/>
    <cellStyle name="Normal 5 6 2" xfId="1853" xr:uid="{00000000-0005-0000-0000-000063410000}"/>
    <cellStyle name="Normal 5 6 2 2" xfId="8508" xr:uid="{00000000-0005-0000-0000-000064410000}"/>
    <cellStyle name="Normal 5 6 2_SSL" xfId="16341" xr:uid="{00000000-0005-0000-0000-000065410000}"/>
    <cellStyle name="Normal 5 6 3" xfId="2673" xr:uid="{00000000-0005-0000-0000-000066410000}"/>
    <cellStyle name="Normal 5 6 3 2" xfId="9321" xr:uid="{00000000-0005-0000-0000-000067410000}"/>
    <cellStyle name="Normal 5 6 3_SSL" xfId="15105" xr:uid="{00000000-0005-0000-0000-000068410000}"/>
    <cellStyle name="Normal 5 6 4" xfId="3493" xr:uid="{00000000-0005-0000-0000-000069410000}"/>
    <cellStyle name="Normal 5 6 4 2" xfId="10138" xr:uid="{00000000-0005-0000-0000-00006A410000}"/>
    <cellStyle name="Normal 5 6 4_SSL" xfId="13930" xr:uid="{00000000-0005-0000-0000-00006B410000}"/>
    <cellStyle name="Normal 5 6 5" xfId="4313" xr:uid="{00000000-0005-0000-0000-00006C410000}"/>
    <cellStyle name="Normal 5 6 5 2" xfId="10953" xr:uid="{00000000-0005-0000-0000-00006D410000}"/>
    <cellStyle name="Normal 5 6 5_SSL" xfId="14975" xr:uid="{00000000-0005-0000-0000-00006E410000}"/>
    <cellStyle name="Normal 5 6 6" xfId="5124" xr:uid="{00000000-0005-0000-0000-00006F410000}"/>
    <cellStyle name="Normal 5 6 6 2" xfId="11763" xr:uid="{00000000-0005-0000-0000-000070410000}"/>
    <cellStyle name="Normal 5 6 6_SSL" xfId="17945" xr:uid="{00000000-0005-0000-0000-000071410000}"/>
    <cellStyle name="Normal 5 6 7" xfId="5934" xr:uid="{00000000-0005-0000-0000-000072410000}"/>
    <cellStyle name="Normal 5 6 7 2" xfId="12572" xr:uid="{00000000-0005-0000-0000-000073410000}"/>
    <cellStyle name="Normal 5 6 7_SSL" xfId="13442" xr:uid="{00000000-0005-0000-0000-000074410000}"/>
    <cellStyle name="Normal 5 6 8" xfId="7317" xr:uid="{00000000-0005-0000-0000-000075410000}"/>
    <cellStyle name="Normal 5 6 9" xfId="6865" xr:uid="{00000000-0005-0000-0000-000076410000}"/>
    <cellStyle name="Normal 5 6_SSL" xfId="13991" xr:uid="{00000000-0005-0000-0000-000077410000}"/>
    <cellStyle name="Normal 5 7" xfId="1071" xr:uid="{00000000-0005-0000-0000-000078410000}"/>
    <cellStyle name="Normal 5 8" xfId="1098" xr:uid="{00000000-0005-0000-0000-000079410000}"/>
    <cellStyle name="Normal 5 8 2" xfId="7756" xr:uid="{00000000-0005-0000-0000-00007A410000}"/>
    <cellStyle name="Normal 5 8_SSL" xfId="12703" xr:uid="{00000000-0005-0000-0000-00007B410000}"/>
    <cellStyle name="Normal 5 9" xfId="1922" xr:uid="{00000000-0005-0000-0000-00007C410000}"/>
    <cellStyle name="Normal 5 9 2" xfId="8570" xr:uid="{00000000-0005-0000-0000-00007D410000}"/>
    <cellStyle name="Normal 5 9_SSL" xfId="15104" xr:uid="{00000000-0005-0000-0000-00007E410000}"/>
    <cellStyle name="Normal 5_SSL" xfId="14034" xr:uid="{00000000-0005-0000-0000-00007F410000}"/>
    <cellStyle name="Normal 50" xfId="1126" xr:uid="{00000000-0005-0000-0000-000080410000}"/>
    <cellStyle name="Normal 51" xfId="1912" xr:uid="{00000000-0005-0000-0000-000081410000}"/>
    <cellStyle name="Normal 52" xfId="1902" xr:uid="{00000000-0005-0000-0000-000082410000}"/>
    <cellStyle name="Normal 53" xfId="1913" xr:uid="{00000000-0005-0000-0000-000083410000}"/>
    <cellStyle name="Normal 54" xfId="1092" xr:uid="{00000000-0005-0000-0000-000084410000}"/>
    <cellStyle name="Normal 55" xfId="1114" xr:uid="{00000000-0005-0000-0000-000085410000}"/>
    <cellStyle name="Normal 56" xfId="1110" xr:uid="{00000000-0005-0000-0000-000086410000}"/>
    <cellStyle name="Normal 57" xfId="1910" xr:uid="{00000000-0005-0000-0000-000087410000}"/>
    <cellStyle name="Normal 58" xfId="1909" xr:uid="{00000000-0005-0000-0000-000088410000}"/>
    <cellStyle name="Normal 59" xfId="1090" xr:uid="{00000000-0005-0000-0000-000089410000}"/>
    <cellStyle name="Normal 6" xfId="16" xr:uid="{00000000-0005-0000-0000-00008A410000}"/>
    <cellStyle name="Normal 6 10" xfId="2743" xr:uid="{00000000-0005-0000-0000-00008B410000}"/>
    <cellStyle name="Normal 6 10 2" xfId="9388" xr:uid="{00000000-0005-0000-0000-00008C410000}"/>
    <cellStyle name="Normal 6 10_SSL" xfId="17746" xr:uid="{00000000-0005-0000-0000-00008D410000}"/>
    <cellStyle name="Normal 6 11" xfId="3565" xr:uid="{00000000-0005-0000-0000-00008E410000}"/>
    <cellStyle name="Normal 6 11 2" xfId="10206" xr:uid="{00000000-0005-0000-0000-00008F410000}"/>
    <cellStyle name="Normal 6 11_SSL" xfId="13544" xr:uid="{00000000-0005-0000-0000-000090410000}"/>
    <cellStyle name="Normal 6 12" xfId="4377" xr:uid="{00000000-0005-0000-0000-000091410000}"/>
    <cellStyle name="Normal 6 12 2" xfId="11016" xr:uid="{00000000-0005-0000-0000-000092410000}"/>
    <cellStyle name="Normal 6 12_SSL" xfId="15951" xr:uid="{00000000-0005-0000-0000-000093410000}"/>
    <cellStyle name="Normal 6 13" xfId="5187" xr:uid="{00000000-0005-0000-0000-000094410000}"/>
    <cellStyle name="Normal 6 13 2" xfId="11825" xr:uid="{00000000-0005-0000-0000-000095410000}"/>
    <cellStyle name="Normal 6 13_SSL" xfId="14210" xr:uid="{00000000-0005-0000-0000-000096410000}"/>
    <cellStyle name="Normal 6 14" xfId="6931" xr:uid="{00000000-0005-0000-0000-000097410000}"/>
    <cellStyle name="Normal 6 15" xfId="6081" xr:uid="{00000000-0005-0000-0000-000098410000}"/>
    <cellStyle name="Normal 6 2" xfId="58" xr:uid="{00000000-0005-0000-0000-000099410000}"/>
    <cellStyle name="Normal 6 2 2" xfId="446" xr:uid="{00000000-0005-0000-0000-00009A410000}"/>
    <cellStyle name="Normal 6 2_SSL" xfId="14977" xr:uid="{00000000-0005-0000-0000-00009B410000}"/>
    <cellStyle name="Normal 6 3" xfId="88" xr:uid="{00000000-0005-0000-0000-00009C410000}"/>
    <cellStyle name="Normal 6 4" xfId="128" xr:uid="{00000000-0005-0000-0000-00009D410000}"/>
    <cellStyle name="Normal 6 4 10" xfId="5935" xr:uid="{00000000-0005-0000-0000-00009E410000}"/>
    <cellStyle name="Normal 6 4 10 2" xfId="12573" xr:uid="{00000000-0005-0000-0000-00009F410000}"/>
    <cellStyle name="Normal 6 4 10_SSL" xfId="15045" xr:uid="{00000000-0005-0000-0000-0000A0410000}"/>
    <cellStyle name="Normal 6 4 11" xfId="7005" xr:uid="{00000000-0005-0000-0000-0000A1410000}"/>
    <cellStyle name="Normal 6 4 12" xfId="6866" xr:uid="{00000000-0005-0000-0000-0000A2410000}"/>
    <cellStyle name="Normal 6 4 2" xfId="224" xr:uid="{00000000-0005-0000-0000-0000A3410000}"/>
    <cellStyle name="Normal 6 4 2 10" xfId="7101" xr:uid="{00000000-0005-0000-0000-0000A4410000}"/>
    <cellStyle name="Normal 6 4 2 11" xfId="6867" xr:uid="{00000000-0005-0000-0000-0000A5410000}"/>
    <cellStyle name="Normal 6 4 2 2" xfId="448" xr:uid="{00000000-0005-0000-0000-0000A6410000}"/>
    <cellStyle name="Normal 6 4 2 2 10" xfId="6868" xr:uid="{00000000-0005-0000-0000-0000A7410000}"/>
    <cellStyle name="Normal 6 4 2 2 2" xfId="835" xr:uid="{00000000-0005-0000-0000-0000A8410000}"/>
    <cellStyle name="Normal 6 4 2 2 2 2" xfId="1857" xr:uid="{00000000-0005-0000-0000-0000A9410000}"/>
    <cellStyle name="Normal 6 4 2 2 2 2 2" xfId="8512" xr:uid="{00000000-0005-0000-0000-0000AA410000}"/>
    <cellStyle name="Normal 6 4 2 2 2 2_SSL" xfId="14980" xr:uid="{00000000-0005-0000-0000-0000AB410000}"/>
    <cellStyle name="Normal 6 4 2 2 2 3" xfId="2677" xr:uid="{00000000-0005-0000-0000-0000AC410000}"/>
    <cellStyle name="Normal 6 4 2 2 2 3 2" xfId="9325" xr:uid="{00000000-0005-0000-0000-0000AD410000}"/>
    <cellStyle name="Normal 6 4 2 2 2 3_SSL" xfId="14044" xr:uid="{00000000-0005-0000-0000-0000AE410000}"/>
    <cellStyle name="Normal 6 4 2 2 2 4" xfId="3498" xr:uid="{00000000-0005-0000-0000-0000AF410000}"/>
    <cellStyle name="Normal 6 4 2 2 2 4 2" xfId="10142" xr:uid="{00000000-0005-0000-0000-0000B0410000}"/>
    <cellStyle name="Normal 6 4 2 2 2 4_SSL" xfId="16395" xr:uid="{00000000-0005-0000-0000-0000B1410000}"/>
    <cellStyle name="Normal 6 4 2 2 2 5" xfId="4317" xr:uid="{00000000-0005-0000-0000-0000B2410000}"/>
    <cellStyle name="Normal 6 4 2 2 2 5 2" xfId="10957" xr:uid="{00000000-0005-0000-0000-0000B3410000}"/>
    <cellStyle name="Normal 6 4 2 2 2 5_SSL" xfId="14027" xr:uid="{00000000-0005-0000-0000-0000B4410000}"/>
    <cellStyle name="Normal 6 4 2 2 2 6" xfId="5128" xr:uid="{00000000-0005-0000-0000-0000B5410000}"/>
    <cellStyle name="Normal 6 4 2 2 2 6 2" xfId="11767" xr:uid="{00000000-0005-0000-0000-0000B6410000}"/>
    <cellStyle name="Normal 6 4 2 2 2 6_SSL" xfId="15666" xr:uid="{00000000-0005-0000-0000-0000B7410000}"/>
    <cellStyle name="Normal 6 4 2 2 2 7" xfId="5938" xr:uid="{00000000-0005-0000-0000-0000B8410000}"/>
    <cellStyle name="Normal 6 4 2 2 2 7 2" xfId="12576" xr:uid="{00000000-0005-0000-0000-0000B9410000}"/>
    <cellStyle name="Normal 6 4 2 2 2 7_SSL" xfId="16071" xr:uid="{00000000-0005-0000-0000-0000BA410000}"/>
    <cellStyle name="Normal 6 4 2 2 2 8" xfId="7691" xr:uid="{00000000-0005-0000-0000-0000BB410000}"/>
    <cellStyle name="Normal 6 4 2 2 2 9" xfId="6869" xr:uid="{00000000-0005-0000-0000-0000BC410000}"/>
    <cellStyle name="Normal 6 4 2 2 2_SSL" xfId="16266" xr:uid="{00000000-0005-0000-0000-0000BD410000}"/>
    <cellStyle name="Normal 6 4 2 2 3" xfId="1856" xr:uid="{00000000-0005-0000-0000-0000BE410000}"/>
    <cellStyle name="Normal 6 4 2 2 3 2" xfId="8511" xr:uid="{00000000-0005-0000-0000-0000BF410000}"/>
    <cellStyle name="Normal 6 4 2 2 3_SSL" xfId="17288" xr:uid="{00000000-0005-0000-0000-0000C0410000}"/>
    <cellStyle name="Normal 6 4 2 2 4" xfId="2676" xr:uid="{00000000-0005-0000-0000-0000C1410000}"/>
    <cellStyle name="Normal 6 4 2 2 4 2" xfId="9324" xr:uid="{00000000-0005-0000-0000-0000C2410000}"/>
    <cellStyle name="Normal 6 4 2 2 4_SSL" xfId="15612" xr:uid="{00000000-0005-0000-0000-0000C3410000}"/>
    <cellStyle name="Normal 6 4 2 2 5" xfId="3497" xr:uid="{00000000-0005-0000-0000-0000C4410000}"/>
    <cellStyle name="Normal 6 4 2 2 5 2" xfId="10141" xr:uid="{00000000-0005-0000-0000-0000C5410000}"/>
    <cellStyle name="Normal 6 4 2 2 5_SSL" xfId="14084" xr:uid="{00000000-0005-0000-0000-0000C6410000}"/>
    <cellStyle name="Normal 6 4 2 2 6" xfId="4316" xr:uid="{00000000-0005-0000-0000-0000C7410000}"/>
    <cellStyle name="Normal 6 4 2 2 6 2" xfId="10956" xr:uid="{00000000-0005-0000-0000-0000C8410000}"/>
    <cellStyle name="Normal 6 4 2 2 6_SSL" xfId="17643" xr:uid="{00000000-0005-0000-0000-0000C9410000}"/>
    <cellStyle name="Normal 6 4 2 2 7" xfId="5127" xr:uid="{00000000-0005-0000-0000-0000CA410000}"/>
    <cellStyle name="Normal 6 4 2 2 7 2" xfId="11766" xr:uid="{00000000-0005-0000-0000-0000CB410000}"/>
    <cellStyle name="Normal 6 4 2 2 7_SSL" xfId="14355" xr:uid="{00000000-0005-0000-0000-0000CC410000}"/>
    <cellStyle name="Normal 6 4 2 2 8" xfId="5937" xr:uid="{00000000-0005-0000-0000-0000CD410000}"/>
    <cellStyle name="Normal 6 4 2 2 8 2" xfId="12575" xr:uid="{00000000-0005-0000-0000-0000CE410000}"/>
    <cellStyle name="Normal 6 4 2 2 8_SSL" xfId="16092" xr:uid="{00000000-0005-0000-0000-0000CF410000}"/>
    <cellStyle name="Normal 6 4 2 2 9" xfId="7307" xr:uid="{00000000-0005-0000-0000-0000D0410000}"/>
    <cellStyle name="Normal 6 4 2 2_SSL" xfId="15700" xr:uid="{00000000-0005-0000-0000-0000D1410000}"/>
    <cellStyle name="Normal 6 4 2 3" xfId="629" xr:uid="{00000000-0005-0000-0000-0000D2410000}"/>
    <cellStyle name="Normal 6 4 2 3 2" xfId="1858" xr:uid="{00000000-0005-0000-0000-0000D3410000}"/>
    <cellStyle name="Normal 6 4 2 3 2 2" xfId="8513" xr:uid="{00000000-0005-0000-0000-0000D4410000}"/>
    <cellStyle name="Normal 6 4 2 3 2_SSL" xfId="14531" xr:uid="{00000000-0005-0000-0000-0000D5410000}"/>
    <cellStyle name="Normal 6 4 2 3 3" xfId="2678" xr:uid="{00000000-0005-0000-0000-0000D6410000}"/>
    <cellStyle name="Normal 6 4 2 3 3 2" xfId="9326" xr:uid="{00000000-0005-0000-0000-0000D7410000}"/>
    <cellStyle name="Normal 6 4 2 3 3_SSL" xfId="15103" xr:uid="{00000000-0005-0000-0000-0000D8410000}"/>
    <cellStyle name="Normal 6 4 2 3 4" xfId="3499" xr:uid="{00000000-0005-0000-0000-0000D9410000}"/>
    <cellStyle name="Normal 6 4 2 3 4 2" xfId="10143" xr:uid="{00000000-0005-0000-0000-0000DA410000}"/>
    <cellStyle name="Normal 6 4 2 3 4_SSL" xfId="16072" xr:uid="{00000000-0005-0000-0000-0000DB410000}"/>
    <cellStyle name="Normal 6 4 2 3 5" xfId="4318" xr:uid="{00000000-0005-0000-0000-0000DC410000}"/>
    <cellStyle name="Normal 6 4 2 3 5 2" xfId="10958" xr:uid="{00000000-0005-0000-0000-0000DD410000}"/>
    <cellStyle name="Normal 6 4 2 3 5_SSL" xfId="14519" xr:uid="{00000000-0005-0000-0000-0000DE410000}"/>
    <cellStyle name="Normal 6 4 2 3 6" xfId="5129" xr:uid="{00000000-0005-0000-0000-0000DF410000}"/>
    <cellStyle name="Normal 6 4 2 3 6 2" xfId="11768" xr:uid="{00000000-0005-0000-0000-0000E0410000}"/>
    <cellStyle name="Normal 6 4 2 3 6_SSL" xfId="17462" xr:uid="{00000000-0005-0000-0000-0000E1410000}"/>
    <cellStyle name="Normal 6 4 2 3 7" xfId="5939" xr:uid="{00000000-0005-0000-0000-0000E2410000}"/>
    <cellStyle name="Normal 6 4 2 3 7 2" xfId="12577" xr:uid="{00000000-0005-0000-0000-0000E3410000}"/>
    <cellStyle name="Normal 6 4 2 3 7_SSL" xfId="16730" xr:uid="{00000000-0005-0000-0000-0000E4410000}"/>
    <cellStyle name="Normal 6 4 2 3 8" xfId="7485" xr:uid="{00000000-0005-0000-0000-0000E5410000}"/>
    <cellStyle name="Normal 6 4 2 3 9" xfId="6870" xr:uid="{00000000-0005-0000-0000-0000E6410000}"/>
    <cellStyle name="Normal 6 4 2 3_SSL" xfId="17126" xr:uid="{00000000-0005-0000-0000-0000E7410000}"/>
    <cellStyle name="Normal 6 4 2 4" xfId="1855" xr:uid="{00000000-0005-0000-0000-0000E8410000}"/>
    <cellStyle name="Normal 6 4 2 4 2" xfId="8510" xr:uid="{00000000-0005-0000-0000-0000E9410000}"/>
    <cellStyle name="Normal 6 4 2 4_SSL" xfId="13537" xr:uid="{00000000-0005-0000-0000-0000EA410000}"/>
    <cellStyle name="Normal 6 4 2 5" xfId="2675" xr:uid="{00000000-0005-0000-0000-0000EB410000}"/>
    <cellStyle name="Normal 6 4 2 5 2" xfId="9323" xr:uid="{00000000-0005-0000-0000-0000EC410000}"/>
    <cellStyle name="Normal 6 4 2 5_SSL" xfId="12957" xr:uid="{00000000-0005-0000-0000-0000ED410000}"/>
    <cellStyle name="Normal 6 4 2 6" xfId="3496" xr:uid="{00000000-0005-0000-0000-0000EE410000}"/>
    <cellStyle name="Normal 6 4 2 6 2" xfId="10140" xr:uid="{00000000-0005-0000-0000-0000EF410000}"/>
    <cellStyle name="Normal 6 4 2 6_SSL" xfId="13970" xr:uid="{00000000-0005-0000-0000-0000F0410000}"/>
    <cellStyle name="Normal 6 4 2 7" xfId="4315" xr:uid="{00000000-0005-0000-0000-0000F1410000}"/>
    <cellStyle name="Normal 6 4 2 7 2" xfId="10955" xr:uid="{00000000-0005-0000-0000-0000F2410000}"/>
    <cellStyle name="Normal 6 4 2 7_SSL" xfId="13725" xr:uid="{00000000-0005-0000-0000-0000F3410000}"/>
    <cellStyle name="Normal 6 4 2 8" xfId="5126" xr:uid="{00000000-0005-0000-0000-0000F4410000}"/>
    <cellStyle name="Normal 6 4 2 8 2" xfId="11765" xr:uid="{00000000-0005-0000-0000-0000F5410000}"/>
    <cellStyle name="Normal 6 4 2 8_SSL" xfId="15930" xr:uid="{00000000-0005-0000-0000-0000F6410000}"/>
    <cellStyle name="Normal 6 4 2 9" xfId="5936" xr:uid="{00000000-0005-0000-0000-0000F7410000}"/>
    <cellStyle name="Normal 6 4 2 9 2" xfId="12574" xr:uid="{00000000-0005-0000-0000-0000F8410000}"/>
    <cellStyle name="Normal 6 4 2 9_SSL" xfId="12963" xr:uid="{00000000-0005-0000-0000-0000F9410000}"/>
    <cellStyle name="Normal 6 4 2_SSL" xfId="15102" xr:uid="{00000000-0005-0000-0000-0000FA410000}"/>
    <cellStyle name="Normal 6 4 3" xfId="447" xr:uid="{00000000-0005-0000-0000-0000FB410000}"/>
    <cellStyle name="Normal 6 4 3 10" xfId="6871" xr:uid="{00000000-0005-0000-0000-0000FC410000}"/>
    <cellStyle name="Normal 6 4 3 2" xfId="834" xr:uid="{00000000-0005-0000-0000-0000FD410000}"/>
    <cellStyle name="Normal 6 4 3 2 2" xfId="1860" xr:uid="{00000000-0005-0000-0000-0000FE410000}"/>
    <cellStyle name="Normal 6 4 3 2 2 2" xfId="8515" xr:uid="{00000000-0005-0000-0000-0000FF410000}"/>
    <cellStyle name="Normal 6 4 3 2 2_SSL" xfId="15851" xr:uid="{00000000-0005-0000-0000-000000420000}"/>
    <cellStyle name="Normal 6 4 3 2 3" xfId="2680" xr:uid="{00000000-0005-0000-0000-000001420000}"/>
    <cellStyle name="Normal 6 4 3 2 3 2" xfId="9328" xr:uid="{00000000-0005-0000-0000-000002420000}"/>
    <cellStyle name="Normal 6 4 3 2 3_SSL" xfId="13293" xr:uid="{00000000-0005-0000-0000-000003420000}"/>
    <cellStyle name="Normal 6 4 3 2 4" xfId="3501" xr:uid="{00000000-0005-0000-0000-000004420000}"/>
    <cellStyle name="Normal 6 4 3 2 4 2" xfId="10145" xr:uid="{00000000-0005-0000-0000-000005420000}"/>
    <cellStyle name="Normal 6 4 3 2 4_SSL" xfId="13317" xr:uid="{00000000-0005-0000-0000-000006420000}"/>
    <cellStyle name="Normal 6 4 3 2 5" xfId="4320" xr:uid="{00000000-0005-0000-0000-000007420000}"/>
    <cellStyle name="Normal 6 4 3 2 5 2" xfId="10960" xr:uid="{00000000-0005-0000-0000-000008420000}"/>
    <cellStyle name="Normal 6 4 3 2 5_SSL" xfId="13243" xr:uid="{00000000-0005-0000-0000-000009420000}"/>
    <cellStyle name="Normal 6 4 3 2 6" xfId="5131" xr:uid="{00000000-0005-0000-0000-00000A420000}"/>
    <cellStyle name="Normal 6 4 3 2 6 2" xfId="11770" xr:uid="{00000000-0005-0000-0000-00000B420000}"/>
    <cellStyle name="Normal 6 4 3 2 6_SSL" xfId="15734" xr:uid="{00000000-0005-0000-0000-00000C420000}"/>
    <cellStyle name="Normal 6 4 3 2 7" xfId="5941" xr:uid="{00000000-0005-0000-0000-00000D420000}"/>
    <cellStyle name="Normal 6 4 3 2 7 2" xfId="12579" xr:uid="{00000000-0005-0000-0000-00000E420000}"/>
    <cellStyle name="Normal 6 4 3 2 7_SSL" xfId="14004" xr:uid="{00000000-0005-0000-0000-00000F420000}"/>
    <cellStyle name="Normal 6 4 3 2 8" xfId="7690" xr:uid="{00000000-0005-0000-0000-000010420000}"/>
    <cellStyle name="Normal 6 4 3 2 9" xfId="6872" xr:uid="{00000000-0005-0000-0000-000011420000}"/>
    <cellStyle name="Normal 6 4 3 2_SSL" xfId="16096" xr:uid="{00000000-0005-0000-0000-000012420000}"/>
    <cellStyle name="Normal 6 4 3 3" xfId="1859" xr:uid="{00000000-0005-0000-0000-000013420000}"/>
    <cellStyle name="Normal 6 4 3 3 2" xfId="8514" xr:uid="{00000000-0005-0000-0000-000014420000}"/>
    <cellStyle name="Normal 6 4 3 3_SSL" xfId="14229" xr:uid="{00000000-0005-0000-0000-000015420000}"/>
    <cellStyle name="Normal 6 4 3 4" xfId="2679" xr:uid="{00000000-0005-0000-0000-000016420000}"/>
    <cellStyle name="Normal 6 4 3 4 2" xfId="9327" xr:uid="{00000000-0005-0000-0000-000017420000}"/>
    <cellStyle name="Normal 6 4 3 4_SSL" xfId="15898" xr:uid="{00000000-0005-0000-0000-000018420000}"/>
    <cellStyle name="Normal 6 4 3 5" xfId="3500" xr:uid="{00000000-0005-0000-0000-000019420000}"/>
    <cellStyle name="Normal 6 4 3 5 2" xfId="10144" xr:uid="{00000000-0005-0000-0000-00001A420000}"/>
    <cellStyle name="Normal 6 4 3 5_SSL" xfId="14998" xr:uid="{00000000-0005-0000-0000-00001B420000}"/>
    <cellStyle name="Normal 6 4 3 6" xfId="4319" xr:uid="{00000000-0005-0000-0000-00001C420000}"/>
    <cellStyle name="Normal 6 4 3 6 2" xfId="10959" xr:uid="{00000000-0005-0000-0000-00001D420000}"/>
    <cellStyle name="Normal 6 4 3 6_SSL" xfId="15335" xr:uid="{00000000-0005-0000-0000-00001E420000}"/>
    <cellStyle name="Normal 6 4 3 7" xfId="5130" xr:uid="{00000000-0005-0000-0000-00001F420000}"/>
    <cellStyle name="Normal 6 4 3 7 2" xfId="11769" xr:uid="{00000000-0005-0000-0000-000020420000}"/>
    <cellStyle name="Normal 6 4 3 7_SSL" xfId="15765" xr:uid="{00000000-0005-0000-0000-000021420000}"/>
    <cellStyle name="Normal 6 4 3 8" xfId="5940" xr:uid="{00000000-0005-0000-0000-000022420000}"/>
    <cellStyle name="Normal 6 4 3 8 2" xfId="12578" xr:uid="{00000000-0005-0000-0000-000023420000}"/>
    <cellStyle name="Normal 6 4 3 8_SSL" xfId="17098" xr:uid="{00000000-0005-0000-0000-000024420000}"/>
    <cellStyle name="Normal 6 4 3 9" xfId="7306" xr:uid="{00000000-0005-0000-0000-000025420000}"/>
    <cellStyle name="Normal 6 4 3_SSL" xfId="13099" xr:uid="{00000000-0005-0000-0000-000026420000}"/>
    <cellStyle name="Normal 6 4 4" xfId="533" xr:uid="{00000000-0005-0000-0000-000027420000}"/>
    <cellStyle name="Normal 6 4 4 2" xfId="1861" xr:uid="{00000000-0005-0000-0000-000028420000}"/>
    <cellStyle name="Normal 6 4 4 2 2" xfId="8516" xr:uid="{00000000-0005-0000-0000-000029420000}"/>
    <cellStyle name="Normal 6 4 4 2_SSL" xfId="13560" xr:uid="{00000000-0005-0000-0000-00002A420000}"/>
    <cellStyle name="Normal 6 4 4 3" xfId="2681" xr:uid="{00000000-0005-0000-0000-00002B420000}"/>
    <cellStyle name="Normal 6 4 4 3 2" xfId="9329" xr:uid="{00000000-0005-0000-0000-00002C420000}"/>
    <cellStyle name="Normal 6 4 4 3_SSL" xfId="16838" xr:uid="{00000000-0005-0000-0000-00002D420000}"/>
    <cellStyle name="Normal 6 4 4 4" xfId="3502" xr:uid="{00000000-0005-0000-0000-00002E420000}"/>
    <cellStyle name="Normal 6 4 4 4 2" xfId="10146" xr:uid="{00000000-0005-0000-0000-00002F420000}"/>
    <cellStyle name="Normal 6 4 4 4_SSL" xfId="17388" xr:uid="{00000000-0005-0000-0000-000030420000}"/>
    <cellStyle name="Normal 6 4 4 5" xfId="4321" xr:uid="{00000000-0005-0000-0000-000031420000}"/>
    <cellStyle name="Normal 6 4 4 5 2" xfId="10961" xr:uid="{00000000-0005-0000-0000-000032420000}"/>
    <cellStyle name="Normal 6 4 4 5_SSL" xfId="13450" xr:uid="{00000000-0005-0000-0000-000033420000}"/>
    <cellStyle name="Normal 6 4 4 6" xfId="5132" xr:uid="{00000000-0005-0000-0000-000034420000}"/>
    <cellStyle name="Normal 6 4 4 6 2" xfId="11771" xr:uid="{00000000-0005-0000-0000-000035420000}"/>
    <cellStyle name="Normal 6 4 4 6_SSL" xfId="16894" xr:uid="{00000000-0005-0000-0000-000036420000}"/>
    <cellStyle name="Normal 6 4 4 7" xfId="5942" xr:uid="{00000000-0005-0000-0000-000037420000}"/>
    <cellStyle name="Normal 6 4 4 7 2" xfId="12580" xr:uid="{00000000-0005-0000-0000-000038420000}"/>
    <cellStyle name="Normal 6 4 4 7_SSL" xfId="14214" xr:uid="{00000000-0005-0000-0000-000039420000}"/>
    <cellStyle name="Normal 6 4 4 8" xfId="7389" xr:uid="{00000000-0005-0000-0000-00003A420000}"/>
    <cellStyle name="Normal 6 4 4 9" xfId="6873" xr:uid="{00000000-0005-0000-0000-00003B420000}"/>
    <cellStyle name="Normal 6 4 4_SSL" xfId="15016" xr:uid="{00000000-0005-0000-0000-00003C420000}"/>
    <cellStyle name="Normal 6 4 5" xfId="1854" xr:uid="{00000000-0005-0000-0000-00003D420000}"/>
    <cellStyle name="Normal 6 4 5 2" xfId="8509" xr:uid="{00000000-0005-0000-0000-00003E420000}"/>
    <cellStyle name="Normal 6 4 5_SSL" xfId="12830" xr:uid="{00000000-0005-0000-0000-00003F420000}"/>
    <cellStyle name="Normal 6 4 6" xfId="2674" xr:uid="{00000000-0005-0000-0000-000040420000}"/>
    <cellStyle name="Normal 6 4 6 2" xfId="9322" xr:uid="{00000000-0005-0000-0000-000041420000}"/>
    <cellStyle name="Normal 6 4 6_SSL" xfId="12978" xr:uid="{00000000-0005-0000-0000-000042420000}"/>
    <cellStyle name="Normal 6 4 7" xfId="3495" xr:uid="{00000000-0005-0000-0000-000043420000}"/>
    <cellStyle name="Normal 6 4 7 2" xfId="10139" xr:uid="{00000000-0005-0000-0000-000044420000}"/>
    <cellStyle name="Normal 6 4 7_SSL" xfId="13939" xr:uid="{00000000-0005-0000-0000-000045420000}"/>
    <cellStyle name="Normal 6 4 8" xfId="4314" xr:uid="{00000000-0005-0000-0000-000046420000}"/>
    <cellStyle name="Normal 6 4 8 2" xfId="10954" xr:uid="{00000000-0005-0000-0000-000047420000}"/>
    <cellStyle name="Normal 6 4 8_SSL" xfId="17613" xr:uid="{00000000-0005-0000-0000-000048420000}"/>
    <cellStyle name="Normal 6 4 9" xfId="5125" xr:uid="{00000000-0005-0000-0000-000049420000}"/>
    <cellStyle name="Normal 6 4 9 2" xfId="11764" xr:uid="{00000000-0005-0000-0000-00004A420000}"/>
    <cellStyle name="Normal 6 4 9_SSL" xfId="14941" xr:uid="{00000000-0005-0000-0000-00004B420000}"/>
    <cellStyle name="Normal 6 4_SSL" xfId="17464" xr:uid="{00000000-0005-0000-0000-00004C420000}"/>
    <cellStyle name="Normal 6 5" xfId="153" xr:uid="{00000000-0005-0000-0000-00004D420000}"/>
    <cellStyle name="Normal 6 5 10" xfId="7030" xr:uid="{00000000-0005-0000-0000-00004E420000}"/>
    <cellStyle name="Normal 6 5 11" xfId="6874" xr:uid="{00000000-0005-0000-0000-00004F420000}"/>
    <cellStyle name="Normal 6 5 2" xfId="449" xr:uid="{00000000-0005-0000-0000-000050420000}"/>
    <cellStyle name="Normal 6 5 2 10" xfId="6875" xr:uid="{00000000-0005-0000-0000-000051420000}"/>
    <cellStyle name="Normal 6 5 2 2" xfId="836" xr:uid="{00000000-0005-0000-0000-000052420000}"/>
    <cellStyle name="Normal 6 5 2 2 2" xfId="1864" xr:uid="{00000000-0005-0000-0000-000053420000}"/>
    <cellStyle name="Normal 6 5 2 2 2 2" xfId="8519" xr:uid="{00000000-0005-0000-0000-000054420000}"/>
    <cellStyle name="Normal 6 5 2 2 2_SSL" xfId="6007" xr:uid="{00000000-0005-0000-0000-000055420000}"/>
    <cellStyle name="Normal 6 5 2 2 3" xfId="2684" xr:uid="{00000000-0005-0000-0000-000056420000}"/>
    <cellStyle name="Normal 6 5 2 2 3 2" xfId="9332" xr:uid="{00000000-0005-0000-0000-000057420000}"/>
    <cellStyle name="Normal 6 5 2 2 3_SSL" xfId="14255" xr:uid="{00000000-0005-0000-0000-000058420000}"/>
    <cellStyle name="Normal 6 5 2 2 4" xfId="3505" xr:uid="{00000000-0005-0000-0000-000059420000}"/>
    <cellStyle name="Normal 6 5 2 2 4 2" xfId="10149" xr:uid="{00000000-0005-0000-0000-00005A420000}"/>
    <cellStyle name="Normal 6 5 2 2 4_SSL" xfId="14100" xr:uid="{00000000-0005-0000-0000-00005B420000}"/>
    <cellStyle name="Normal 6 5 2 2 5" xfId="4324" xr:uid="{00000000-0005-0000-0000-00005C420000}"/>
    <cellStyle name="Normal 6 5 2 2 5 2" xfId="10964" xr:uid="{00000000-0005-0000-0000-00005D420000}"/>
    <cellStyle name="Normal 6 5 2 2 5_SSL" xfId="14453" xr:uid="{00000000-0005-0000-0000-00005E420000}"/>
    <cellStyle name="Normal 6 5 2 2 6" xfId="5135" xr:uid="{00000000-0005-0000-0000-00005F420000}"/>
    <cellStyle name="Normal 6 5 2 2 6 2" xfId="11774" xr:uid="{00000000-0005-0000-0000-000060420000}"/>
    <cellStyle name="Normal 6 5 2 2 6_SSL" xfId="12708" xr:uid="{00000000-0005-0000-0000-000061420000}"/>
    <cellStyle name="Normal 6 5 2 2 7" xfId="5945" xr:uid="{00000000-0005-0000-0000-000062420000}"/>
    <cellStyle name="Normal 6 5 2 2 7 2" xfId="12583" xr:uid="{00000000-0005-0000-0000-000063420000}"/>
    <cellStyle name="Normal 6 5 2 2 7_SSL" xfId="14857" xr:uid="{00000000-0005-0000-0000-000064420000}"/>
    <cellStyle name="Normal 6 5 2 2 8" xfId="7692" xr:uid="{00000000-0005-0000-0000-000065420000}"/>
    <cellStyle name="Normal 6 5 2 2 9" xfId="6876" xr:uid="{00000000-0005-0000-0000-000066420000}"/>
    <cellStyle name="Normal 6 5 2 2_SSL" xfId="14174" xr:uid="{00000000-0005-0000-0000-000067420000}"/>
    <cellStyle name="Normal 6 5 2 3" xfId="1863" xr:uid="{00000000-0005-0000-0000-000068420000}"/>
    <cellStyle name="Normal 6 5 2 3 2" xfId="8518" xr:uid="{00000000-0005-0000-0000-000069420000}"/>
    <cellStyle name="Normal 6 5 2 3_SSL" xfId="17958" xr:uid="{00000000-0005-0000-0000-00006A420000}"/>
    <cellStyle name="Normal 6 5 2 4" xfId="2683" xr:uid="{00000000-0005-0000-0000-00006B420000}"/>
    <cellStyle name="Normal 6 5 2 4 2" xfId="9331" xr:uid="{00000000-0005-0000-0000-00006C420000}"/>
    <cellStyle name="Normal 6 5 2 4_SSL" xfId="12731" xr:uid="{00000000-0005-0000-0000-00006D420000}"/>
    <cellStyle name="Normal 6 5 2 5" xfId="3504" xr:uid="{00000000-0005-0000-0000-00006E420000}"/>
    <cellStyle name="Normal 6 5 2 5 2" xfId="10148" xr:uid="{00000000-0005-0000-0000-00006F420000}"/>
    <cellStyle name="Normal 6 5 2 5_SSL" xfId="17082" xr:uid="{00000000-0005-0000-0000-000070420000}"/>
    <cellStyle name="Normal 6 5 2 6" xfId="4323" xr:uid="{00000000-0005-0000-0000-000071420000}"/>
    <cellStyle name="Normal 6 5 2 6 2" xfId="10963" xr:uid="{00000000-0005-0000-0000-000072420000}"/>
    <cellStyle name="Normal 6 5 2 6_SSL" xfId="13763" xr:uid="{00000000-0005-0000-0000-000073420000}"/>
    <cellStyle name="Normal 6 5 2 7" xfId="5134" xr:uid="{00000000-0005-0000-0000-000074420000}"/>
    <cellStyle name="Normal 6 5 2 7 2" xfId="11773" xr:uid="{00000000-0005-0000-0000-000075420000}"/>
    <cellStyle name="Normal 6 5 2 7_SSL" xfId="14730" xr:uid="{00000000-0005-0000-0000-000076420000}"/>
    <cellStyle name="Normal 6 5 2 8" xfId="5944" xr:uid="{00000000-0005-0000-0000-000077420000}"/>
    <cellStyle name="Normal 6 5 2 8 2" xfId="12582" xr:uid="{00000000-0005-0000-0000-000078420000}"/>
    <cellStyle name="Normal 6 5 2 8_SSL" xfId="16493" xr:uid="{00000000-0005-0000-0000-000079420000}"/>
    <cellStyle name="Normal 6 5 2 9" xfId="7308" xr:uid="{00000000-0005-0000-0000-00007A420000}"/>
    <cellStyle name="Normal 6 5 2_SSL" xfId="15385" xr:uid="{00000000-0005-0000-0000-00007B420000}"/>
    <cellStyle name="Normal 6 5 3" xfId="558" xr:uid="{00000000-0005-0000-0000-00007C420000}"/>
    <cellStyle name="Normal 6 5 3 2" xfId="1865" xr:uid="{00000000-0005-0000-0000-00007D420000}"/>
    <cellStyle name="Normal 6 5 3 2 2" xfId="8520" xr:uid="{00000000-0005-0000-0000-00007E420000}"/>
    <cellStyle name="Normal 6 5 3 2_SSL" xfId="16475" xr:uid="{00000000-0005-0000-0000-00007F420000}"/>
    <cellStyle name="Normal 6 5 3 3" xfId="2685" xr:uid="{00000000-0005-0000-0000-000080420000}"/>
    <cellStyle name="Normal 6 5 3 3 2" xfId="9333" xr:uid="{00000000-0005-0000-0000-000081420000}"/>
    <cellStyle name="Normal 6 5 3 3_SSL" xfId="17109" xr:uid="{00000000-0005-0000-0000-000082420000}"/>
    <cellStyle name="Normal 6 5 3 4" xfId="3506" xr:uid="{00000000-0005-0000-0000-000083420000}"/>
    <cellStyle name="Normal 6 5 3 4 2" xfId="10150" xr:uid="{00000000-0005-0000-0000-000084420000}"/>
    <cellStyle name="Normal 6 5 3 4_SSL" xfId="14527" xr:uid="{00000000-0005-0000-0000-000085420000}"/>
    <cellStyle name="Normal 6 5 3 5" xfId="4325" xr:uid="{00000000-0005-0000-0000-000086420000}"/>
    <cellStyle name="Normal 6 5 3 5 2" xfId="10965" xr:uid="{00000000-0005-0000-0000-000087420000}"/>
    <cellStyle name="Normal 6 5 3 5_SSL" xfId="15874" xr:uid="{00000000-0005-0000-0000-000088420000}"/>
    <cellStyle name="Normal 6 5 3 6" xfId="5136" xr:uid="{00000000-0005-0000-0000-000089420000}"/>
    <cellStyle name="Normal 6 5 3 6 2" xfId="11775" xr:uid="{00000000-0005-0000-0000-00008A420000}"/>
    <cellStyle name="Normal 6 5 3 6_SSL" xfId="12793" xr:uid="{00000000-0005-0000-0000-00008B420000}"/>
    <cellStyle name="Normal 6 5 3 7" xfId="5946" xr:uid="{00000000-0005-0000-0000-00008C420000}"/>
    <cellStyle name="Normal 6 5 3 7 2" xfId="12584" xr:uid="{00000000-0005-0000-0000-00008D420000}"/>
    <cellStyle name="Normal 6 5 3 7_SSL" xfId="13116" xr:uid="{00000000-0005-0000-0000-00008E420000}"/>
    <cellStyle name="Normal 6 5 3 8" xfId="7414" xr:uid="{00000000-0005-0000-0000-00008F420000}"/>
    <cellStyle name="Normal 6 5 3 9" xfId="6877" xr:uid="{00000000-0005-0000-0000-000090420000}"/>
    <cellStyle name="Normal 6 5 3_SSL" xfId="13131" xr:uid="{00000000-0005-0000-0000-000091420000}"/>
    <cellStyle name="Normal 6 5 4" xfId="1862" xr:uid="{00000000-0005-0000-0000-000092420000}"/>
    <cellStyle name="Normal 6 5 4 2" xfId="8517" xr:uid="{00000000-0005-0000-0000-000093420000}"/>
    <cellStyle name="Normal 6 5 4_SSL" xfId="15833" xr:uid="{00000000-0005-0000-0000-000094420000}"/>
    <cellStyle name="Normal 6 5 5" xfId="2682" xr:uid="{00000000-0005-0000-0000-000095420000}"/>
    <cellStyle name="Normal 6 5 5 2" xfId="9330" xr:uid="{00000000-0005-0000-0000-000096420000}"/>
    <cellStyle name="Normal 6 5 5_SSL" xfId="15799" xr:uid="{00000000-0005-0000-0000-000097420000}"/>
    <cellStyle name="Normal 6 5 6" xfId="3503" xr:uid="{00000000-0005-0000-0000-000098420000}"/>
    <cellStyle name="Normal 6 5 6 2" xfId="10147" xr:uid="{00000000-0005-0000-0000-000099420000}"/>
    <cellStyle name="Normal 6 5 6_SSL" xfId="14217" xr:uid="{00000000-0005-0000-0000-00009A420000}"/>
    <cellStyle name="Normal 6 5 7" xfId="4322" xr:uid="{00000000-0005-0000-0000-00009B420000}"/>
    <cellStyle name="Normal 6 5 7 2" xfId="10962" xr:uid="{00000000-0005-0000-0000-00009C420000}"/>
    <cellStyle name="Normal 6 5 7_SSL" xfId="13729" xr:uid="{00000000-0005-0000-0000-00009D420000}"/>
    <cellStyle name="Normal 6 5 8" xfId="5133" xr:uid="{00000000-0005-0000-0000-00009E420000}"/>
    <cellStyle name="Normal 6 5 8 2" xfId="11772" xr:uid="{00000000-0005-0000-0000-00009F420000}"/>
    <cellStyle name="Normal 6 5 8_SSL" xfId="14708" xr:uid="{00000000-0005-0000-0000-0000A0420000}"/>
    <cellStyle name="Normal 6 5 9" xfId="5943" xr:uid="{00000000-0005-0000-0000-0000A1420000}"/>
    <cellStyle name="Normal 6 5 9 2" xfId="12581" xr:uid="{00000000-0005-0000-0000-0000A2420000}"/>
    <cellStyle name="Normal 6 5 9_SSL" xfId="16962" xr:uid="{00000000-0005-0000-0000-0000A3420000}"/>
    <cellStyle name="Normal 6 5_SSL" xfId="14167" xr:uid="{00000000-0005-0000-0000-0000A4420000}"/>
    <cellStyle name="Normal 6 6" xfId="257" xr:uid="{00000000-0005-0000-0000-0000A5420000}"/>
    <cellStyle name="Normal 6 6 10" xfId="6878" xr:uid="{00000000-0005-0000-0000-0000A6420000}"/>
    <cellStyle name="Normal 6 6 2" xfId="654" xr:uid="{00000000-0005-0000-0000-0000A7420000}"/>
    <cellStyle name="Normal 6 6 2 2" xfId="1867" xr:uid="{00000000-0005-0000-0000-0000A8420000}"/>
    <cellStyle name="Normal 6 6 2 2 2" xfId="8522" xr:uid="{00000000-0005-0000-0000-0000A9420000}"/>
    <cellStyle name="Normal 6 6 2 2_SSL" xfId="15474" xr:uid="{00000000-0005-0000-0000-0000AA420000}"/>
    <cellStyle name="Normal 6 6 2 3" xfId="2687" xr:uid="{00000000-0005-0000-0000-0000AB420000}"/>
    <cellStyle name="Normal 6 6 2 3 2" xfId="9335" xr:uid="{00000000-0005-0000-0000-0000AC420000}"/>
    <cellStyle name="Normal 6 6 2 3_SSL" xfId="17871" xr:uid="{00000000-0005-0000-0000-0000AD420000}"/>
    <cellStyle name="Normal 6 6 2 4" xfId="3508" xr:uid="{00000000-0005-0000-0000-0000AE420000}"/>
    <cellStyle name="Normal 6 6 2 4 2" xfId="10152" xr:uid="{00000000-0005-0000-0000-0000AF420000}"/>
    <cellStyle name="Normal 6 6 2 4_SSL" xfId="13165" xr:uid="{00000000-0005-0000-0000-0000B0420000}"/>
    <cellStyle name="Normal 6 6 2 5" xfId="4327" xr:uid="{00000000-0005-0000-0000-0000B1420000}"/>
    <cellStyle name="Normal 6 6 2 5 2" xfId="10967" xr:uid="{00000000-0005-0000-0000-0000B2420000}"/>
    <cellStyle name="Normal 6 6 2 5_SSL" xfId="14617" xr:uid="{00000000-0005-0000-0000-0000B3420000}"/>
    <cellStyle name="Normal 6 6 2 6" xfId="5138" xr:uid="{00000000-0005-0000-0000-0000B4420000}"/>
    <cellStyle name="Normal 6 6 2 6 2" xfId="11777" xr:uid="{00000000-0005-0000-0000-0000B5420000}"/>
    <cellStyle name="Normal 6 6 2 6_SSL" xfId="15442" xr:uid="{00000000-0005-0000-0000-0000B6420000}"/>
    <cellStyle name="Normal 6 6 2 7" xfId="5948" xr:uid="{00000000-0005-0000-0000-0000B7420000}"/>
    <cellStyle name="Normal 6 6 2 7 2" xfId="12586" xr:uid="{00000000-0005-0000-0000-0000B8420000}"/>
    <cellStyle name="Normal 6 6 2 7_SSL" xfId="15131" xr:uid="{00000000-0005-0000-0000-0000B9420000}"/>
    <cellStyle name="Normal 6 6 2 8" xfId="7510" xr:uid="{00000000-0005-0000-0000-0000BA420000}"/>
    <cellStyle name="Normal 6 6 2 9" xfId="6879" xr:uid="{00000000-0005-0000-0000-0000BB420000}"/>
    <cellStyle name="Normal 6 6 2_SSL" xfId="16391" xr:uid="{00000000-0005-0000-0000-0000BC420000}"/>
    <cellStyle name="Normal 6 6 3" xfId="1866" xr:uid="{00000000-0005-0000-0000-0000BD420000}"/>
    <cellStyle name="Normal 6 6 3 2" xfId="8521" xr:uid="{00000000-0005-0000-0000-0000BE420000}"/>
    <cellStyle name="Normal 6 6 3_SSL" xfId="13260" xr:uid="{00000000-0005-0000-0000-0000BF420000}"/>
    <cellStyle name="Normal 6 6 4" xfId="2686" xr:uid="{00000000-0005-0000-0000-0000C0420000}"/>
    <cellStyle name="Normal 6 6 4 2" xfId="9334" xr:uid="{00000000-0005-0000-0000-0000C1420000}"/>
    <cellStyle name="Normal 6 6 4_SSL" xfId="16429" xr:uid="{00000000-0005-0000-0000-0000C2420000}"/>
    <cellStyle name="Normal 6 6 5" xfId="3507" xr:uid="{00000000-0005-0000-0000-0000C3420000}"/>
    <cellStyle name="Normal 6 6 5 2" xfId="10151" xr:uid="{00000000-0005-0000-0000-0000C4420000}"/>
    <cellStyle name="Normal 6 6 5_SSL" xfId="13919" xr:uid="{00000000-0005-0000-0000-0000C5420000}"/>
    <cellStyle name="Normal 6 6 6" xfId="4326" xr:uid="{00000000-0005-0000-0000-0000C6420000}"/>
    <cellStyle name="Normal 6 6 6 2" xfId="10966" xr:uid="{00000000-0005-0000-0000-0000C7420000}"/>
    <cellStyle name="Normal 6 6 6_SSL" xfId="14351" xr:uid="{00000000-0005-0000-0000-0000C8420000}"/>
    <cellStyle name="Normal 6 6 7" xfId="5137" xr:uid="{00000000-0005-0000-0000-0000C9420000}"/>
    <cellStyle name="Normal 6 6 7 2" xfId="11776" xr:uid="{00000000-0005-0000-0000-0000CA420000}"/>
    <cellStyle name="Normal 6 6 7_SSL" xfId="16356" xr:uid="{00000000-0005-0000-0000-0000CB420000}"/>
    <cellStyle name="Normal 6 6 8" xfId="5947" xr:uid="{00000000-0005-0000-0000-0000CC420000}"/>
    <cellStyle name="Normal 6 6 8 2" xfId="12585" xr:uid="{00000000-0005-0000-0000-0000CD420000}"/>
    <cellStyle name="Normal 6 6 8_SSL" xfId="17276" xr:uid="{00000000-0005-0000-0000-0000CE420000}"/>
    <cellStyle name="Normal 6 6 9" xfId="7126" xr:uid="{00000000-0005-0000-0000-0000CF420000}"/>
    <cellStyle name="Normal 6 6_SSL" xfId="13879" xr:uid="{00000000-0005-0000-0000-0000D0420000}"/>
    <cellStyle name="Normal 6 7" xfId="462" xr:uid="{00000000-0005-0000-0000-0000D1420000}"/>
    <cellStyle name="Normal 6 7 2" xfId="1868" xr:uid="{00000000-0005-0000-0000-0000D2420000}"/>
    <cellStyle name="Normal 6 7 2 2" xfId="8523" xr:uid="{00000000-0005-0000-0000-0000D3420000}"/>
    <cellStyle name="Normal 6 7 2_SSL" xfId="13231" xr:uid="{00000000-0005-0000-0000-0000D4420000}"/>
    <cellStyle name="Normal 6 7 3" xfId="2688" xr:uid="{00000000-0005-0000-0000-0000D5420000}"/>
    <cellStyle name="Normal 6 7 3 2" xfId="9336" xr:uid="{00000000-0005-0000-0000-0000D6420000}"/>
    <cellStyle name="Normal 6 7 3_SSL" xfId="13474" xr:uid="{00000000-0005-0000-0000-0000D7420000}"/>
    <cellStyle name="Normal 6 7 4" xfId="3509" xr:uid="{00000000-0005-0000-0000-0000D8420000}"/>
    <cellStyle name="Normal 6 7 4 2" xfId="10153" xr:uid="{00000000-0005-0000-0000-0000D9420000}"/>
    <cellStyle name="Normal 6 7 4_SSL" xfId="15090" xr:uid="{00000000-0005-0000-0000-0000DA420000}"/>
    <cellStyle name="Normal 6 7 5" xfId="4328" xr:uid="{00000000-0005-0000-0000-0000DB420000}"/>
    <cellStyle name="Normal 6 7 5 2" xfId="10968" xr:uid="{00000000-0005-0000-0000-0000DC420000}"/>
    <cellStyle name="Normal 6 7 5_SSL" xfId="15814" xr:uid="{00000000-0005-0000-0000-0000DD420000}"/>
    <cellStyle name="Normal 6 7 6" xfId="5139" xr:uid="{00000000-0005-0000-0000-0000DE420000}"/>
    <cellStyle name="Normal 6 7 6 2" xfId="11778" xr:uid="{00000000-0005-0000-0000-0000DF420000}"/>
    <cellStyle name="Normal 6 7 6_SSL" xfId="17850" xr:uid="{00000000-0005-0000-0000-0000E0420000}"/>
    <cellStyle name="Normal 6 7 7" xfId="5949" xr:uid="{00000000-0005-0000-0000-0000E1420000}"/>
    <cellStyle name="Normal 6 7 7 2" xfId="12587" xr:uid="{00000000-0005-0000-0000-0000E2420000}"/>
    <cellStyle name="Normal 6 7 7_SSL" xfId="17836" xr:uid="{00000000-0005-0000-0000-0000E3420000}"/>
    <cellStyle name="Normal 6 7 8" xfId="7318" xr:uid="{00000000-0005-0000-0000-0000E4420000}"/>
    <cellStyle name="Normal 6 7 9" xfId="6880" xr:uid="{00000000-0005-0000-0000-0000E5420000}"/>
    <cellStyle name="Normal 6 7_SSL" xfId="17236" xr:uid="{00000000-0005-0000-0000-0000E6420000}"/>
    <cellStyle name="Normal 6 8" xfId="1101" xr:uid="{00000000-0005-0000-0000-0000E7420000}"/>
    <cellStyle name="Normal 6 8 2" xfId="7759" xr:uid="{00000000-0005-0000-0000-0000E8420000}"/>
    <cellStyle name="Normal 6 8_SSL" xfId="6017" xr:uid="{00000000-0005-0000-0000-0000E9420000}"/>
    <cellStyle name="Normal 6 9" xfId="1925" xr:uid="{00000000-0005-0000-0000-0000EA420000}"/>
    <cellStyle name="Normal 6 9 2" xfId="8573" xr:uid="{00000000-0005-0000-0000-0000EB420000}"/>
    <cellStyle name="Normal 6 9_SSL" xfId="13865" xr:uid="{00000000-0005-0000-0000-0000EC420000}"/>
    <cellStyle name="Normal 6_SSL" xfId="13011" xr:uid="{00000000-0005-0000-0000-0000ED420000}"/>
    <cellStyle name="Normal 60" xfId="1917" xr:uid="{00000000-0005-0000-0000-0000EE420000}"/>
    <cellStyle name="Normal 61" xfId="1915" xr:uid="{00000000-0005-0000-0000-0000EF420000}"/>
    <cellStyle name="Normal 62" xfId="2731" xr:uid="{00000000-0005-0000-0000-0000F0420000}"/>
    <cellStyle name="Normal 63" xfId="1946" xr:uid="{00000000-0005-0000-0000-0000F1420000}"/>
    <cellStyle name="Normal 64" xfId="2730" xr:uid="{00000000-0005-0000-0000-0000F2420000}"/>
    <cellStyle name="Normal 65" xfId="1916" xr:uid="{00000000-0005-0000-0000-0000F3420000}"/>
    <cellStyle name="Normal 66" xfId="2729" xr:uid="{00000000-0005-0000-0000-0000F4420000}"/>
    <cellStyle name="Normal 67" xfId="1914" xr:uid="{00000000-0005-0000-0000-0000F5420000}"/>
    <cellStyle name="Normal 68" xfId="2728" xr:uid="{00000000-0005-0000-0000-0000F6420000}"/>
    <cellStyle name="Normal 69" xfId="3552" xr:uid="{00000000-0005-0000-0000-0000F7420000}"/>
    <cellStyle name="Normal 7" xfId="17" xr:uid="{00000000-0005-0000-0000-0000F8420000}"/>
    <cellStyle name="Normal 7 2" xfId="57" xr:uid="{00000000-0005-0000-0000-0000F9420000}"/>
    <cellStyle name="Normal 7 2 10" xfId="5950" xr:uid="{00000000-0005-0000-0000-0000FA420000}"/>
    <cellStyle name="Normal 7 2 10 2" xfId="12588" xr:uid="{00000000-0005-0000-0000-0000FB420000}"/>
    <cellStyle name="Normal 7 2 10_SSL" xfId="15274" xr:uid="{00000000-0005-0000-0000-0000FC420000}"/>
    <cellStyle name="Normal 7 2 11" xfId="6946" xr:uid="{00000000-0005-0000-0000-0000FD420000}"/>
    <cellStyle name="Normal 7 2 12" xfId="6882" xr:uid="{00000000-0005-0000-0000-0000FE420000}"/>
    <cellStyle name="Normal 7 2 2" xfId="165" xr:uid="{00000000-0005-0000-0000-0000FF420000}"/>
    <cellStyle name="Normal 7 2 2 10" xfId="7042" xr:uid="{00000000-0005-0000-0000-000000430000}"/>
    <cellStyle name="Normal 7 2 2 11" xfId="6883" xr:uid="{00000000-0005-0000-0000-000001430000}"/>
    <cellStyle name="Normal 7 2 2 2" xfId="451" xr:uid="{00000000-0005-0000-0000-000002430000}"/>
    <cellStyle name="Normal 7 2 2 2 10" xfId="6884" xr:uid="{00000000-0005-0000-0000-000003430000}"/>
    <cellStyle name="Normal 7 2 2 2 2" xfId="838" xr:uid="{00000000-0005-0000-0000-000004430000}"/>
    <cellStyle name="Normal 7 2 2 2 2 2" xfId="1872" xr:uid="{00000000-0005-0000-0000-000005430000}"/>
    <cellStyle name="Normal 7 2 2 2 2 2 2" xfId="8527" xr:uid="{00000000-0005-0000-0000-000006430000}"/>
    <cellStyle name="Normal 7 2 2 2 2 2_SSL" xfId="17590" xr:uid="{00000000-0005-0000-0000-000007430000}"/>
    <cellStyle name="Normal 7 2 2 2 2 3" xfId="2692" xr:uid="{00000000-0005-0000-0000-000008430000}"/>
    <cellStyle name="Normal 7 2 2 2 2 3 2" xfId="9340" xr:uid="{00000000-0005-0000-0000-000009430000}"/>
    <cellStyle name="Normal 7 2 2 2 2 3_SSL" xfId="17622" xr:uid="{00000000-0005-0000-0000-00000A430000}"/>
    <cellStyle name="Normal 7 2 2 2 2 4" xfId="3513" xr:uid="{00000000-0005-0000-0000-00000B430000}"/>
    <cellStyle name="Normal 7 2 2 2 2 4 2" xfId="10157" xr:uid="{00000000-0005-0000-0000-00000C430000}"/>
    <cellStyle name="Normal 7 2 2 2 2 4_SSL" xfId="14463" xr:uid="{00000000-0005-0000-0000-00000D430000}"/>
    <cellStyle name="Normal 7 2 2 2 2 5" xfId="4332" xr:uid="{00000000-0005-0000-0000-00000E430000}"/>
    <cellStyle name="Normal 7 2 2 2 2 5 2" xfId="10972" xr:uid="{00000000-0005-0000-0000-00000F430000}"/>
    <cellStyle name="Normal 7 2 2 2 2 5_SSL" xfId="14576" xr:uid="{00000000-0005-0000-0000-000010430000}"/>
    <cellStyle name="Normal 7 2 2 2 2 6" xfId="5143" xr:uid="{00000000-0005-0000-0000-000011430000}"/>
    <cellStyle name="Normal 7 2 2 2 2 6 2" xfId="11782" xr:uid="{00000000-0005-0000-0000-000012430000}"/>
    <cellStyle name="Normal 7 2 2 2 2 6_SSL" xfId="14943" xr:uid="{00000000-0005-0000-0000-000013430000}"/>
    <cellStyle name="Normal 7 2 2 2 2 7" xfId="5953" xr:uid="{00000000-0005-0000-0000-000014430000}"/>
    <cellStyle name="Normal 7 2 2 2 2 7 2" xfId="12591" xr:uid="{00000000-0005-0000-0000-000015430000}"/>
    <cellStyle name="Normal 7 2 2 2 2 7_SSL" xfId="17298" xr:uid="{00000000-0005-0000-0000-000016430000}"/>
    <cellStyle name="Normal 7 2 2 2 2 8" xfId="7694" xr:uid="{00000000-0005-0000-0000-000017430000}"/>
    <cellStyle name="Normal 7 2 2 2 2 9" xfId="6885" xr:uid="{00000000-0005-0000-0000-000018430000}"/>
    <cellStyle name="Normal 7 2 2 2 2_SSL" xfId="12918" xr:uid="{00000000-0005-0000-0000-000019430000}"/>
    <cellStyle name="Normal 7 2 2 2 3" xfId="1871" xr:uid="{00000000-0005-0000-0000-00001A430000}"/>
    <cellStyle name="Normal 7 2 2 2 3 2" xfId="8526" xr:uid="{00000000-0005-0000-0000-00001B430000}"/>
    <cellStyle name="Normal 7 2 2 2 3_SSL" xfId="14267" xr:uid="{00000000-0005-0000-0000-00001C430000}"/>
    <cellStyle name="Normal 7 2 2 2 4" xfId="2691" xr:uid="{00000000-0005-0000-0000-00001D430000}"/>
    <cellStyle name="Normal 7 2 2 2 4 2" xfId="9339" xr:uid="{00000000-0005-0000-0000-00001E430000}"/>
    <cellStyle name="Normal 7 2 2 2 4_SSL" xfId="6110" xr:uid="{00000000-0005-0000-0000-00001F430000}"/>
    <cellStyle name="Normal 7 2 2 2 5" xfId="3512" xr:uid="{00000000-0005-0000-0000-000020430000}"/>
    <cellStyle name="Normal 7 2 2 2 5 2" xfId="10156" xr:uid="{00000000-0005-0000-0000-000021430000}"/>
    <cellStyle name="Normal 7 2 2 2 5_SSL" xfId="14607" xr:uid="{00000000-0005-0000-0000-000022430000}"/>
    <cellStyle name="Normal 7 2 2 2 6" xfId="4331" xr:uid="{00000000-0005-0000-0000-000023430000}"/>
    <cellStyle name="Normal 7 2 2 2 6 2" xfId="10971" xr:uid="{00000000-0005-0000-0000-000024430000}"/>
    <cellStyle name="Normal 7 2 2 2 6_SSL" xfId="15729" xr:uid="{00000000-0005-0000-0000-000025430000}"/>
    <cellStyle name="Normal 7 2 2 2 7" xfId="5142" xr:uid="{00000000-0005-0000-0000-000026430000}"/>
    <cellStyle name="Normal 7 2 2 2 7 2" xfId="11781" xr:uid="{00000000-0005-0000-0000-000027430000}"/>
    <cellStyle name="Normal 7 2 2 2 7_SSL" xfId="17607" xr:uid="{00000000-0005-0000-0000-000028430000}"/>
    <cellStyle name="Normal 7 2 2 2 8" xfId="5952" xr:uid="{00000000-0005-0000-0000-000029430000}"/>
    <cellStyle name="Normal 7 2 2 2 8 2" xfId="12590" xr:uid="{00000000-0005-0000-0000-00002A430000}"/>
    <cellStyle name="Normal 7 2 2 2 8_SSL" xfId="17451" xr:uid="{00000000-0005-0000-0000-00002B430000}"/>
    <cellStyle name="Normal 7 2 2 2 9" xfId="7310" xr:uid="{00000000-0005-0000-0000-00002C430000}"/>
    <cellStyle name="Normal 7 2 2 2_SSL" xfId="17915" xr:uid="{00000000-0005-0000-0000-00002D430000}"/>
    <cellStyle name="Normal 7 2 2 3" xfId="570" xr:uid="{00000000-0005-0000-0000-00002E430000}"/>
    <cellStyle name="Normal 7 2 2 3 2" xfId="1873" xr:uid="{00000000-0005-0000-0000-00002F430000}"/>
    <cellStyle name="Normal 7 2 2 3 2 2" xfId="8528" xr:uid="{00000000-0005-0000-0000-000030430000}"/>
    <cellStyle name="Normal 7 2 2 3 2_SSL" xfId="12687" xr:uid="{00000000-0005-0000-0000-000031430000}"/>
    <cellStyle name="Normal 7 2 2 3 3" xfId="2693" xr:uid="{00000000-0005-0000-0000-000032430000}"/>
    <cellStyle name="Normal 7 2 2 3 3 2" xfId="9341" xr:uid="{00000000-0005-0000-0000-000033430000}"/>
    <cellStyle name="Normal 7 2 2 3 3_SSL" xfId="5995" xr:uid="{00000000-0005-0000-0000-000034430000}"/>
    <cellStyle name="Normal 7 2 2 3 4" xfId="3514" xr:uid="{00000000-0005-0000-0000-000035430000}"/>
    <cellStyle name="Normal 7 2 2 3 4 2" xfId="10158" xr:uid="{00000000-0005-0000-0000-000036430000}"/>
    <cellStyle name="Normal 7 2 2 3 4_SSL" xfId="15618" xr:uid="{00000000-0005-0000-0000-000037430000}"/>
    <cellStyle name="Normal 7 2 2 3 5" xfId="4333" xr:uid="{00000000-0005-0000-0000-000038430000}"/>
    <cellStyle name="Normal 7 2 2 3 5 2" xfId="10973" xr:uid="{00000000-0005-0000-0000-000039430000}"/>
    <cellStyle name="Normal 7 2 2 3 5_SSL" xfId="15100" xr:uid="{00000000-0005-0000-0000-00003A430000}"/>
    <cellStyle name="Normal 7 2 2 3 6" xfId="5144" xr:uid="{00000000-0005-0000-0000-00003B430000}"/>
    <cellStyle name="Normal 7 2 2 3 6 2" xfId="11783" xr:uid="{00000000-0005-0000-0000-00003C430000}"/>
    <cellStyle name="Normal 7 2 2 3 6_SSL" xfId="13764" xr:uid="{00000000-0005-0000-0000-00003D430000}"/>
    <cellStyle name="Normal 7 2 2 3 7" xfId="5954" xr:uid="{00000000-0005-0000-0000-00003E430000}"/>
    <cellStyle name="Normal 7 2 2 3 7 2" xfId="12592" xr:uid="{00000000-0005-0000-0000-00003F430000}"/>
    <cellStyle name="Normal 7 2 2 3 7_SSL" xfId="16944" xr:uid="{00000000-0005-0000-0000-000040430000}"/>
    <cellStyle name="Normal 7 2 2 3 8" xfId="7426" xr:uid="{00000000-0005-0000-0000-000041430000}"/>
    <cellStyle name="Normal 7 2 2 3 9" xfId="6886" xr:uid="{00000000-0005-0000-0000-000042430000}"/>
    <cellStyle name="Normal 7 2 2 3_SSL" xfId="16722" xr:uid="{00000000-0005-0000-0000-000043430000}"/>
    <cellStyle name="Normal 7 2 2 4" xfId="1870" xr:uid="{00000000-0005-0000-0000-000044430000}"/>
    <cellStyle name="Normal 7 2 2 4 2" xfId="8525" xr:uid="{00000000-0005-0000-0000-000045430000}"/>
    <cellStyle name="Normal 7 2 2 4_SSL" xfId="16220" xr:uid="{00000000-0005-0000-0000-000046430000}"/>
    <cellStyle name="Normal 7 2 2 5" xfId="2690" xr:uid="{00000000-0005-0000-0000-000047430000}"/>
    <cellStyle name="Normal 7 2 2 5 2" xfId="9338" xr:uid="{00000000-0005-0000-0000-000048430000}"/>
    <cellStyle name="Normal 7 2 2 5_SSL" xfId="16645" xr:uid="{00000000-0005-0000-0000-000049430000}"/>
    <cellStyle name="Normal 7 2 2 6" xfId="3511" xr:uid="{00000000-0005-0000-0000-00004A430000}"/>
    <cellStyle name="Normal 7 2 2 6 2" xfId="10155" xr:uid="{00000000-0005-0000-0000-00004B430000}"/>
    <cellStyle name="Normal 7 2 2 6_SSL" xfId="14012" xr:uid="{00000000-0005-0000-0000-00004C430000}"/>
    <cellStyle name="Normal 7 2 2 7" xfId="4330" xr:uid="{00000000-0005-0000-0000-00004D430000}"/>
    <cellStyle name="Normal 7 2 2 7 2" xfId="10970" xr:uid="{00000000-0005-0000-0000-00004E430000}"/>
    <cellStyle name="Normal 7 2 2 7_SSL" xfId="14192" xr:uid="{00000000-0005-0000-0000-00004F430000}"/>
    <cellStyle name="Normal 7 2 2 8" xfId="5141" xr:uid="{00000000-0005-0000-0000-000050430000}"/>
    <cellStyle name="Normal 7 2 2 8 2" xfId="11780" xr:uid="{00000000-0005-0000-0000-000051430000}"/>
    <cellStyle name="Normal 7 2 2 8_SSL" xfId="15728" xr:uid="{00000000-0005-0000-0000-000052430000}"/>
    <cellStyle name="Normal 7 2 2 9" xfId="5951" xr:uid="{00000000-0005-0000-0000-000053430000}"/>
    <cellStyle name="Normal 7 2 2 9 2" xfId="12589" xr:uid="{00000000-0005-0000-0000-000054430000}"/>
    <cellStyle name="Normal 7 2 2 9_SSL" xfId="14923" xr:uid="{00000000-0005-0000-0000-000055430000}"/>
    <cellStyle name="Normal 7 2 2_SSL" xfId="17883" xr:uid="{00000000-0005-0000-0000-000056430000}"/>
    <cellStyle name="Normal 7 2 3" xfId="450" xr:uid="{00000000-0005-0000-0000-000057430000}"/>
    <cellStyle name="Normal 7 2 3 10" xfId="6887" xr:uid="{00000000-0005-0000-0000-000058430000}"/>
    <cellStyle name="Normal 7 2 3 2" xfId="837" xr:uid="{00000000-0005-0000-0000-000059430000}"/>
    <cellStyle name="Normal 7 2 3 2 2" xfId="1875" xr:uid="{00000000-0005-0000-0000-00005A430000}"/>
    <cellStyle name="Normal 7 2 3 2 2 2" xfId="8530" xr:uid="{00000000-0005-0000-0000-00005B430000}"/>
    <cellStyle name="Normal 7 2 3 2 2_SSL" xfId="15843" xr:uid="{00000000-0005-0000-0000-00005C430000}"/>
    <cellStyle name="Normal 7 2 3 2 3" xfId="2695" xr:uid="{00000000-0005-0000-0000-00005D430000}"/>
    <cellStyle name="Normal 7 2 3 2 3 2" xfId="9343" xr:uid="{00000000-0005-0000-0000-00005E430000}"/>
    <cellStyle name="Normal 7 2 3 2 3_SSL" xfId="13611" xr:uid="{00000000-0005-0000-0000-00005F430000}"/>
    <cellStyle name="Normal 7 2 3 2 4" xfId="3516" xr:uid="{00000000-0005-0000-0000-000060430000}"/>
    <cellStyle name="Normal 7 2 3 2 4 2" xfId="10160" xr:uid="{00000000-0005-0000-0000-000061430000}"/>
    <cellStyle name="Normal 7 2 3 2 4_SSL" xfId="13950" xr:uid="{00000000-0005-0000-0000-000062430000}"/>
    <cellStyle name="Normal 7 2 3 2 5" xfId="4335" xr:uid="{00000000-0005-0000-0000-000063430000}"/>
    <cellStyle name="Normal 7 2 3 2 5 2" xfId="10975" xr:uid="{00000000-0005-0000-0000-000064430000}"/>
    <cellStyle name="Normal 7 2 3 2 5_SSL" xfId="6099" xr:uid="{00000000-0005-0000-0000-000065430000}"/>
    <cellStyle name="Normal 7 2 3 2 6" xfId="5146" xr:uid="{00000000-0005-0000-0000-000066430000}"/>
    <cellStyle name="Normal 7 2 3 2 6 2" xfId="11785" xr:uid="{00000000-0005-0000-0000-000067430000}"/>
    <cellStyle name="Normal 7 2 3 2 6_SSL" xfId="14247" xr:uid="{00000000-0005-0000-0000-000068430000}"/>
    <cellStyle name="Normal 7 2 3 2 7" xfId="5956" xr:uid="{00000000-0005-0000-0000-000069430000}"/>
    <cellStyle name="Normal 7 2 3 2 7 2" xfId="12594" xr:uid="{00000000-0005-0000-0000-00006A430000}"/>
    <cellStyle name="Normal 7 2 3 2 7_SSL" xfId="17092" xr:uid="{00000000-0005-0000-0000-00006B430000}"/>
    <cellStyle name="Normal 7 2 3 2 8" xfId="7693" xr:uid="{00000000-0005-0000-0000-00006C430000}"/>
    <cellStyle name="Normal 7 2 3 2 9" xfId="6888" xr:uid="{00000000-0005-0000-0000-00006D430000}"/>
    <cellStyle name="Normal 7 2 3 2_SSL" xfId="15352" xr:uid="{00000000-0005-0000-0000-00006E430000}"/>
    <cellStyle name="Normal 7 2 3 3" xfId="1874" xr:uid="{00000000-0005-0000-0000-00006F430000}"/>
    <cellStyle name="Normal 7 2 3 3 2" xfId="8529" xr:uid="{00000000-0005-0000-0000-000070430000}"/>
    <cellStyle name="Normal 7 2 3 3_SSL" xfId="15150" xr:uid="{00000000-0005-0000-0000-000071430000}"/>
    <cellStyle name="Normal 7 2 3 4" xfId="2694" xr:uid="{00000000-0005-0000-0000-000072430000}"/>
    <cellStyle name="Normal 7 2 3 4 2" xfId="9342" xr:uid="{00000000-0005-0000-0000-000073430000}"/>
    <cellStyle name="Normal 7 2 3 4_SSL" xfId="13589" xr:uid="{00000000-0005-0000-0000-000074430000}"/>
    <cellStyle name="Normal 7 2 3 5" xfId="3515" xr:uid="{00000000-0005-0000-0000-000075430000}"/>
    <cellStyle name="Normal 7 2 3 5 2" xfId="10159" xr:uid="{00000000-0005-0000-0000-000076430000}"/>
    <cellStyle name="Normal 7 2 3 5_SSL" xfId="6055" xr:uid="{00000000-0005-0000-0000-000077430000}"/>
    <cellStyle name="Normal 7 2 3 6" xfId="4334" xr:uid="{00000000-0005-0000-0000-000078430000}"/>
    <cellStyle name="Normal 7 2 3 6 2" xfId="10974" xr:uid="{00000000-0005-0000-0000-000079430000}"/>
    <cellStyle name="Normal 7 2 3 6_SSL" xfId="17647" xr:uid="{00000000-0005-0000-0000-00007A430000}"/>
    <cellStyle name="Normal 7 2 3 7" xfId="5145" xr:uid="{00000000-0005-0000-0000-00007B430000}"/>
    <cellStyle name="Normal 7 2 3 7 2" xfId="11784" xr:uid="{00000000-0005-0000-0000-00007C430000}"/>
    <cellStyle name="Normal 7 2 3 7_SSL" xfId="17556" xr:uid="{00000000-0005-0000-0000-00007D430000}"/>
    <cellStyle name="Normal 7 2 3 8" xfId="5955" xr:uid="{00000000-0005-0000-0000-00007E430000}"/>
    <cellStyle name="Normal 7 2 3 8 2" xfId="12593" xr:uid="{00000000-0005-0000-0000-00007F430000}"/>
    <cellStyle name="Normal 7 2 3 8_SSL" xfId="12942" xr:uid="{00000000-0005-0000-0000-000080430000}"/>
    <cellStyle name="Normal 7 2 3 9" xfId="7309" xr:uid="{00000000-0005-0000-0000-000081430000}"/>
    <cellStyle name="Normal 7 2 3_SSL" xfId="14380" xr:uid="{00000000-0005-0000-0000-000082430000}"/>
    <cellStyle name="Normal 7 2 4" xfId="474" xr:uid="{00000000-0005-0000-0000-000083430000}"/>
    <cellStyle name="Normal 7 2 4 2" xfId="1876" xr:uid="{00000000-0005-0000-0000-000084430000}"/>
    <cellStyle name="Normal 7 2 4 2 2" xfId="8531" xr:uid="{00000000-0005-0000-0000-000085430000}"/>
    <cellStyle name="Normal 7 2 4 2_SSL" xfId="13587" xr:uid="{00000000-0005-0000-0000-000086430000}"/>
    <cellStyle name="Normal 7 2 4 3" xfId="2696" xr:uid="{00000000-0005-0000-0000-000087430000}"/>
    <cellStyle name="Normal 7 2 4 3 2" xfId="9344" xr:uid="{00000000-0005-0000-0000-000088430000}"/>
    <cellStyle name="Normal 7 2 4 3_SSL" xfId="15179" xr:uid="{00000000-0005-0000-0000-000089430000}"/>
    <cellStyle name="Normal 7 2 4 4" xfId="3517" xr:uid="{00000000-0005-0000-0000-00008A430000}"/>
    <cellStyle name="Normal 7 2 4 4 2" xfId="10161" xr:uid="{00000000-0005-0000-0000-00008B430000}"/>
    <cellStyle name="Normal 7 2 4 4_SSL" xfId="14318" xr:uid="{00000000-0005-0000-0000-00008C430000}"/>
    <cellStyle name="Normal 7 2 4 5" xfId="4336" xr:uid="{00000000-0005-0000-0000-00008D430000}"/>
    <cellStyle name="Normal 7 2 4 5 2" xfId="10976" xr:uid="{00000000-0005-0000-0000-00008E430000}"/>
    <cellStyle name="Normal 7 2 4 5_SSL" xfId="13768" xr:uid="{00000000-0005-0000-0000-00008F430000}"/>
    <cellStyle name="Normal 7 2 4 6" xfId="5147" xr:uid="{00000000-0005-0000-0000-000090430000}"/>
    <cellStyle name="Normal 7 2 4 6 2" xfId="11786" xr:uid="{00000000-0005-0000-0000-000091430000}"/>
    <cellStyle name="Normal 7 2 4 6_SSL" xfId="12741" xr:uid="{00000000-0005-0000-0000-000092430000}"/>
    <cellStyle name="Normal 7 2 4 7" xfId="5957" xr:uid="{00000000-0005-0000-0000-000093430000}"/>
    <cellStyle name="Normal 7 2 4 7 2" xfId="12595" xr:uid="{00000000-0005-0000-0000-000094430000}"/>
    <cellStyle name="Normal 7 2 4 7_SSL" xfId="16756" xr:uid="{00000000-0005-0000-0000-000095430000}"/>
    <cellStyle name="Normal 7 2 4 8" xfId="7330" xr:uid="{00000000-0005-0000-0000-000096430000}"/>
    <cellStyle name="Normal 7 2 4 9" xfId="6889" xr:uid="{00000000-0005-0000-0000-000097430000}"/>
    <cellStyle name="Normal 7 2 4_SSL" xfId="13767" xr:uid="{00000000-0005-0000-0000-000098430000}"/>
    <cellStyle name="Normal 7 2 5" xfId="1869" xr:uid="{00000000-0005-0000-0000-000099430000}"/>
    <cellStyle name="Normal 7 2 5 2" xfId="8524" xr:uid="{00000000-0005-0000-0000-00009A430000}"/>
    <cellStyle name="Normal 7 2 5_SSL" xfId="15030" xr:uid="{00000000-0005-0000-0000-00009B430000}"/>
    <cellStyle name="Normal 7 2 6" xfId="2689" xr:uid="{00000000-0005-0000-0000-00009C430000}"/>
    <cellStyle name="Normal 7 2 6 2" xfId="9337" xr:uid="{00000000-0005-0000-0000-00009D430000}"/>
    <cellStyle name="Normal 7 2 6_SSL" xfId="13696" xr:uid="{00000000-0005-0000-0000-00009E430000}"/>
    <cellStyle name="Normal 7 2 7" xfId="3510" xr:uid="{00000000-0005-0000-0000-00009F430000}"/>
    <cellStyle name="Normal 7 2 7 2" xfId="10154" xr:uid="{00000000-0005-0000-0000-0000A0430000}"/>
    <cellStyle name="Normal 7 2 7_SSL" xfId="17367" xr:uid="{00000000-0005-0000-0000-0000A1430000}"/>
    <cellStyle name="Normal 7 2 8" xfId="4329" xr:uid="{00000000-0005-0000-0000-0000A2430000}"/>
    <cellStyle name="Normal 7 2 8 2" xfId="10969" xr:uid="{00000000-0005-0000-0000-0000A3430000}"/>
    <cellStyle name="Normal 7 2 8_SSL" xfId="13226" xr:uid="{00000000-0005-0000-0000-0000A4430000}"/>
    <cellStyle name="Normal 7 2 9" xfId="5140" xr:uid="{00000000-0005-0000-0000-0000A5430000}"/>
    <cellStyle name="Normal 7 2 9 2" xfId="11779" xr:uid="{00000000-0005-0000-0000-0000A6430000}"/>
    <cellStyle name="Normal 7 2 9_SSL" xfId="13437" xr:uid="{00000000-0005-0000-0000-0000A7430000}"/>
    <cellStyle name="Normal 7 2_SSL" xfId="16827" xr:uid="{00000000-0005-0000-0000-0000A8430000}"/>
    <cellStyle name="Normal 7 3" xfId="89" xr:uid="{00000000-0005-0000-0000-0000A9430000}"/>
    <cellStyle name="Normal 7 3 10" xfId="5958" xr:uid="{00000000-0005-0000-0000-0000AA430000}"/>
    <cellStyle name="Normal 7 3 10 2" xfId="12596" xr:uid="{00000000-0005-0000-0000-0000AB430000}"/>
    <cellStyle name="Normal 7 3 10_SSL" xfId="16649" xr:uid="{00000000-0005-0000-0000-0000AC430000}"/>
    <cellStyle name="Normal 7 3 11" xfId="6969" xr:uid="{00000000-0005-0000-0000-0000AD430000}"/>
    <cellStyle name="Normal 7 3 12" xfId="6890" xr:uid="{00000000-0005-0000-0000-0000AE430000}"/>
    <cellStyle name="Normal 7 3 2" xfId="188" xr:uid="{00000000-0005-0000-0000-0000AF430000}"/>
    <cellStyle name="Normal 7 3 2 10" xfId="7065" xr:uid="{00000000-0005-0000-0000-0000B0430000}"/>
    <cellStyle name="Normal 7 3 2 11" xfId="6891" xr:uid="{00000000-0005-0000-0000-0000B1430000}"/>
    <cellStyle name="Normal 7 3 2 2" xfId="453" xr:uid="{00000000-0005-0000-0000-0000B2430000}"/>
    <cellStyle name="Normal 7 3 2 2 10" xfId="6892" xr:uid="{00000000-0005-0000-0000-0000B3430000}"/>
    <cellStyle name="Normal 7 3 2 2 2" xfId="840" xr:uid="{00000000-0005-0000-0000-0000B4430000}"/>
    <cellStyle name="Normal 7 3 2 2 2 2" xfId="1880" xr:uid="{00000000-0005-0000-0000-0000B5430000}"/>
    <cellStyle name="Normal 7 3 2 2 2 2 2" xfId="8535" xr:uid="{00000000-0005-0000-0000-0000B6430000}"/>
    <cellStyle name="Normal 7 3 2 2 2 2_SSL" xfId="16128" xr:uid="{00000000-0005-0000-0000-0000B7430000}"/>
    <cellStyle name="Normal 7 3 2 2 2 3" xfId="2700" xr:uid="{00000000-0005-0000-0000-0000B8430000}"/>
    <cellStyle name="Normal 7 3 2 2 2 3 2" xfId="9348" xr:uid="{00000000-0005-0000-0000-0000B9430000}"/>
    <cellStyle name="Normal 7 3 2 2 2 3_SSL" xfId="13806" xr:uid="{00000000-0005-0000-0000-0000BA430000}"/>
    <cellStyle name="Normal 7 3 2 2 2 4" xfId="3521" xr:uid="{00000000-0005-0000-0000-0000BB430000}"/>
    <cellStyle name="Normal 7 3 2 2 2 4 2" xfId="10165" xr:uid="{00000000-0005-0000-0000-0000BC430000}"/>
    <cellStyle name="Normal 7 3 2 2 2 4_SSL" xfId="13434" xr:uid="{00000000-0005-0000-0000-0000BD430000}"/>
    <cellStyle name="Normal 7 3 2 2 2 5" xfId="4340" xr:uid="{00000000-0005-0000-0000-0000BE430000}"/>
    <cellStyle name="Normal 7 3 2 2 2 5 2" xfId="10980" xr:uid="{00000000-0005-0000-0000-0000BF430000}"/>
    <cellStyle name="Normal 7 3 2 2 2 5_SSL" xfId="14830" xr:uid="{00000000-0005-0000-0000-0000C0430000}"/>
    <cellStyle name="Normal 7 3 2 2 2 6" xfId="5151" xr:uid="{00000000-0005-0000-0000-0000C1430000}"/>
    <cellStyle name="Normal 7 3 2 2 2 6 2" xfId="11790" xr:uid="{00000000-0005-0000-0000-0000C2430000}"/>
    <cellStyle name="Normal 7 3 2 2 2 6_SSL" xfId="14510" xr:uid="{00000000-0005-0000-0000-0000C3430000}"/>
    <cellStyle name="Normal 7 3 2 2 2 7" xfId="5961" xr:uid="{00000000-0005-0000-0000-0000C4430000}"/>
    <cellStyle name="Normal 7 3 2 2 2 7 2" xfId="12599" xr:uid="{00000000-0005-0000-0000-0000C5430000}"/>
    <cellStyle name="Normal 7 3 2 2 2 7_SSL" xfId="15481" xr:uid="{00000000-0005-0000-0000-0000C6430000}"/>
    <cellStyle name="Normal 7 3 2 2 2 8" xfId="7696" xr:uid="{00000000-0005-0000-0000-0000C7430000}"/>
    <cellStyle name="Normal 7 3 2 2 2 9" xfId="6893" xr:uid="{00000000-0005-0000-0000-0000C8430000}"/>
    <cellStyle name="Normal 7 3 2 2 2_SSL" xfId="15761" xr:uid="{00000000-0005-0000-0000-0000C9430000}"/>
    <cellStyle name="Normal 7 3 2 2 3" xfId="1879" xr:uid="{00000000-0005-0000-0000-0000CA430000}"/>
    <cellStyle name="Normal 7 3 2 2 3 2" xfId="8534" xr:uid="{00000000-0005-0000-0000-0000CB430000}"/>
    <cellStyle name="Normal 7 3 2 2 3_SSL" xfId="15192" xr:uid="{00000000-0005-0000-0000-0000CC430000}"/>
    <cellStyle name="Normal 7 3 2 2 4" xfId="2699" xr:uid="{00000000-0005-0000-0000-0000CD430000}"/>
    <cellStyle name="Normal 7 3 2 2 4 2" xfId="9347" xr:uid="{00000000-0005-0000-0000-0000CE430000}"/>
    <cellStyle name="Normal 7 3 2 2 4_SSL" xfId="13300" xr:uid="{00000000-0005-0000-0000-0000CF430000}"/>
    <cellStyle name="Normal 7 3 2 2 5" xfId="3520" xr:uid="{00000000-0005-0000-0000-0000D0430000}"/>
    <cellStyle name="Normal 7 3 2 2 5 2" xfId="10164" xr:uid="{00000000-0005-0000-0000-0000D1430000}"/>
    <cellStyle name="Normal 7 3 2 2 5_SSL" xfId="14340" xr:uid="{00000000-0005-0000-0000-0000D2430000}"/>
    <cellStyle name="Normal 7 3 2 2 6" xfId="4339" xr:uid="{00000000-0005-0000-0000-0000D3430000}"/>
    <cellStyle name="Normal 7 3 2 2 6 2" xfId="10979" xr:uid="{00000000-0005-0000-0000-0000D4430000}"/>
    <cellStyle name="Normal 7 3 2 2 6_SSL" xfId="15662" xr:uid="{00000000-0005-0000-0000-0000D5430000}"/>
    <cellStyle name="Normal 7 3 2 2 7" xfId="5150" xr:uid="{00000000-0005-0000-0000-0000D6430000}"/>
    <cellStyle name="Normal 7 3 2 2 7 2" xfId="11789" xr:uid="{00000000-0005-0000-0000-0000D7430000}"/>
    <cellStyle name="Normal 7 3 2 2 7_SSL" xfId="16497" xr:uid="{00000000-0005-0000-0000-0000D8430000}"/>
    <cellStyle name="Normal 7 3 2 2 8" xfId="5960" xr:uid="{00000000-0005-0000-0000-0000D9430000}"/>
    <cellStyle name="Normal 7 3 2 2 8 2" xfId="12598" xr:uid="{00000000-0005-0000-0000-0000DA430000}"/>
    <cellStyle name="Normal 7 3 2 2 8_SSL" xfId="14261" xr:uid="{00000000-0005-0000-0000-0000DB430000}"/>
    <cellStyle name="Normal 7 3 2 2 9" xfId="7312" xr:uid="{00000000-0005-0000-0000-0000DC430000}"/>
    <cellStyle name="Normal 7 3 2 2_SSL" xfId="16872" xr:uid="{00000000-0005-0000-0000-0000DD430000}"/>
    <cellStyle name="Normal 7 3 2 3" xfId="593" xr:uid="{00000000-0005-0000-0000-0000DE430000}"/>
    <cellStyle name="Normal 7 3 2 3 2" xfId="1881" xr:uid="{00000000-0005-0000-0000-0000DF430000}"/>
    <cellStyle name="Normal 7 3 2 3 2 2" xfId="8536" xr:uid="{00000000-0005-0000-0000-0000E0430000}"/>
    <cellStyle name="Normal 7 3 2 3 2_SSL" xfId="17026" xr:uid="{00000000-0005-0000-0000-0000E1430000}"/>
    <cellStyle name="Normal 7 3 2 3 3" xfId="2701" xr:uid="{00000000-0005-0000-0000-0000E2430000}"/>
    <cellStyle name="Normal 7 3 2 3 3 2" xfId="9349" xr:uid="{00000000-0005-0000-0000-0000E3430000}"/>
    <cellStyle name="Normal 7 3 2 3 3_SSL" xfId="13541" xr:uid="{00000000-0005-0000-0000-0000E4430000}"/>
    <cellStyle name="Normal 7 3 2 3 4" xfId="3522" xr:uid="{00000000-0005-0000-0000-0000E5430000}"/>
    <cellStyle name="Normal 7 3 2 3 4 2" xfId="10166" xr:uid="{00000000-0005-0000-0000-0000E6430000}"/>
    <cellStyle name="Normal 7 3 2 3 4_SSL" xfId="15914" xr:uid="{00000000-0005-0000-0000-0000E7430000}"/>
    <cellStyle name="Normal 7 3 2 3 5" xfId="4341" xr:uid="{00000000-0005-0000-0000-0000E8430000}"/>
    <cellStyle name="Normal 7 3 2 3 5 2" xfId="10981" xr:uid="{00000000-0005-0000-0000-0000E9430000}"/>
    <cellStyle name="Normal 7 3 2 3 5_SSL" xfId="15451" xr:uid="{00000000-0005-0000-0000-0000EA430000}"/>
    <cellStyle name="Normal 7 3 2 3 6" xfId="5152" xr:uid="{00000000-0005-0000-0000-0000EB430000}"/>
    <cellStyle name="Normal 7 3 2 3 6 2" xfId="11791" xr:uid="{00000000-0005-0000-0000-0000EC430000}"/>
    <cellStyle name="Normal 7 3 2 3 6_SSL" xfId="14651" xr:uid="{00000000-0005-0000-0000-0000ED430000}"/>
    <cellStyle name="Normal 7 3 2 3 7" xfId="5962" xr:uid="{00000000-0005-0000-0000-0000EE430000}"/>
    <cellStyle name="Normal 7 3 2 3 7 2" xfId="12600" xr:uid="{00000000-0005-0000-0000-0000EF430000}"/>
    <cellStyle name="Normal 7 3 2 3 7_SSL" xfId="14724" xr:uid="{00000000-0005-0000-0000-0000F0430000}"/>
    <cellStyle name="Normal 7 3 2 3 8" xfId="7449" xr:uid="{00000000-0005-0000-0000-0000F1430000}"/>
    <cellStyle name="Normal 7 3 2 3 9" xfId="6894" xr:uid="{00000000-0005-0000-0000-0000F2430000}"/>
    <cellStyle name="Normal 7 3 2 3_SSL" xfId="17351" xr:uid="{00000000-0005-0000-0000-0000F3430000}"/>
    <cellStyle name="Normal 7 3 2 4" xfId="1878" xr:uid="{00000000-0005-0000-0000-0000F4430000}"/>
    <cellStyle name="Normal 7 3 2 4 2" xfId="8533" xr:uid="{00000000-0005-0000-0000-0000F5430000}"/>
    <cellStyle name="Normal 7 3 2 4_SSL" xfId="13028" xr:uid="{00000000-0005-0000-0000-0000F6430000}"/>
    <cellStyle name="Normal 7 3 2 5" xfId="2698" xr:uid="{00000000-0005-0000-0000-0000F7430000}"/>
    <cellStyle name="Normal 7 3 2 5 2" xfId="9346" xr:uid="{00000000-0005-0000-0000-0000F8430000}"/>
    <cellStyle name="Normal 7 3 2 5_SSL" xfId="14042" xr:uid="{00000000-0005-0000-0000-0000F9430000}"/>
    <cellStyle name="Normal 7 3 2 6" xfId="3519" xr:uid="{00000000-0005-0000-0000-0000FA430000}"/>
    <cellStyle name="Normal 7 3 2 6 2" xfId="10163" xr:uid="{00000000-0005-0000-0000-0000FB430000}"/>
    <cellStyle name="Normal 7 3 2 6_SSL" xfId="16578" xr:uid="{00000000-0005-0000-0000-0000FC430000}"/>
    <cellStyle name="Normal 7 3 2 7" xfId="4338" xr:uid="{00000000-0005-0000-0000-0000FD430000}"/>
    <cellStyle name="Normal 7 3 2 7 2" xfId="10978" xr:uid="{00000000-0005-0000-0000-0000FE430000}"/>
    <cellStyle name="Normal 7 3 2 7_SSL" xfId="12947" xr:uid="{00000000-0005-0000-0000-0000FF430000}"/>
    <cellStyle name="Normal 7 3 2 8" xfId="5149" xr:uid="{00000000-0005-0000-0000-000000440000}"/>
    <cellStyle name="Normal 7 3 2 8 2" xfId="11788" xr:uid="{00000000-0005-0000-0000-000001440000}"/>
    <cellStyle name="Normal 7 3 2 8_SSL" xfId="17734" xr:uid="{00000000-0005-0000-0000-000002440000}"/>
    <cellStyle name="Normal 7 3 2 9" xfId="5959" xr:uid="{00000000-0005-0000-0000-000003440000}"/>
    <cellStyle name="Normal 7 3 2 9 2" xfId="12597" xr:uid="{00000000-0005-0000-0000-000004440000}"/>
    <cellStyle name="Normal 7 3 2 9_SSL" xfId="16797" xr:uid="{00000000-0005-0000-0000-000005440000}"/>
    <cellStyle name="Normal 7 3 2_SSL" xfId="16648" xr:uid="{00000000-0005-0000-0000-000006440000}"/>
    <cellStyle name="Normal 7 3 3" xfId="452" xr:uid="{00000000-0005-0000-0000-000007440000}"/>
    <cellStyle name="Normal 7 3 3 10" xfId="6895" xr:uid="{00000000-0005-0000-0000-000008440000}"/>
    <cellStyle name="Normal 7 3 3 2" xfId="839" xr:uid="{00000000-0005-0000-0000-000009440000}"/>
    <cellStyle name="Normal 7 3 3 2 2" xfId="1883" xr:uid="{00000000-0005-0000-0000-00000A440000}"/>
    <cellStyle name="Normal 7 3 3 2 2 2" xfId="8538" xr:uid="{00000000-0005-0000-0000-00000B440000}"/>
    <cellStyle name="Normal 7 3 3 2 2_SSL" xfId="13008" xr:uid="{00000000-0005-0000-0000-00000C440000}"/>
    <cellStyle name="Normal 7 3 3 2 3" xfId="2703" xr:uid="{00000000-0005-0000-0000-00000D440000}"/>
    <cellStyle name="Normal 7 3 3 2 3 2" xfId="9351" xr:uid="{00000000-0005-0000-0000-00000E440000}"/>
    <cellStyle name="Normal 7 3 3 2 3_SSL" xfId="16693" xr:uid="{00000000-0005-0000-0000-00000F440000}"/>
    <cellStyle name="Normal 7 3 3 2 4" xfId="3524" xr:uid="{00000000-0005-0000-0000-000010440000}"/>
    <cellStyle name="Normal 7 3 3 2 4 2" xfId="10168" xr:uid="{00000000-0005-0000-0000-000011440000}"/>
    <cellStyle name="Normal 7 3 3 2 4_SSL" xfId="13791" xr:uid="{00000000-0005-0000-0000-000012440000}"/>
    <cellStyle name="Normal 7 3 3 2 5" xfId="4343" xr:uid="{00000000-0005-0000-0000-000013440000}"/>
    <cellStyle name="Normal 7 3 3 2 5 2" xfId="10983" xr:uid="{00000000-0005-0000-0000-000014440000}"/>
    <cellStyle name="Normal 7 3 3 2 5_SSL" xfId="16245" xr:uid="{00000000-0005-0000-0000-000015440000}"/>
    <cellStyle name="Normal 7 3 3 2 6" xfId="5154" xr:uid="{00000000-0005-0000-0000-000016440000}"/>
    <cellStyle name="Normal 7 3 3 2 6 2" xfId="11793" xr:uid="{00000000-0005-0000-0000-000017440000}"/>
    <cellStyle name="Normal 7 3 3 2 6_SSL" xfId="13824" xr:uid="{00000000-0005-0000-0000-000018440000}"/>
    <cellStyle name="Normal 7 3 3 2 7" xfId="5964" xr:uid="{00000000-0005-0000-0000-000019440000}"/>
    <cellStyle name="Normal 7 3 3 2 7 2" xfId="12602" xr:uid="{00000000-0005-0000-0000-00001A440000}"/>
    <cellStyle name="Normal 7 3 3 2 7_SSL" xfId="16615" xr:uid="{00000000-0005-0000-0000-00001B440000}"/>
    <cellStyle name="Normal 7 3 3 2 8" xfId="7695" xr:uid="{00000000-0005-0000-0000-00001C440000}"/>
    <cellStyle name="Normal 7 3 3 2 9" xfId="6896" xr:uid="{00000000-0005-0000-0000-00001D440000}"/>
    <cellStyle name="Normal 7 3 3 2_SSL" xfId="16473" xr:uid="{00000000-0005-0000-0000-00001E440000}"/>
    <cellStyle name="Normal 7 3 3 3" xfId="1882" xr:uid="{00000000-0005-0000-0000-00001F440000}"/>
    <cellStyle name="Normal 7 3 3 3 2" xfId="8537" xr:uid="{00000000-0005-0000-0000-000020440000}"/>
    <cellStyle name="Normal 7 3 3 3_SSL" xfId="17095" xr:uid="{00000000-0005-0000-0000-000021440000}"/>
    <cellStyle name="Normal 7 3 3 4" xfId="2702" xr:uid="{00000000-0005-0000-0000-000022440000}"/>
    <cellStyle name="Normal 7 3 3 4 2" xfId="9350" xr:uid="{00000000-0005-0000-0000-000023440000}"/>
    <cellStyle name="Normal 7 3 3 4_SSL" xfId="17523" xr:uid="{00000000-0005-0000-0000-000024440000}"/>
    <cellStyle name="Normal 7 3 3 5" xfId="3523" xr:uid="{00000000-0005-0000-0000-000025440000}"/>
    <cellStyle name="Normal 7 3 3 5 2" xfId="10167" xr:uid="{00000000-0005-0000-0000-000026440000}"/>
    <cellStyle name="Normal 7 3 3 5_SSL" xfId="13701" xr:uid="{00000000-0005-0000-0000-000027440000}"/>
    <cellStyle name="Normal 7 3 3 6" xfId="4342" xr:uid="{00000000-0005-0000-0000-000028440000}"/>
    <cellStyle name="Normal 7 3 3 6 2" xfId="10982" xr:uid="{00000000-0005-0000-0000-000029440000}"/>
    <cellStyle name="Normal 7 3 3 6_SSL" xfId="14433" xr:uid="{00000000-0005-0000-0000-00002A440000}"/>
    <cellStyle name="Normal 7 3 3 7" xfId="5153" xr:uid="{00000000-0005-0000-0000-00002B440000}"/>
    <cellStyle name="Normal 7 3 3 7 2" xfId="11792" xr:uid="{00000000-0005-0000-0000-00002C440000}"/>
    <cellStyle name="Normal 7 3 3 7_SSL" xfId="12758" xr:uid="{00000000-0005-0000-0000-00002D440000}"/>
    <cellStyle name="Normal 7 3 3 8" xfId="5963" xr:uid="{00000000-0005-0000-0000-00002E440000}"/>
    <cellStyle name="Normal 7 3 3 8 2" xfId="12601" xr:uid="{00000000-0005-0000-0000-00002F440000}"/>
    <cellStyle name="Normal 7 3 3 8_SSL" xfId="15387" xr:uid="{00000000-0005-0000-0000-000030440000}"/>
    <cellStyle name="Normal 7 3 3 9" xfId="7311" xr:uid="{00000000-0005-0000-0000-000031440000}"/>
    <cellStyle name="Normal 7 3 3_SSL" xfId="17131" xr:uid="{00000000-0005-0000-0000-000032440000}"/>
    <cellStyle name="Normal 7 3 4" xfId="497" xr:uid="{00000000-0005-0000-0000-000033440000}"/>
    <cellStyle name="Normal 7 3 4 2" xfId="1884" xr:uid="{00000000-0005-0000-0000-000034440000}"/>
    <cellStyle name="Normal 7 3 4 2 2" xfId="8539" xr:uid="{00000000-0005-0000-0000-000035440000}"/>
    <cellStyle name="Normal 7 3 4 2_SSL" xfId="13335" xr:uid="{00000000-0005-0000-0000-000036440000}"/>
    <cellStyle name="Normal 7 3 4 3" xfId="2704" xr:uid="{00000000-0005-0000-0000-000037440000}"/>
    <cellStyle name="Normal 7 3 4 3 2" xfId="9352" xr:uid="{00000000-0005-0000-0000-000038440000}"/>
    <cellStyle name="Normal 7 3 4 3_SSL" xfId="16240" xr:uid="{00000000-0005-0000-0000-000039440000}"/>
    <cellStyle name="Normal 7 3 4 4" xfId="3525" xr:uid="{00000000-0005-0000-0000-00003A440000}"/>
    <cellStyle name="Normal 7 3 4 4 2" xfId="10169" xr:uid="{00000000-0005-0000-0000-00003B440000}"/>
    <cellStyle name="Normal 7 3 4 4_SSL" xfId="15653" xr:uid="{00000000-0005-0000-0000-00003C440000}"/>
    <cellStyle name="Normal 7 3 4 5" xfId="4344" xr:uid="{00000000-0005-0000-0000-00003D440000}"/>
    <cellStyle name="Normal 7 3 4 5 2" xfId="10984" xr:uid="{00000000-0005-0000-0000-00003E440000}"/>
    <cellStyle name="Normal 7 3 4 5_SSL" xfId="14115" xr:uid="{00000000-0005-0000-0000-00003F440000}"/>
    <cellStyle name="Normal 7 3 4 6" xfId="5155" xr:uid="{00000000-0005-0000-0000-000040440000}"/>
    <cellStyle name="Normal 7 3 4 6 2" xfId="11794" xr:uid="{00000000-0005-0000-0000-000041440000}"/>
    <cellStyle name="Normal 7 3 4 6_SSL" xfId="15651" xr:uid="{00000000-0005-0000-0000-000042440000}"/>
    <cellStyle name="Normal 7 3 4 7" xfId="5965" xr:uid="{00000000-0005-0000-0000-000043440000}"/>
    <cellStyle name="Normal 7 3 4 7 2" xfId="12603" xr:uid="{00000000-0005-0000-0000-000044440000}"/>
    <cellStyle name="Normal 7 3 4 7_SSL" xfId="14347" xr:uid="{00000000-0005-0000-0000-000045440000}"/>
    <cellStyle name="Normal 7 3 4 8" xfId="7353" xr:uid="{00000000-0005-0000-0000-000046440000}"/>
    <cellStyle name="Normal 7 3 4 9" xfId="6897" xr:uid="{00000000-0005-0000-0000-000047440000}"/>
    <cellStyle name="Normal 7 3 4_SSL" xfId="16352" xr:uid="{00000000-0005-0000-0000-000048440000}"/>
    <cellStyle name="Normal 7 3 5" xfId="1877" xr:uid="{00000000-0005-0000-0000-000049440000}"/>
    <cellStyle name="Normal 7 3 5 2" xfId="8532" xr:uid="{00000000-0005-0000-0000-00004A440000}"/>
    <cellStyle name="Normal 7 3 5_SSL" xfId="17401" xr:uid="{00000000-0005-0000-0000-00004B440000}"/>
    <cellStyle name="Normal 7 3 6" xfId="2697" xr:uid="{00000000-0005-0000-0000-00004C440000}"/>
    <cellStyle name="Normal 7 3 6 2" xfId="9345" xr:uid="{00000000-0005-0000-0000-00004D440000}"/>
    <cellStyle name="Normal 7 3 6_SSL" xfId="13184" xr:uid="{00000000-0005-0000-0000-00004E440000}"/>
    <cellStyle name="Normal 7 3 7" xfId="3518" xr:uid="{00000000-0005-0000-0000-00004F440000}"/>
    <cellStyle name="Normal 7 3 7 2" xfId="10162" xr:uid="{00000000-0005-0000-0000-000050440000}"/>
    <cellStyle name="Normal 7 3 7_SSL" xfId="13359" xr:uid="{00000000-0005-0000-0000-000051440000}"/>
    <cellStyle name="Normal 7 3 8" xfId="4337" xr:uid="{00000000-0005-0000-0000-000052440000}"/>
    <cellStyle name="Normal 7 3 8 2" xfId="10977" xr:uid="{00000000-0005-0000-0000-000053440000}"/>
    <cellStyle name="Normal 7 3 8_SSL" xfId="14228" xr:uid="{00000000-0005-0000-0000-000054440000}"/>
    <cellStyle name="Normal 7 3 9" xfId="5148" xr:uid="{00000000-0005-0000-0000-000055440000}"/>
    <cellStyle name="Normal 7 3 9 2" xfId="11787" xr:uid="{00000000-0005-0000-0000-000056440000}"/>
    <cellStyle name="Normal 7 3 9_SSL" xfId="14039" xr:uid="{00000000-0005-0000-0000-000057440000}"/>
    <cellStyle name="Normal 7 3_SSL" xfId="17262" xr:uid="{00000000-0005-0000-0000-000058440000}"/>
    <cellStyle name="Normal 7 4" xfId="115" xr:uid="{00000000-0005-0000-0000-000059440000}"/>
    <cellStyle name="Normal 7 4 10" xfId="5966" xr:uid="{00000000-0005-0000-0000-00005A440000}"/>
    <cellStyle name="Normal 7 4 10 2" xfId="12604" xr:uid="{00000000-0005-0000-0000-00005B440000}"/>
    <cellStyle name="Normal 7 4 10_SSL" xfId="17134" xr:uid="{00000000-0005-0000-0000-00005C440000}"/>
    <cellStyle name="Normal 7 4 11" xfId="6992" xr:uid="{00000000-0005-0000-0000-00005D440000}"/>
    <cellStyle name="Normal 7 4 12" xfId="6898" xr:uid="{00000000-0005-0000-0000-00005E440000}"/>
    <cellStyle name="Normal 7 4 2" xfId="211" xr:uid="{00000000-0005-0000-0000-00005F440000}"/>
    <cellStyle name="Normal 7 4 2 10" xfId="7088" xr:uid="{00000000-0005-0000-0000-000060440000}"/>
    <cellStyle name="Normal 7 4 2 11" xfId="6899" xr:uid="{00000000-0005-0000-0000-000061440000}"/>
    <cellStyle name="Normal 7 4 2 2" xfId="455" xr:uid="{00000000-0005-0000-0000-000062440000}"/>
    <cellStyle name="Normal 7 4 2 2 10" xfId="6900" xr:uid="{00000000-0005-0000-0000-000063440000}"/>
    <cellStyle name="Normal 7 4 2 2 2" xfId="842" xr:uid="{00000000-0005-0000-0000-000064440000}"/>
    <cellStyle name="Normal 7 4 2 2 2 2" xfId="1888" xr:uid="{00000000-0005-0000-0000-000065440000}"/>
    <cellStyle name="Normal 7 4 2 2 2 2 2" xfId="8543" xr:uid="{00000000-0005-0000-0000-000066440000}"/>
    <cellStyle name="Normal 7 4 2 2 2 2_SSL" xfId="16527" xr:uid="{00000000-0005-0000-0000-000067440000}"/>
    <cellStyle name="Normal 7 4 2 2 2 3" xfId="2708" xr:uid="{00000000-0005-0000-0000-000068440000}"/>
    <cellStyle name="Normal 7 4 2 2 2 3 2" xfId="9356" xr:uid="{00000000-0005-0000-0000-000069440000}"/>
    <cellStyle name="Normal 7 4 2 2 2 3_SSL" xfId="17920" xr:uid="{00000000-0005-0000-0000-00006A440000}"/>
    <cellStyle name="Normal 7 4 2 2 2 4" xfId="3529" xr:uid="{00000000-0005-0000-0000-00006B440000}"/>
    <cellStyle name="Normal 7 4 2 2 2 4 2" xfId="10173" xr:uid="{00000000-0005-0000-0000-00006C440000}"/>
    <cellStyle name="Normal 7 4 2 2 2 4_SSL" xfId="17120" xr:uid="{00000000-0005-0000-0000-00006D440000}"/>
    <cellStyle name="Normal 7 4 2 2 2 5" xfId="4348" xr:uid="{00000000-0005-0000-0000-00006E440000}"/>
    <cellStyle name="Normal 7 4 2 2 2 5 2" xfId="10988" xr:uid="{00000000-0005-0000-0000-00006F440000}"/>
    <cellStyle name="Normal 7 4 2 2 2 5_SSL" xfId="14473" xr:uid="{00000000-0005-0000-0000-000070440000}"/>
    <cellStyle name="Normal 7 4 2 2 2 6" xfId="5159" xr:uid="{00000000-0005-0000-0000-000071440000}"/>
    <cellStyle name="Normal 7 4 2 2 2 6 2" xfId="11798" xr:uid="{00000000-0005-0000-0000-000072440000}"/>
    <cellStyle name="Normal 7 4 2 2 2 6_SSL" xfId="14312" xr:uid="{00000000-0005-0000-0000-000073440000}"/>
    <cellStyle name="Normal 7 4 2 2 2 7" xfId="5969" xr:uid="{00000000-0005-0000-0000-000074440000}"/>
    <cellStyle name="Normal 7 4 2 2 2 7 2" xfId="12607" xr:uid="{00000000-0005-0000-0000-000075440000}"/>
    <cellStyle name="Normal 7 4 2 2 2 7_SSL" xfId="16780" xr:uid="{00000000-0005-0000-0000-000076440000}"/>
    <cellStyle name="Normal 7 4 2 2 2 8" xfId="7698" xr:uid="{00000000-0005-0000-0000-000077440000}"/>
    <cellStyle name="Normal 7 4 2 2 2 9" xfId="6901" xr:uid="{00000000-0005-0000-0000-000078440000}"/>
    <cellStyle name="Normal 7 4 2 2 2_SSL" xfId="14737" xr:uid="{00000000-0005-0000-0000-000079440000}"/>
    <cellStyle name="Normal 7 4 2 2 3" xfId="1887" xr:uid="{00000000-0005-0000-0000-00007A440000}"/>
    <cellStyle name="Normal 7 4 2 2 3 2" xfId="8542" xr:uid="{00000000-0005-0000-0000-00007B440000}"/>
    <cellStyle name="Normal 7 4 2 2 3_SSL" xfId="15816" xr:uid="{00000000-0005-0000-0000-00007C440000}"/>
    <cellStyle name="Normal 7 4 2 2 4" xfId="2707" xr:uid="{00000000-0005-0000-0000-00007D440000}"/>
    <cellStyle name="Normal 7 4 2 2 4 2" xfId="9355" xr:uid="{00000000-0005-0000-0000-00007E440000}"/>
    <cellStyle name="Normal 7 4 2 2 4_SSL" xfId="15445" xr:uid="{00000000-0005-0000-0000-00007F440000}"/>
    <cellStyle name="Normal 7 4 2 2 5" xfId="3528" xr:uid="{00000000-0005-0000-0000-000080440000}"/>
    <cellStyle name="Normal 7 4 2 2 5 2" xfId="10172" xr:uid="{00000000-0005-0000-0000-000081440000}"/>
    <cellStyle name="Normal 7 4 2 2 5_SSL" xfId="15109" xr:uid="{00000000-0005-0000-0000-000082440000}"/>
    <cellStyle name="Normal 7 4 2 2 6" xfId="4347" xr:uid="{00000000-0005-0000-0000-000083440000}"/>
    <cellStyle name="Normal 7 4 2 2 6 2" xfId="10987" xr:uid="{00000000-0005-0000-0000-000084440000}"/>
    <cellStyle name="Normal 7 4 2 2 6_SSL" xfId="17121" xr:uid="{00000000-0005-0000-0000-000085440000}"/>
    <cellStyle name="Normal 7 4 2 2 7" xfId="5158" xr:uid="{00000000-0005-0000-0000-000086440000}"/>
    <cellStyle name="Normal 7 4 2 2 7 2" xfId="11797" xr:uid="{00000000-0005-0000-0000-000087440000}"/>
    <cellStyle name="Normal 7 4 2 2 7_SSL" xfId="16298" xr:uid="{00000000-0005-0000-0000-000088440000}"/>
    <cellStyle name="Normal 7 4 2 2 8" xfId="5968" xr:uid="{00000000-0005-0000-0000-000089440000}"/>
    <cellStyle name="Normal 7 4 2 2 8 2" xfId="12606" xr:uid="{00000000-0005-0000-0000-00008A440000}"/>
    <cellStyle name="Normal 7 4 2 2 8_SSL" xfId="15428" xr:uid="{00000000-0005-0000-0000-00008B440000}"/>
    <cellStyle name="Normal 7 4 2 2 9" xfId="7314" xr:uid="{00000000-0005-0000-0000-00008C440000}"/>
    <cellStyle name="Normal 7 4 2 2_SSL" xfId="13545" xr:uid="{00000000-0005-0000-0000-00008D440000}"/>
    <cellStyle name="Normal 7 4 2 3" xfId="616" xr:uid="{00000000-0005-0000-0000-00008E440000}"/>
    <cellStyle name="Normal 7 4 2 3 2" xfId="1889" xr:uid="{00000000-0005-0000-0000-00008F440000}"/>
    <cellStyle name="Normal 7 4 2 3 2 2" xfId="8544" xr:uid="{00000000-0005-0000-0000-000090440000}"/>
    <cellStyle name="Normal 7 4 2 3 2_SSL" xfId="15860" xr:uid="{00000000-0005-0000-0000-000091440000}"/>
    <cellStyle name="Normal 7 4 2 3 3" xfId="2709" xr:uid="{00000000-0005-0000-0000-000092440000}"/>
    <cellStyle name="Normal 7 4 2 3 3 2" xfId="9357" xr:uid="{00000000-0005-0000-0000-000093440000}"/>
    <cellStyle name="Normal 7 4 2 3 3_SSL" xfId="15281" xr:uid="{00000000-0005-0000-0000-000094440000}"/>
    <cellStyle name="Normal 7 4 2 3 4" xfId="3530" xr:uid="{00000000-0005-0000-0000-000095440000}"/>
    <cellStyle name="Normal 7 4 2 3 4 2" xfId="10174" xr:uid="{00000000-0005-0000-0000-000096440000}"/>
    <cellStyle name="Normal 7 4 2 3 4_SSL" xfId="16315" xr:uid="{00000000-0005-0000-0000-000097440000}"/>
    <cellStyle name="Normal 7 4 2 3 5" xfId="4349" xr:uid="{00000000-0005-0000-0000-000098440000}"/>
    <cellStyle name="Normal 7 4 2 3 5 2" xfId="10989" xr:uid="{00000000-0005-0000-0000-000099440000}"/>
    <cellStyle name="Normal 7 4 2 3 5_SSL" xfId="14936" xr:uid="{00000000-0005-0000-0000-00009A440000}"/>
    <cellStyle name="Normal 7 4 2 3 6" xfId="5160" xr:uid="{00000000-0005-0000-0000-00009B440000}"/>
    <cellStyle name="Normal 7 4 2 3 6 2" xfId="11799" xr:uid="{00000000-0005-0000-0000-00009C440000}"/>
    <cellStyle name="Normal 7 4 2 3 6_SSL" xfId="13562" xr:uid="{00000000-0005-0000-0000-00009D440000}"/>
    <cellStyle name="Normal 7 4 2 3 7" xfId="5970" xr:uid="{00000000-0005-0000-0000-00009E440000}"/>
    <cellStyle name="Normal 7 4 2 3 7 2" xfId="12608" xr:uid="{00000000-0005-0000-0000-00009F440000}"/>
    <cellStyle name="Normal 7 4 2 3 7_SSL" xfId="14162" xr:uid="{00000000-0005-0000-0000-0000A0440000}"/>
    <cellStyle name="Normal 7 4 2 3 8" xfId="7472" xr:uid="{00000000-0005-0000-0000-0000A1440000}"/>
    <cellStyle name="Normal 7 4 2 3 9" xfId="6902" xr:uid="{00000000-0005-0000-0000-0000A2440000}"/>
    <cellStyle name="Normal 7 4 2 3_SSL" xfId="13580" xr:uid="{00000000-0005-0000-0000-0000A3440000}"/>
    <cellStyle name="Normal 7 4 2 4" xfId="1886" xr:uid="{00000000-0005-0000-0000-0000A4440000}"/>
    <cellStyle name="Normal 7 4 2 4 2" xfId="8541" xr:uid="{00000000-0005-0000-0000-0000A5440000}"/>
    <cellStyle name="Normal 7 4 2 4_SSL" xfId="13732" xr:uid="{00000000-0005-0000-0000-0000A6440000}"/>
    <cellStyle name="Normal 7 4 2 5" xfId="2706" xr:uid="{00000000-0005-0000-0000-0000A7440000}"/>
    <cellStyle name="Normal 7 4 2 5 2" xfId="9354" xr:uid="{00000000-0005-0000-0000-0000A8440000}"/>
    <cellStyle name="Normal 7 4 2 5_SSL" xfId="14731" xr:uid="{00000000-0005-0000-0000-0000A9440000}"/>
    <cellStyle name="Normal 7 4 2 6" xfId="3527" xr:uid="{00000000-0005-0000-0000-0000AA440000}"/>
    <cellStyle name="Normal 7 4 2 6 2" xfId="10171" xr:uid="{00000000-0005-0000-0000-0000AB440000}"/>
    <cellStyle name="Normal 7 4 2 6_SSL" xfId="13489" xr:uid="{00000000-0005-0000-0000-0000AC440000}"/>
    <cellStyle name="Normal 7 4 2 7" xfId="4346" xr:uid="{00000000-0005-0000-0000-0000AD440000}"/>
    <cellStyle name="Normal 7 4 2 7 2" xfId="10986" xr:uid="{00000000-0005-0000-0000-0000AE440000}"/>
    <cellStyle name="Normal 7 4 2 7_SSL" xfId="15020" xr:uid="{00000000-0005-0000-0000-0000AF440000}"/>
    <cellStyle name="Normal 7 4 2 8" xfId="5157" xr:uid="{00000000-0005-0000-0000-0000B0440000}"/>
    <cellStyle name="Normal 7 4 2 8 2" xfId="11796" xr:uid="{00000000-0005-0000-0000-0000B1440000}"/>
    <cellStyle name="Normal 7 4 2 8_SSL" xfId="13559" xr:uid="{00000000-0005-0000-0000-0000B2440000}"/>
    <cellStyle name="Normal 7 4 2 9" xfId="5967" xr:uid="{00000000-0005-0000-0000-0000B3440000}"/>
    <cellStyle name="Normal 7 4 2 9 2" xfId="12605" xr:uid="{00000000-0005-0000-0000-0000B4440000}"/>
    <cellStyle name="Normal 7 4 2 9_SSL" xfId="15679" xr:uid="{00000000-0005-0000-0000-0000B5440000}"/>
    <cellStyle name="Normal 7 4 2_SSL" xfId="14279" xr:uid="{00000000-0005-0000-0000-0000B6440000}"/>
    <cellStyle name="Normal 7 4 3" xfId="454" xr:uid="{00000000-0005-0000-0000-0000B7440000}"/>
    <cellStyle name="Normal 7 4 3 10" xfId="6903" xr:uid="{00000000-0005-0000-0000-0000B8440000}"/>
    <cellStyle name="Normal 7 4 3 2" xfId="841" xr:uid="{00000000-0005-0000-0000-0000B9440000}"/>
    <cellStyle name="Normal 7 4 3 2 2" xfId="1891" xr:uid="{00000000-0005-0000-0000-0000BA440000}"/>
    <cellStyle name="Normal 7 4 3 2 2 2" xfId="8546" xr:uid="{00000000-0005-0000-0000-0000BB440000}"/>
    <cellStyle name="Normal 7 4 3 2 2_SSL" xfId="15329" xr:uid="{00000000-0005-0000-0000-0000BC440000}"/>
    <cellStyle name="Normal 7 4 3 2 3" xfId="2711" xr:uid="{00000000-0005-0000-0000-0000BD440000}"/>
    <cellStyle name="Normal 7 4 3 2 3 2" xfId="9359" xr:uid="{00000000-0005-0000-0000-0000BE440000}"/>
    <cellStyle name="Normal 7 4 3 2 3_SSL" xfId="17277" xr:uid="{00000000-0005-0000-0000-0000BF440000}"/>
    <cellStyle name="Normal 7 4 3 2 4" xfId="3532" xr:uid="{00000000-0005-0000-0000-0000C0440000}"/>
    <cellStyle name="Normal 7 4 3 2 4 2" xfId="10176" xr:uid="{00000000-0005-0000-0000-0000C1440000}"/>
    <cellStyle name="Normal 7 4 3 2 4_SSL" xfId="17642" xr:uid="{00000000-0005-0000-0000-0000C2440000}"/>
    <cellStyle name="Normal 7 4 3 2 5" xfId="4351" xr:uid="{00000000-0005-0000-0000-0000C3440000}"/>
    <cellStyle name="Normal 7 4 3 2 5 2" xfId="10991" xr:uid="{00000000-0005-0000-0000-0000C4440000}"/>
    <cellStyle name="Normal 7 4 3 2 5_SSL" xfId="13718" xr:uid="{00000000-0005-0000-0000-0000C5440000}"/>
    <cellStyle name="Normal 7 4 3 2 6" xfId="5162" xr:uid="{00000000-0005-0000-0000-0000C6440000}"/>
    <cellStyle name="Normal 7 4 3 2 6 2" xfId="11801" xr:uid="{00000000-0005-0000-0000-0000C7440000}"/>
    <cellStyle name="Normal 7 4 3 2 6_SSL" xfId="17028" xr:uid="{00000000-0005-0000-0000-0000C8440000}"/>
    <cellStyle name="Normal 7 4 3 2 7" xfId="5972" xr:uid="{00000000-0005-0000-0000-0000C9440000}"/>
    <cellStyle name="Normal 7 4 3 2 7 2" xfId="12610" xr:uid="{00000000-0005-0000-0000-0000CA440000}"/>
    <cellStyle name="Normal 7 4 3 2 7_SSL" xfId="15196" xr:uid="{00000000-0005-0000-0000-0000CB440000}"/>
    <cellStyle name="Normal 7 4 3 2 8" xfId="7697" xr:uid="{00000000-0005-0000-0000-0000CC440000}"/>
    <cellStyle name="Normal 7 4 3 2 9" xfId="6904" xr:uid="{00000000-0005-0000-0000-0000CD440000}"/>
    <cellStyle name="Normal 7 4 3 2_SSL" xfId="17758" xr:uid="{00000000-0005-0000-0000-0000CE440000}"/>
    <cellStyle name="Normal 7 4 3 3" xfId="1890" xr:uid="{00000000-0005-0000-0000-0000CF440000}"/>
    <cellStyle name="Normal 7 4 3 3 2" xfId="8545" xr:uid="{00000000-0005-0000-0000-0000D0440000}"/>
    <cellStyle name="Normal 7 4 3 3_SSL" xfId="17706" xr:uid="{00000000-0005-0000-0000-0000D1440000}"/>
    <cellStyle name="Normal 7 4 3 4" xfId="2710" xr:uid="{00000000-0005-0000-0000-0000D2440000}"/>
    <cellStyle name="Normal 7 4 3 4 2" xfId="9358" xr:uid="{00000000-0005-0000-0000-0000D3440000}"/>
    <cellStyle name="Normal 7 4 3 4_SSL" xfId="15690" xr:uid="{00000000-0005-0000-0000-0000D4440000}"/>
    <cellStyle name="Normal 7 4 3 5" xfId="3531" xr:uid="{00000000-0005-0000-0000-0000D5440000}"/>
    <cellStyle name="Normal 7 4 3 5 2" xfId="10175" xr:uid="{00000000-0005-0000-0000-0000D6440000}"/>
    <cellStyle name="Normal 7 4 3 5_SSL" xfId="14026" xr:uid="{00000000-0005-0000-0000-0000D7440000}"/>
    <cellStyle name="Normal 7 4 3 6" xfId="4350" xr:uid="{00000000-0005-0000-0000-0000D8440000}"/>
    <cellStyle name="Normal 7 4 3 6 2" xfId="10990" xr:uid="{00000000-0005-0000-0000-0000D9440000}"/>
    <cellStyle name="Normal 7 4 3 6_SSL" xfId="6111" xr:uid="{00000000-0005-0000-0000-0000DA440000}"/>
    <cellStyle name="Normal 7 4 3 7" xfId="5161" xr:uid="{00000000-0005-0000-0000-0000DB440000}"/>
    <cellStyle name="Normal 7 4 3 7 2" xfId="11800" xr:uid="{00000000-0005-0000-0000-0000DC440000}"/>
    <cellStyle name="Normal 7 4 3 7_SSL" xfId="13174" xr:uid="{00000000-0005-0000-0000-0000DD440000}"/>
    <cellStyle name="Normal 7 4 3 8" xfId="5971" xr:uid="{00000000-0005-0000-0000-0000DE440000}"/>
    <cellStyle name="Normal 7 4 3 8 2" xfId="12609" xr:uid="{00000000-0005-0000-0000-0000DF440000}"/>
    <cellStyle name="Normal 7 4 3 8_SSL" xfId="17051" xr:uid="{00000000-0005-0000-0000-0000E0440000}"/>
    <cellStyle name="Normal 7 4 3 9" xfId="7313" xr:uid="{00000000-0005-0000-0000-0000E1440000}"/>
    <cellStyle name="Normal 7 4 3_SSL" xfId="16687" xr:uid="{00000000-0005-0000-0000-0000E2440000}"/>
    <cellStyle name="Normal 7 4 4" xfId="520" xr:uid="{00000000-0005-0000-0000-0000E3440000}"/>
    <cellStyle name="Normal 7 4 4 2" xfId="1892" xr:uid="{00000000-0005-0000-0000-0000E4440000}"/>
    <cellStyle name="Normal 7 4 4 2 2" xfId="8547" xr:uid="{00000000-0005-0000-0000-0000E5440000}"/>
    <cellStyle name="Normal 7 4 4 2_SSL" xfId="6112" xr:uid="{00000000-0005-0000-0000-0000E6440000}"/>
    <cellStyle name="Normal 7 4 4 3" xfId="2712" xr:uid="{00000000-0005-0000-0000-0000E7440000}"/>
    <cellStyle name="Normal 7 4 4 3 2" xfId="9360" xr:uid="{00000000-0005-0000-0000-0000E8440000}"/>
    <cellStyle name="Normal 7 4 4 3_SSL" xfId="14514" xr:uid="{00000000-0005-0000-0000-0000E9440000}"/>
    <cellStyle name="Normal 7 4 4 4" xfId="3533" xr:uid="{00000000-0005-0000-0000-0000EA440000}"/>
    <cellStyle name="Normal 7 4 4 4 2" xfId="10177" xr:uid="{00000000-0005-0000-0000-0000EB440000}"/>
    <cellStyle name="Normal 7 4 4 4_SSL" xfId="13252" xr:uid="{00000000-0005-0000-0000-0000EC440000}"/>
    <cellStyle name="Normal 7 4 4 5" xfId="4352" xr:uid="{00000000-0005-0000-0000-0000ED440000}"/>
    <cellStyle name="Normal 7 4 4 5 2" xfId="10992" xr:uid="{00000000-0005-0000-0000-0000EE440000}"/>
    <cellStyle name="Normal 7 4 4 5_SSL" xfId="13043" xr:uid="{00000000-0005-0000-0000-0000EF440000}"/>
    <cellStyle name="Normal 7 4 4 6" xfId="5163" xr:uid="{00000000-0005-0000-0000-0000F0440000}"/>
    <cellStyle name="Normal 7 4 4 6 2" xfId="11802" xr:uid="{00000000-0005-0000-0000-0000F1440000}"/>
    <cellStyle name="Normal 7 4 4 6_SSL" xfId="14793" xr:uid="{00000000-0005-0000-0000-0000F2440000}"/>
    <cellStyle name="Normal 7 4 4 7" xfId="5973" xr:uid="{00000000-0005-0000-0000-0000F3440000}"/>
    <cellStyle name="Normal 7 4 4 7 2" xfId="12611" xr:uid="{00000000-0005-0000-0000-0000F4440000}"/>
    <cellStyle name="Normal 7 4 4 7_SSL" xfId="12865" xr:uid="{00000000-0005-0000-0000-0000F5440000}"/>
    <cellStyle name="Normal 7 4 4 8" xfId="7376" xr:uid="{00000000-0005-0000-0000-0000F6440000}"/>
    <cellStyle name="Normal 7 4 4 9" xfId="6905" xr:uid="{00000000-0005-0000-0000-0000F7440000}"/>
    <cellStyle name="Normal 7 4 4_SSL" xfId="13421" xr:uid="{00000000-0005-0000-0000-0000F8440000}"/>
    <cellStyle name="Normal 7 4 5" xfId="1885" xr:uid="{00000000-0005-0000-0000-0000F9440000}"/>
    <cellStyle name="Normal 7 4 5 2" xfId="8540" xr:uid="{00000000-0005-0000-0000-0000FA440000}"/>
    <cellStyle name="Normal 7 4 5_SSL" xfId="16428" xr:uid="{00000000-0005-0000-0000-0000FB440000}"/>
    <cellStyle name="Normal 7 4 6" xfId="2705" xr:uid="{00000000-0005-0000-0000-0000FC440000}"/>
    <cellStyle name="Normal 7 4 6 2" xfId="9353" xr:uid="{00000000-0005-0000-0000-0000FD440000}"/>
    <cellStyle name="Normal 7 4 6_SSL" xfId="17069" xr:uid="{00000000-0005-0000-0000-0000FE440000}"/>
    <cellStyle name="Normal 7 4 7" xfId="3526" xr:uid="{00000000-0005-0000-0000-0000FF440000}"/>
    <cellStyle name="Normal 7 4 7 2" xfId="10170" xr:uid="{00000000-0005-0000-0000-000000450000}"/>
    <cellStyle name="Normal 7 4 7_SSL" xfId="13623" xr:uid="{00000000-0005-0000-0000-000001450000}"/>
    <cellStyle name="Normal 7 4 8" xfId="4345" xr:uid="{00000000-0005-0000-0000-000002450000}"/>
    <cellStyle name="Normal 7 4 8 2" xfId="10985" xr:uid="{00000000-0005-0000-0000-000003450000}"/>
    <cellStyle name="Normal 7 4 8_SSL" xfId="16416" xr:uid="{00000000-0005-0000-0000-000004450000}"/>
    <cellStyle name="Normal 7 4 9" xfId="5156" xr:uid="{00000000-0005-0000-0000-000005450000}"/>
    <cellStyle name="Normal 7 4 9 2" xfId="11795" xr:uid="{00000000-0005-0000-0000-000006450000}"/>
    <cellStyle name="Normal 7 4 9_SSL" xfId="14391" xr:uid="{00000000-0005-0000-0000-000007450000}"/>
    <cellStyle name="Normal 7 4_SSL" xfId="15099" xr:uid="{00000000-0005-0000-0000-000008450000}"/>
    <cellStyle name="Normal 7 5" xfId="140" xr:uid="{00000000-0005-0000-0000-000009450000}"/>
    <cellStyle name="Normal 7 5 10" xfId="7017" xr:uid="{00000000-0005-0000-0000-00000A450000}"/>
    <cellStyle name="Normal 7 5 11" xfId="6906" xr:uid="{00000000-0005-0000-0000-00000B450000}"/>
    <cellStyle name="Normal 7 5 2" xfId="456" xr:uid="{00000000-0005-0000-0000-00000C450000}"/>
    <cellStyle name="Normal 7 5 2 10" xfId="6907" xr:uid="{00000000-0005-0000-0000-00000D450000}"/>
    <cellStyle name="Normal 7 5 2 2" xfId="843" xr:uid="{00000000-0005-0000-0000-00000E450000}"/>
    <cellStyle name="Normal 7 5 2 2 2" xfId="1895" xr:uid="{00000000-0005-0000-0000-00000F450000}"/>
    <cellStyle name="Normal 7 5 2 2 2 2" xfId="8550" xr:uid="{00000000-0005-0000-0000-000010450000}"/>
    <cellStyle name="Normal 7 5 2 2 2_SSL" xfId="15873" xr:uid="{00000000-0005-0000-0000-000011450000}"/>
    <cellStyle name="Normal 7 5 2 2 3" xfId="2715" xr:uid="{00000000-0005-0000-0000-000012450000}"/>
    <cellStyle name="Normal 7 5 2 2 3 2" xfId="9363" xr:uid="{00000000-0005-0000-0000-000013450000}"/>
    <cellStyle name="Normal 7 5 2 2 3_SSL" xfId="14430" xr:uid="{00000000-0005-0000-0000-000014450000}"/>
    <cellStyle name="Normal 7 5 2 2 4" xfId="3536" xr:uid="{00000000-0005-0000-0000-000015450000}"/>
    <cellStyle name="Normal 7 5 2 2 4 2" xfId="10180" xr:uid="{00000000-0005-0000-0000-000016450000}"/>
    <cellStyle name="Normal 7 5 2 2 4_SSL" xfId="15209" xr:uid="{00000000-0005-0000-0000-000017450000}"/>
    <cellStyle name="Normal 7 5 2 2 5" xfId="4355" xr:uid="{00000000-0005-0000-0000-000018450000}"/>
    <cellStyle name="Normal 7 5 2 2 5 2" xfId="10995" xr:uid="{00000000-0005-0000-0000-000019450000}"/>
    <cellStyle name="Normal 7 5 2 2 5_SSL" xfId="16947" xr:uid="{00000000-0005-0000-0000-00001A450000}"/>
    <cellStyle name="Normal 7 5 2 2 6" xfId="5166" xr:uid="{00000000-0005-0000-0000-00001B450000}"/>
    <cellStyle name="Normal 7 5 2 2 6 2" xfId="11805" xr:uid="{00000000-0005-0000-0000-00001C450000}"/>
    <cellStyle name="Normal 7 5 2 2 6_SSL" xfId="16030" xr:uid="{00000000-0005-0000-0000-00001D450000}"/>
    <cellStyle name="Normal 7 5 2 2 7" xfId="5976" xr:uid="{00000000-0005-0000-0000-00001E450000}"/>
    <cellStyle name="Normal 7 5 2 2 7 2" xfId="12614" xr:uid="{00000000-0005-0000-0000-00001F450000}"/>
    <cellStyle name="Normal 7 5 2 2 7_SSL" xfId="16396" xr:uid="{00000000-0005-0000-0000-000020450000}"/>
    <cellStyle name="Normal 7 5 2 2 8" xfId="7699" xr:uid="{00000000-0005-0000-0000-000021450000}"/>
    <cellStyle name="Normal 7 5 2 2 9" xfId="6908" xr:uid="{00000000-0005-0000-0000-000022450000}"/>
    <cellStyle name="Normal 7 5 2 2_SSL" xfId="13931" xr:uid="{00000000-0005-0000-0000-000023450000}"/>
    <cellStyle name="Normal 7 5 2 3" xfId="1894" xr:uid="{00000000-0005-0000-0000-000024450000}"/>
    <cellStyle name="Normal 7 5 2 3 2" xfId="8549" xr:uid="{00000000-0005-0000-0000-000025450000}"/>
    <cellStyle name="Normal 7 5 2 3_SSL" xfId="15216" xr:uid="{00000000-0005-0000-0000-000026450000}"/>
    <cellStyle name="Normal 7 5 2 4" xfId="2714" xr:uid="{00000000-0005-0000-0000-000027450000}"/>
    <cellStyle name="Normal 7 5 2 4 2" xfId="9362" xr:uid="{00000000-0005-0000-0000-000028450000}"/>
    <cellStyle name="Normal 7 5 2 4_SSL" xfId="14408" xr:uid="{00000000-0005-0000-0000-000029450000}"/>
    <cellStyle name="Normal 7 5 2 5" xfId="3535" xr:uid="{00000000-0005-0000-0000-00002A450000}"/>
    <cellStyle name="Normal 7 5 2 5 2" xfId="10179" xr:uid="{00000000-0005-0000-0000-00002B450000}"/>
    <cellStyle name="Normal 7 5 2 5_SSL" xfId="13543" xr:uid="{00000000-0005-0000-0000-00002C450000}"/>
    <cellStyle name="Normal 7 5 2 6" xfId="4354" xr:uid="{00000000-0005-0000-0000-00002D450000}"/>
    <cellStyle name="Normal 7 5 2 6 2" xfId="10994" xr:uid="{00000000-0005-0000-0000-00002E450000}"/>
    <cellStyle name="Normal 7 5 2 6_SSL" xfId="13922" xr:uid="{00000000-0005-0000-0000-00002F450000}"/>
    <cellStyle name="Normal 7 5 2 7" xfId="5165" xr:uid="{00000000-0005-0000-0000-000030450000}"/>
    <cellStyle name="Normal 7 5 2 7 2" xfId="11804" xr:uid="{00000000-0005-0000-0000-000031450000}"/>
    <cellStyle name="Normal 7 5 2 7_SSL" xfId="12835" xr:uid="{00000000-0005-0000-0000-000032450000}"/>
    <cellStyle name="Normal 7 5 2 8" xfId="5975" xr:uid="{00000000-0005-0000-0000-000033450000}"/>
    <cellStyle name="Normal 7 5 2 8 2" xfId="12613" xr:uid="{00000000-0005-0000-0000-000034450000}"/>
    <cellStyle name="Normal 7 5 2 8_SSL" xfId="12877" xr:uid="{00000000-0005-0000-0000-000035450000}"/>
    <cellStyle name="Normal 7 5 2 9" xfId="7315" xr:uid="{00000000-0005-0000-0000-000036450000}"/>
    <cellStyle name="Normal 7 5 2_SSL" xfId="15655" xr:uid="{00000000-0005-0000-0000-000037450000}"/>
    <cellStyle name="Normal 7 5 3" xfId="545" xr:uid="{00000000-0005-0000-0000-000038450000}"/>
    <cellStyle name="Normal 7 5 3 2" xfId="1896" xr:uid="{00000000-0005-0000-0000-000039450000}"/>
    <cellStyle name="Normal 7 5 3 2 2" xfId="8551" xr:uid="{00000000-0005-0000-0000-00003A450000}"/>
    <cellStyle name="Normal 7 5 3 2_SSL" xfId="17865" xr:uid="{00000000-0005-0000-0000-00003B450000}"/>
    <cellStyle name="Normal 7 5 3 3" xfId="2716" xr:uid="{00000000-0005-0000-0000-00003C450000}"/>
    <cellStyle name="Normal 7 5 3 3 2" xfId="9364" xr:uid="{00000000-0005-0000-0000-00003D450000}"/>
    <cellStyle name="Normal 7 5 3 3_SSL" xfId="16347" xr:uid="{00000000-0005-0000-0000-00003E450000}"/>
    <cellStyle name="Normal 7 5 3 4" xfId="3537" xr:uid="{00000000-0005-0000-0000-00003F450000}"/>
    <cellStyle name="Normal 7 5 3 4 2" xfId="10181" xr:uid="{00000000-0005-0000-0000-000040450000}"/>
    <cellStyle name="Normal 7 5 3 4_SSL" xfId="12805" xr:uid="{00000000-0005-0000-0000-000041450000}"/>
    <cellStyle name="Normal 7 5 3 5" xfId="4356" xr:uid="{00000000-0005-0000-0000-000042450000}"/>
    <cellStyle name="Normal 7 5 3 5 2" xfId="10996" xr:uid="{00000000-0005-0000-0000-000043450000}"/>
    <cellStyle name="Normal 7 5 3 5_SSL" xfId="15073" xr:uid="{00000000-0005-0000-0000-000044450000}"/>
    <cellStyle name="Normal 7 5 3 6" xfId="5167" xr:uid="{00000000-0005-0000-0000-000045450000}"/>
    <cellStyle name="Normal 7 5 3 6 2" xfId="11806" xr:uid="{00000000-0005-0000-0000-000046450000}"/>
    <cellStyle name="Normal 7 5 3 6_SSL" xfId="16177" xr:uid="{00000000-0005-0000-0000-000047450000}"/>
    <cellStyle name="Normal 7 5 3 7" xfId="5977" xr:uid="{00000000-0005-0000-0000-000048450000}"/>
    <cellStyle name="Normal 7 5 3 7 2" xfId="12615" xr:uid="{00000000-0005-0000-0000-000049450000}"/>
    <cellStyle name="Normal 7 5 3 7_SSL" xfId="17596" xr:uid="{00000000-0005-0000-0000-00004A450000}"/>
    <cellStyle name="Normal 7 5 3 8" xfId="7401" xr:uid="{00000000-0005-0000-0000-00004B450000}"/>
    <cellStyle name="Normal 7 5 3 9" xfId="6909" xr:uid="{00000000-0005-0000-0000-00004C450000}"/>
    <cellStyle name="Normal 7 5 3_SSL" xfId="16233" xr:uid="{00000000-0005-0000-0000-00004D450000}"/>
    <cellStyle name="Normal 7 5 4" xfId="1893" xr:uid="{00000000-0005-0000-0000-00004E450000}"/>
    <cellStyle name="Normal 7 5 4 2" xfId="8548" xr:uid="{00000000-0005-0000-0000-00004F450000}"/>
    <cellStyle name="Normal 7 5 4_SSL" xfId="15688" xr:uid="{00000000-0005-0000-0000-000050450000}"/>
    <cellStyle name="Normal 7 5 5" xfId="2713" xr:uid="{00000000-0005-0000-0000-000051450000}"/>
    <cellStyle name="Normal 7 5 5 2" xfId="9361" xr:uid="{00000000-0005-0000-0000-000052450000}"/>
    <cellStyle name="Normal 7 5 5_SSL" xfId="17660" xr:uid="{00000000-0005-0000-0000-000053450000}"/>
    <cellStyle name="Normal 7 5 6" xfId="3534" xr:uid="{00000000-0005-0000-0000-000054450000}"/>
    <cellStyle name="Normal 7 5 6 2" xfId="10178" xr:uid="{00000000-0005-0000-0000-000055450000}"/>
    <cellStyle name="Normal 7 5 6_SSL" xfId="13795" xr:uid="{00000000-0005-0000-0000-000056450000}"/>
    <cellStyle name="Normal 7 5 7" xfId="4353" xr:uid="{00000000-0005-0000-0000-000057450000}"/>
    <cellStyle name="Normal 7 5 7 2" xfId="10993" xr:uid="{00000000-0005-0000-0000-000058450000}"/>
    <cellStyle name="Normal 7 5 7_SSL" xfId="13906" xr:uid="{00000000-0005-0000-0000-000059450000}"/>
    <cellStyle name="Normal 7 5 8" xfId="5164" xr:uid="{00000000-0005-0000-0000-00005A450000}"/>
    <cellStyle name="Normal 7 5 8 2" xfId="11803" xr:uid="{00000000-0005-0000-0000-00005B450000}"/>
    <cellStyle name="Normal 7 5 8_SSL" xfId="16496" xr:uid="{00000000-0005-0000-0000-00005C450000}"/>
    <cellStyle name="Normal 7 5 9" xfId="5974" xr:uid="{00000000-0005-0000-0000-00005D450000}"/>
    <cellStyle name="Normal 7 5 9 2" xfId="12612" xr:uid="{00000000-0005-0000-0000-00005E450000}"/>
    <cellStyle name="Normal 7 5 9_SSL" xfId="16182" xr:uid="{00000000-0005-0000-0000-00005F450000}"/>
    <cellStyle name="Normal 7 5_SSL" xfId="12679" xr:uid="{00000000-0005-0000-0000-000060450000}"/>
    <cellStyle name="Normal 7 6" xfId="236" xr:uid="{00000000-0005-0000-0000-000061450000}"/>
    <cellStyle name="Normal 7 6 10" xfId="7113" xr:uid="{00000000-0005-0000-0000-000062450000}"/>
    <cellStyle name="Normal 7 6 11" xfId="6910" xr:uid="{00000000-0005-0000-0000-000063450000}"/>
    <cellStyle name="Normal 7 6 2" xfId="457" xr:uid="{00000000-0005-0000-0000-000064450000}"/>
    <cellStyle name="Normal 7 6 2 10" xfId="6911" xr:uid="{00000000-0005-0000-0000-000065450000}"/>
    <cellStyle name="Normal 7 6 2 2" xfId="844" xr:uid="{00000000-0005-0000-0000-000066450000}"/>
    <cellStyle name="Normal 7 6 2 2 2" xfId="1899" xr:uid="{00000000-0005-0000-0000-000067450000}"/>
    <cellStyle name="Normal 7 6 2 2 2 2" xfId="8554" xr:uid="{00000000-0005-0000-0000-000068450000}"/>
    <cellStyle name="Normal 7 6 2 2 2_SSL" xfId="14758" xr:uid="{00000000-0005-0000-0000-000069450000}"/>
    <cellStyle name="Normal 7 6 2 2 3" xfId="2719" xr:uid="{00000000-0005-0000-0000-00006A450000}"/>
    <cellStyle name="Normal 7 6 2 2 3 2" xfId="9367" xr:uid="{00000000-0005-0000-0000-00006B450000}"/>
    <cellStyle name="Normal 7 6 2 2 3_SSL" xfId="14374" xr:uid="{00000000-0005-0000-0000-00006C450000}"/>
    <cellStyle name="Normal 7 6 2 2 4" xfId="3540" xr:uid="{00000000-0005-0000-0000-00006D450000}"/>
    <cellStyle name="Normal 7 6 2 2 4 2" xfId="10184" xr:uid="{00000000-0005-0000-0000-00006E450000}"/>
    <cellStyle name="Normal 7 6 2 2 4_SSL" xfId="17047" xr:uid="{00000000-0005-0000-0000-00006F450000}"/>
    <cellStyle name="Normal 7 6 2 2 5" xfId="4359" xr:uid="{00000000-0005-0000-0000-000070450000}"/>
    <cellStyle name="Normal 7 6 2 2 5 2" xfId="10999" xr:uid="{00000000-0005-0000-0000-000071450000}"/>
    <cellStyle name="Normal 7 6 2 2 5_SSL" xfId="16790" xr:uid="{00000000-0005-0000-0000-000072450000}"/>
    <cellStyle name="Normal 7 6 2 2 6" xfId="5170" xr:uid="{00000000-0005-0000-0000-000073450000}"/>
    <cellStyle name="Normal 7 6 2 2 6 2" xfId="11809" xr:uid="{00000000-0005-0000-0000-000074450000}"/>
    <cellStyle name="Normal 7 6 2 2 6_SSL" xfId="13348" xr:uid="{00000000-0005-0000-0000-000075450000}"/>
    <cellStyle name="Normal 7 6 2 2 7" xfId="5980" xr:uid="{00000000-0005-0000-0000-000076450000}"/>
    <cellStyle name="Normal 7 6 2 2 7 2" xfId="12618" xr:uid="{00000000-0005-0000-0000-000077450000}"/>
    <cellStyle name="Normal 7 6 2 2 7_SSL" xfId="13419" xr:uid="{00000000-0005-0000-0000-000078450000}"/>
    <cellStyle name="Normal 7 6 2 2 8" xfId="7700" xr:uid="{00000000-0005-0000-0000-000079450000}"/>
    <cellStyle name="Normal 7 6 2 2 9" xfId="6912" xr:uid="{00000000-0005-0000-0000-00007A450000}"/>
    <cellStyle name="Normal 7 6 2 2_SSL" xfId="15501" xr:uid="{00000000-0005-0000-0000-00007B450000}"/>
    <cellStyle name="Normal 7 6 2 3" xfId="1898" xr:uid="{00000000-0005-0000-0000-00007C450000}"/>
    <cellStyle name="Normal 7 6 2 3 2" xfId="8553" xr:uid="{00000000-0005-0000-0000-00007D450000}"/>
    <cellStyle name="Normal 7 6 2 3_SSL" xfId="17903" xr:uid="{00000000-0005-0000-0000-00007E450000}"/>
    <cellStyle name="Normal 7 6 2 4" xfId="2718" xr:uid="{00000000-0005-0000-0000-00007F450000}"/>
    <cellStyle name="Normal 7 6 2 4 2" xfId="9366" xr:uid="{00000000-0005-0000-0000-000080450000}"/>
    <cellStyle name="Normal 7 6 2 4_SSL" xfId="17052" xr:uid="{00000000-0005-0000-0000-000081450000}"/>
    <cellStyle name="Normal 7 6 2 5" xfId="3539" xr:uid="{00000000-0005-0000-0000-000082450000}"/>
    <cellStyle name="Normal 7 6 2 5 2" xfId="10183" xr:uid="{00000000-0005-0000-0000-000083450000}"/>
    <cellStyle name="Normal 7 6 2 5_SSL" xfId="14103" xr:uid="{00000000-0005-0000-0000-000084450000}"/>
    <cellStyle name="Normal 7 6 2 6" xfId="4358" xr:uid="{00000000-0005-0000-0000-000085450000}"/>
    <cellStyle name="Normal 7 6 2 6 2" xfId="10998" xr:uid="{00000000-0005-0000-0000-000086450000}"/>
    <cellStyle name="Normal 7 6 2 6_SSL" xfId="15401" xr:uid="{00000000-0005-0000-0000-000087450000}"/>
    <cellStyle name="Normal 7 6 2 7" xfId="5169" xr:uid="{00000000-0005-0000-0000-000088450000}"/>
    <cellStyle name="Normal 7 6 2 7 2" xfId="11808" xr:uid="{00000000-0005-0000-0000-000089450000}"/>
    <cellStyle name="Normal 7 6 2 7_SSL" xfId="15683" xr:uid="{00000000-0005-0000-0000-00008A450000}"/>
    <cellStyle name="Normal 7 6 2 8" xfId="5979" xr:uid="{00000000-0005-0000-0000-00008B450000}"/>
    <cellStyle name="Normal 7 6 2 8 2" xfId="12617" xr:uid="{00000000-0005-0000-0000-00008C450000}"/>
    <cellStyle name="Normal 7 6 2 8_SSL" xfId="16941" xr:uid="{00000000-0005-0000-0000-00008D450000}"/>
    <cellStyle name="Normal 7 6 2 9" xfId="7316" xr:uid="{00000000-0005-0000-0000-00008E450000}"/>
    <cellStyle name="Normal 7 6 2_SSL" xfId="15565" xr:uid="{00000000-0005-0000-0000-00008F450000}"/>
    <cellStyle name="Normal 7 6 3" xfId="641" xr:uid="{00000000-0005-0000-0000-000090450000}"/>
    <cellStyle name="Normal 7 6 3 2" xfId="1900" xr:uid="{00000000-0005-0000-0000-000091450000}"/>
    <cellStyle name="Normal 7 6 3 2 2" xfId="8555" xr:uid="{00000000-0005-0000-0000-000092450000}"/>
    <cellStyle name="Normal 7 6 3 2_SSL" xfId="16337" xr:uid="{00000000-0005-0000-0000-000093450000}"/>
    <cellStyle name="Normal 7 6 3 3" xfId="2720" xr:uid="{00000000-0005-0000-0000-000094450000}"/>
    <cellStyle name="Normal 7 6 3 3 2" xfId="9368" xr:uid="{00000000-0005-0000-0000-000095450000}"/>
    <cellStyle name="Normal 7 6 3 3_SSL" xfId="15303" xr:uid="{00000000-0005-0000-0000-000096450000}"/>
    <cellStyle name="Normal 7 6 3 4" xfId="3541" xr:uid="{00000000-0005-0000-0000-000097450000}"/>
    <cellStyle name="Normal 7 6 3 4 2" xfId="10185" xr:uid="{00000000-0005-0000-0000-000098450000}"/>
    <cellStyle name="Normal 7 6 3 4_SSL" xfId="14723" xr:uid="{00000000-0005-0000-0000-000099450000}"/>
    <cellStyle name="Normal 7 6 3 5" xfId="4360" xr:uid="{00000000-0005-0000-0000-00009A450000}"/>
    <cellStyle name="Normal 7 6 3 5 2" xfId="11000" xr:uid="{00000000-0005-0000-0000-00009B450000}"/>
    <cellStyle name="Normal 7 6 3 5_SSL" xfId="12725" xr:uid="{00000000-0005-0000-0000-00009C450000}"/>
    <cellStyle name="Normal 7 6 3 6" xfId="5171" xr:uid="{00000000-0005-0000-0000-00009D450000}"/>
    <cellStyle name="Normal 7 6 3 6 2" xfId="11810" xr:uid="{00000000-0005-0000-0000-00009E450000}"/>
    <cellStyle name="Normal 7 6 3 6_SSL" xfId="13490" xr:uid="{00000000-0005-0000-0000-00009F450000}"/>
    <cellStyle name="Normal 7 6 3 7" xfId="5981" xr:uid="{00000000-0005-0000-0000-0000A0450000}"/>
    <cellStyle name="Normal 7 6 3 7 2" xfId="12619" xr:uid="{00000000-0005-0000-0000-0000A1450000}"/>
    <cellStyle name="Normal 7 6 3 7_SSL" xfId="14553" xr:uid="{00000000-0005-0000-0000-0000A2450000}"/>
    <cellStyle name="Normal 7 6 3 8" xfId="7497" xr:uid="{00000000-0005-0000-0000-0000A3450000}"/>
    <cellStyle name="Normal 7 6 3 9" xfId="6913" xr:uid="{00000000-0005-0000-0000-0000A4450000}"/>
    <cellStyle name="Normal 7 6 3_SSL" xfId="16188" xr:uid="{00000000-0005-0000-0000-0000A5450000}"/>
    <cellStyle name="Normal 7 6 4" xfId="1897" xr:uid="{00000000-0005-0000-0000-0000A6450000}"/>
    <cellStyle name="Normal 7 6 4 2" xfId="8552" xr:uid="{00000000-0005-0000-0000-0000A7450000}"/>
    <cellStyle name="Normal 7 6 4_SSL" xfId="14048" xr:uid="{00000000-0005-0000-0000-0000A8450000}"/>
    <cellStyle name="Normal 7 6 5" xfId="2717" xr:uid="{00000000-0005-0000-0000-0000A9450000}"/>
    <cellStyle name="Normal 7 6 5 2" xfId="9365" xr:uid="{00000000-0005-0000-0000-0000AA450000}"/>
    <cellStyle name="Normal 7 6 5_SSL" xfId="16553" xr:uid="{00000000-0005-0000-0000-0000AB450000}"/>
    <cellStyle name="Normal 7 6 6" xfId="3538" xr:uid="{00000000-0005-0000-0000-0000AC450000}"/>
    <cellStyle name="Normal 7 6 6 2" xfId="10182" xr:uid="{00000000-0005-0000-0000-0000AD450000}"/>
    <cellStyle name="Normal 7 6 6_SSL" xfId="13968" xr:uid="{00000000-0005-0000-0000-0000AE450000}"/>
    <cellStyle name="Normal 7 6 7" xfId="4357" xr:uid="{00000000-0005-0000-0000-0000AF450000}"/>
    <cellStyle name="Normal 7 6 7 2" xfId="10997" xr:uid="{00000000-0005-0000-0000-0000B0450000}"/>
    <cellStyle name="Normal 7 6 7_SSL" xfId="17004" xr:uid="{00000000-0005-0000-0000-0000B1450000}"/>
    <cellStyle name="Normal 7 6 8" xfId="5168" xr:uid="{00000000-0005-0000-0000-0000B2450000}"/>
    <cellStyle name="Normal 7 6 8 2" xfId="11807" xr:uid="{00000000-0005-0000-0000-0000B3450000}"/>
    <cellStyle name="Normal 7 6 8_SSL" xfId="17632" xr:uid="{00000000-0005-0000-0000-0000B4450000}"/>
    <cellStyle name="Normal 7 6 9" xfId="5978" xr:uid="{00000000-0005-0000-0000-0000B5450000}"/>
    <cellStyle name="Normal 7 6 9 2" xfId="12616" xr:uid="{00000000-0005-0000-0000-0000B6450000}"/>
    <cellStyle name="Normal 7 6 9_SSL" xfId="15703" xr:uid="{00000000-0005-0000-0000-0000B7450000}"/>
    <cellStyle name="Normal 7 6_SSL" xfId="15631" xr:uid="{00000000-0005-0000-0000-0000B8450000}"/>
    <cellStyle name="Normal 70" xfId="3494" xr:uid="{00000000-0005-0000-0000-0000B9450000}"/>
    <cellStyle name="Normal 71" xfId="3551" xr:uid="{00000000-0005-0000-0000-0000BA450000}"/>
    <cellStyle name="Normal 72" xfId="2732" xr:uid="{00000000-0005-0000-0000-0000BB450000}"/>
    <cellStyle name="Normal 73" xfId="2733" xr:uid="{00000000-0005-0000-0000-0000BC450000}"/>
    <cellStyle name="Normal 74" xfId="3344" xr:uid="{00000000-0005-0000-0000-0000BD450000}"/>
    <cellStyle name="Normal 75" xfId="2765" xr:uid="{00000000-0005-0000-0000-0000BE450000}"/>
    <cellStyle name="Normal 76" xfId="3555" xr:uid="{00000000-0005-0000-0000-0000BF450000}"/>
    <cellStyle name="Normal 77" xfId="3557" xr:uid="{00000000-0005-0000-0000-0000C0450000}"/>
    <cellStyle name="Normal 78" xfId="3556" xr:uid="{00000000-0005-0000-0000-0000C1450000}"/>
    <cellStyle name="Normal 79" xfId="4369" xr:uid="{00000000-0005-0000-0000-0000C2450000}"/>
    <cellStyle name="Normal 8" xfId="248" xr:uid="{00000000-0005-0000-0000-0000C3450000}"/>
    <cellStyle name="Normal 80" xfId="3586" xr:uid="{00000000-0005-0000-0000-0000C4450000}"/>
    <cellStyle name="Normal 81" xfId="4368" xr:uid="{00000000-0005-0000-0000-0000C5450000}"/>
    <cellStyle name="Normal 82" xfId="5179" xr:uid="{00000000-0005-0000-0000-0000C6450000}"/>
    <cellStyle name="Normal 83" xfId="5989" xr:uid="{00000000-0005-0000-0000-0000C7450000}"/>
    <cellStyle name="Normal 84" xfId="6071" xr:uid="{00000000-0005-0000-0000-0000C8450000}"/>
    <cellStyle name="Normal 85" xfId="6116" xr:uid="{00000000-0005-0000-0000-0000C9450000}"/>
    <cellStyle name="Normal 86" xfId="12960" xr:uid="{00000000-0005-0000-0000-0000CA450000}"/>
    <cellStyle name="Normal 87" xfId="15452" xr:uid="{00000000-0005-0000-0000-0000CB450000}"/>
    <cellStyle name="Normal 88" xfId="15507" xr:uid="{00000000-0005-0000-0000-0000CC450000}"/>
    <cellStyle name="Normal 89" xfId="13916" xr:uid="{00000000-0005-0000-0000-0000CD450000}"/>
    <cellStyle name="Normal 9" xfId="253" xr:uid="{00000000-0005-0000-0000-0000CE450000}"/>
    <cellStyle name="Normal 90" xfId="18021" xr:uid="{00000000-0005-0000-0000-0000CF450000}"/>
    <cellStyle name="Œ…‹æØ‚è [0.00]_laroux" xfId="968" xr:uid="{00000000-0005-0000-0000-0000D0450000}"/>
    <cellStyle name="Œ…‹æØ‚è_laroux" xfId="969" xr:uid="{00000000-0005-0000-0000-0000D1450000}"/>
    <cellStyle name="Percen - Style1" xfId="970" xr:uid="{00000000-0005-0000-0000-0000D2450000}"/>
    <cellStyle name="Percen - Style3" xfId="971" xr:uid="{00000000-0005-0000-0000-0000D3450000}"/>
    <cellStyle name="Percent" xfId="18" builtinId="5"/>
    <cellStyle name="Percent [0]" xfId="972" xr:uid="{00000000-0005-0000-0000-0000D5450000}"/>
    <cellStyle name="Percent [00]" xfId="973" xr:uid="{00000000-0005-0000-0000-0000D6450000}"/>
    <cellStyle name="Percent [2]" xfId="974" xr:uid="{00000000-0005-0000-0000-0000D7450000}"/>
    <cellStyle name="Percent 10" xfId="1056" xr:uid="{00000000-0005-0000-0000-0000D8450000}"/>
    <cellStyle name="Percent 10 2" xfId="1901" xr:uid="{00000000-0005-0000-0000-0000D9450000}"/>
    <cellStyle name="Percent 10 2 2" xfId="8556" xr:uid="{00000000-0005-0000-0000-0000DA450000}"/>
    <cellStyle name="Percent 10 2_SSL" xfId="17081" xr:uid="{00000000-0005-0000-0000-0000DB450000}"/>
    <cellStyle name="Percent 10 3" xfId="2721" xr:uid="{00000000-0005-0000-0000-0000DC450000}"/>
    <cellStyle name="Percent 10 3 2" xfId="9369" xr:uid="{00000000-0005-0000-0000-0000DD450000}"/>
    <cellStyle name="Percent 10 3_SSL" xfId="15404" xr:uid="{00000000-0005-0000-0000-0000DE450000}"/>
    <cellStyle name="Percent 10 4" xfId="3542" xr:uid="{00000000-0005-0000-0000-0000DF450000}"/>
    <cellStyle name="Percent 10 4 2" xfId="10186" xr:uid="{00000000-0005-0000-0000-0000E0450000}"/>
    <cellStyle name="Percent 10 4_SSL" xfId="17808" xr:uid="{00000000-0005-0000-0000-0000E1450000}"/>
    <cellStyle name="Percent 10 5" xfId="4361" xr:uid="{00000000-0005-0000-0000-0000E2450000}"/>
    <cellStyle name="Percent 10 5 2" xfId="11001" xr:uid="{00000000-0005-0000-0000-0000E3450000}"/>
    <cellStyle name="Percent 10 5_SSL" xfId="15079" xr:uid="{00000000-0005-0000-0000-0000E4450000}"/>
    <cellStyle name="Percent 10 6" xfId="5172" xr:uid="{00000000-0005-0000-0000-0000E5450000}"/>
    <cellStyle name="Percent 10 6 2" xfId="11811" xr:uid="{00000000-0005-0000-0000-0000E6450000}"/>
    <cellStyle name="Percent 10 6_SSL" xfId="12998" xr:uid="{00000000-0005-0000-0000-0000E7450000}"/>
    <cellStyle name="Percent 10 7" xfId="5982" xr:uid="{00000000-0005-0000-0000-0000E8450000}"/>
    <cellStyle name="Percent 10 7 2" xfId="12620" xr:uid="{00000000-0005-0000-0000-0000E9450000}"/>
    <cellStyle name="Percent 10 7_SSL" xfId="13962" xr:uid="{00000000-0005-0000-0000-0000EA450000}"/>
    <cellStyle name="Percent 10 8" xfId="7720" xr:uid="{00000000-0005-0000-0000-0000EB450000}"/>
    <cellStyle name="Percent 10 9" xfId="6915" xr:uid="{00000000-0005-0000-0000-0000EC450000}"/>
    <cellStyle name="Percent 10_SSL" xfId="16257" xr:uid="{00000000-0005-0000-0000-0000ED450000}"/>
    <cellStyle name="Percent 11" xfId="3545" xr:uid="{00000000-0005-0000-0000-0000EE450000}"/>
    <cellStyle name="Percent 11 2" xfId="10189" xr:uid="{00000000-0005-0000-0000-0000EF450000}"/>
    <cellStyle name="Percent 11_SSL" xfId="14663" xr:uid="{00000000-0005-0000-0000-0000F0450000}"/>
    <cellStyle name="Percent 12" xfId="3554" xr:uid="{00000000-0005-0000-0000-0000F1450000}"/>
    <cellStyle name="Percent 12 2" xfId="10196" xr:uid="{00000000-0005-0000-0000-0000F2450000}"/>
    <cellStyle name="Percent 12_SSL" xfId="13784" xr:uid="{00000000-0005-0000-0000-0000F3450000}"/>
    <cellStyle name="Percent 13" xfId="2735" xr:uid="{00000000-0005-0000-0000-0000F4450000}"/>
    <cellStyle name="Percent 13 2" xfId="9380" xr:uid="{00000000-0005-0000-0000-0000F5450000}"/>
    <cellStyle name="Percent 13_SSL" xfId="16984" xr:uid="{00000000-0005-0000-0000-0000F6450000}"/>
    <cellStyle name="Percent 14" xfId="6932" xr:uid="{00000000-0005-0000-0000-0000F7450000}"/>
    <cellStyle name="Percent 15" xfId="6945" xr:uid="{00000000-0005-0000-0000-0000F8450000}"/>
    <cellStyle name="Percent 16" xfId="15506" xr:uid="{00000000-0005-0000-0000-0000F9450000}"/>
    <cellStyle name="Percent 2" xfId="19" xr:uid="{00000000-0005-0000-0000-0000FA450000}"/>
    <cellStyle name="Percent 2 10" xfId="16208" xr:uid="{00000000-0005-0000-0000-0000FB450000}"/>
    <cellStyle name="Percent 2 2" xfId="34" xr:uid="{00000000-0005-0000-0000-0000FC450000}"/>
    <cellStyle name="Percent 2 2 2" xfId="458" xr:uid="{00000000-0005-0000-0000-0000FD450000}"/>
    <cellStyle name="Percent 2 2_SSL" xfId="16521" xr:uid="{00000000-0005-0000-0000-0000FE450000}"/>
    <cellStyle name="Percent 2 3" xfId="1099" xr:uid="{00000000-0005-0000-0000-0000FF450000}"/>
    <cellStyle name="Percent 2 3 2" xfId="7757" xr:uid="{00000000-0005-0000-0000-000000460000}"/>
    <cellStyle name="Percent 2 3_SSL" xfId="14023" xr:uid="{00000000-0005-0000-0000-000001460000}"/>
    <cellStyle name="Percent 2 4" xfId="1923" xr:uid="{00000000-0005-0000-0000-000002460000}"/>
    <cellStyle name="Percent 2 4 2" xfId="8571" xr:uid="{00000000-0005-0000-0000-000003460000}"/>
    <cellStyle name="Percent 2 4_SSL" xfId="12834" xr:uid="{00000000-0005-0000-0000-000004460000}"/>
    <cellStyle name="Percent 2 5" xfId="2741" xr:uid="{00000000-0005-0000-0000-000005460000}"/>
    <cellStyle name="Percent 2 5 2" xfId="9386" xr:uid="{00000000-0005-0000-0000-000006460000}"/>
    <cellStyle name="Percent 2 5_SSL" xfId="15671" xr:uid="{00000000-0005-0000-0000-000007460000}"/>
    <cellStyle name="Percent 2 6" xfId="3563" xr:uid="{00000000-0005-0000-0000-000008460000}"/>
    <cellStyle name="Percent 2 6 2" xfId="10204" xr:uid="{00000000-0005-0000-0000-000009460000}"/>
    <cellStyle name="Percent 2 6_SSL" xfId="16131" xr:uid="{00000000-0005-0000-0000-00000A460000}"/>
    <cellStyle name="Percent 2 7" xfId="4375" xr:uid="{00000000-0005-0000-0000-00000B460000}"/>
    <cellStyle name="Percent 2 7 2" xfId="11014" xr:uid="{00000000-0005-0000-0000-00000C460000}"/>
    <cellStyle name="Percent 2 7_SSL" xfId="14427" xr:uid="{00000000-0005-0000-0000-00000D460000}"/>
    <cellStyle name="Percent 2 8" xfId="5185" xr:uid="{00000000-0005-0000-0000-00000E460000}"/>
    <cellStyle name="Percent 2 8 2" xfId="11823" xr:uid="{00000000-0005-0000-0000-00000F460000}"/>
    <cellStyle name="Percent 2 8_SSL" xfId="17867" xr:uid="{00000000-0005-0000-0000-000010460000}"/>
    <cellStyle name="Percent 2 9" xfId="6079" xr:uid="{00000000-0005-0000-0000-000011460000}"/>
    <cellStyle name="Percent 2_SSL" xfId="13646" xr:uid="{00000000-0005-0000-0000-000012460000}"/>
    <cellStyle name="Percent 3" xfId="20" xr:uid="{00000000-0005-0000-0000-000013460000}"/>
    <cellStyle name="Percent 3 2" xfId="42" xr:uid="{00000000-0005-0000-0000-000014460000}"/>
    <cellStyle name="Percent 3 2 2" xfId="459" xr:uid="{00000000-0005-0000-0000-000015460000}"/>
    <cellStyle name="Percent 3 2_SSL" xfId="15119" xr:uid="{00000000-0005-0000-0000-000016460000}"/>
    <cellStyle name="Percent 3_SSL" xfId="12737" xr:uid="{00000000-0005-0000-0000-000017460000}"/>
    <cellStyle name="Percent 4" xfId="47" xr:uid="{00000000-0005-0000-0000-000018460000}"/>
    <cellStyle name="Percent 4 2" xfId="260" xr:uid="{00000000-0005-0000-0000-000019460000}"/>
    <cellStyle name="Percent 4_SSL" xfId="15398" xr:uid="{00000000-0005-0000-0000-00001A460000}"/>
    <cellStyle name="Percent 5" xfId="63" xr:uid="{00000000-0005-0000-0000-00001B460000}"/>
    <cellStyle name="Percent 5 2" xfId="102" xr:uid="{00000000-0005-0000-0000-00001C460000}"/>
    <cellStyle name="Percent 5_SSL" xfId="16082" xr:uid="{00000000-0005-0000-0000-00001D460000}"/>
    <cellStyle name="Percent 6" xfId="74" xr:uid="{00000000-0005-0000-0000-00001E460000}"/>
    <cellStyle name="Percent 7" xfId="26" xr:uid="{00000000-0005-0000-0000-00001F460000}"/>
    <cellStyle name="Percent 7 2" xfId="460" xr:uid="{00000000-0005-0000-0000-000020460000}"/>
    <cellStyle name="Percent 7_SSL" xfId="15802" xr:uid="{00000000-0005-0000-0000-000021460000}"/>
    <cellStyle name="Percent 8" xfId="251" xr:uid="{00000000-0005-0000-0000-000022460000}"/>
    <cellStyle name="Percent 9" xfId="1029" xr:uid="{00000000-0005-0000-0000-000023460000}"/>
    <cellStyle name="Percent 9 2" xfId="1903" xr:uid="{00000000-0005-0000-0000-000024460000}"/>
    <cellStyle name="Percent 9 2 2" xfId="8557" xr:uid="{00000000-0005-0000-0000-000025460000}"/>
    <cellStyle name="Percent 9 2_SSL" xfId="17316" xr:uid="{00000000-0005-0000-0000-000026460000}"/>
    <cellStyle name="Percent 9 3" xfId="2722" xr:uid="{00000000-0005-0000-0000-000027460000}"/>
    <cellStyle name="Percent 9 3 2" xfId="9370" xr:uid="{00000000-0005-0000-0000-000028460000}"/>
    <cellStyle name="Percent 9 3_SSL" xfId="13872" xr:uid="{00000000-0005-0000-0000-000029460000}"/>
    <cellStyle name="Percent 9 4" xfId="3543" xr:uid="{00000000-0005-0000-0000-00002A460000}"/>
    <cellStyle name="Percent 9 4 2" xfId="10187" xr:uid="{00000000-0005-0000-0000-00002B460000}"/>
    <cellStyle name="Percent 9 4_SSL" xfId="6706" xr:uid="{00000000-0005-0000-0000-00002C460000}"/>
    <cellStyle name="Percent 9 5" xfId="4362" xr:uid="{00000000-0005-0000-0000-00002D460000}"/>
    <cellStyle name="Percent 9 5 2" xfId="11002" xr:uid="{00000000-0005-0000-0000-00002E460000}"/>
    <cellStyle name="Percent 9 5_SSL" xfId="17806" xr:uid="{00000000-0005-0000-0000-00002F460000}"/>
    <cellStyle name="Percent 9 6" xfId="5173" xr:uid="{00000000-0005-0000-0000-000030460000}"/>
    <cellStyle name="Percent 9 6 2" xfId="11812" xr:uid="{00000000-0005-0000-0000-000031460000}"/>
    <cellStyle name="Percent 9 6_SSL" xfId="13923" xr:uid="{00000000-0005-0000-0000-000032460000}"/>
    <cellStyle name="Percent 9 7" xfId="5983" xr:uid="{00000000-0005-0000-0000-000033460000}"/>
    <cellStyle name="Percent 9 7 2" xfId="12621" xr:uid="{00000000-0005-0000-0000-000034460000}"/>
    <cellStyle name="Percent 9 7_SSL" xfId="14035" xr:uid="{00000000-0005-0000-0000-000035460000}"/>
    <cellStyle name="Percent 9 8" xfId="7710" xr:uid="{00000000-0005-0000-0000-000036460000}"/>
    <cellStyle name="Percent 9 9" xfId="6920" xr:uid="{00000000-0005-0000-0000-000037460000}"/>
    <cellStyle name="Percent 9_SSL" xfId="12995" xr:uid="{00000000-0005-0000-0000-000038460000}"/>
    <cellStyle name="Pourcentage_Feuil1" xfId="975" xr:uid="{00000000-0005-0000-0000-000039460000}"/>
    <cellStyle name="PrePop Currency (0)" xfId="976" xr:uid="{00000000-0005-0000-0000-00003A460000}"/>
    <cellStyle name="PrePop Currency (2)" xfId="977" xr:uid="{00000000-0005-0000-0000-00003B460000}"/>
    <cellStyle name="PrePop Units (0)" xfId="978" xr:uid="{00000000-0005-0000-0000-00003C460000}"/>
    <cellStyle name="PrePop Units (1)" xfId="979" xr:uid="{00000000-0005-0000-0000-00003D460000}"/>
    <cellStyle name="PrePop Units (2)" xfId="980" xr:uid="{00000000-0005-0000-0000-00003E460000}"/>
    <cellStyle name="Price" xfId="981" xr:uid="{00000000-0005-0000-0000-00003F460000}"/>
    <cellStyle name="Product Header" xfId="982" xr:uid="{00000000-0005-0000-0000-000040460000}"/>
    <cellStyle name="PropGenCurrencyFormat" xfId="983" xr:uid="{00000000-0005-0000-0000-000041460000}"/>
    <cellStyle name="PSChar" xfId="21" xr:uid="{00000000-0005-0000-0000-000042460000}"/>
    <cellStyle name="PSChar 2" xfId="27" xr:uid="{00000000-0005-0000-0000-000043460000}"/>
    <cellStyle name="PSChar 2 2" xfId="92" xr:uid="{00000000-0005-0000-0000-000044460000}"/>
    <cellStyle name="PSChar 2_SSL" xfId="13600" xr:uid="{00000000-0005-0000-0000-000045460000}"/>
    <cellStyle name="PSChar_SSL" xfId="17641" xr:uid="{00000000-0005-0000-0000-000046460000}"/>
    <cellStyle name="PSDate" xfId="984" xr:uid="{00000000-0005-0000-0000-000047460000}"/>
    <cellStyle name="PSDec" xfId="985" xr:uid="{00000000-0005-0000-0000-000048460000}"/>
    <cellStyle name="PSHeading" xfId="986" xr:uid="{00000000-0005-0000-0000-000049460000}"/>
    <cellStyle name="PSInt" xfId="987" xr:uid="{00000000-0005-0000-0000-00004A460000}"/>
    <cellStyle name="PSSpacer" xfId="988" xr:uid="{00000000-0005-0000-0000-00004B460000}"/>
    <cellStyle name="Rhead" xfId="989" xr:uid="{00000000-0005-0000-0000-00004C460000}"/>
    <cellStyle name="Rtotal" xfId="990" xr:uid="{00000000-0005-0000-0000-00004D460000}"/>
    <cellStyle name="Saisie" xfId="991" xr:uid="{00000000-0005-0000-0000-00004E460000}"/>
    <cellStyle name="Stotal" xfId="992" xr:uid="{00000000-0005-0000-0000-00004F460000}"/>
    <cellStyle name="STYL1 - Style1" xfId="993" xr:uid="{00000000-0005-0000-0000-000050460000}"/>
    <cellStyle name="STYLE - Style1" xfId="994" xr:uid="{00000000-0005-0000-0000-000051460000}"/>
    <cellStyle name="STYLE - Style2" xfId="995" xr:uid="{00000000-0005-0000-0000-000052460000}"/>
    <cellStyle name="Style 1" xfId="996" xr:uid="{00000000-0005-0000-0000-000053460000}"/>
    <cellStyle name="Style 144" xfId="997" xr:uid="{00000000-0005-0000-0000-000054460000}"/>
    <cellStyle name="Style 150" xfId="998" xr:uid="{00000000-0005-0000-0000-000055460000}"/>
    <cellStyle name="Style 165" xfId="999" xr:uid="{00000000-0005-0000-0000-000056460000}"/>
    <cellStyle name="Style 21" xfId="1000" xr:uid="{00000000-0005-0000-0000-000057460000}"/>
    <cellStyle name="Style 24" xfId="1001" xr:uid="{00000000-0005-0000-0000-000058460000}"/>
    <cellStyle name="Style 28" xfId="1002" xr:uid="{00000000-0005-0000-0000-000059460000}"/>
    <cellStyle name="Style 29" xfId="1003" xr:uid="{00000000-0005-0000-0000-00005A460000}"/>
    <cellStyle name="Style 33" xfId="1004" xr:uid="{00000000-0005-0000-0000-00005B460000}"/>
    <cellStyle name="Style 34" xfId="1005" xr:uid="{00000000-0005-0000-0000-00005C460000}"/>
    <cellStyle name="Style 38" xfId="56" xr:uid="{00000000-0005-0000-0000-00005D460000}"/>
    <cellStyle name="Style 42" xfId="1006" xr:uid="{00000000-0005-0000-0000-00005E460000}"/>
    <cellStyle name="Style 56" xfId="52" xr:uid="{00000000-0005-0000-0000-00005F460000}"/>
    <cellStyle name="Style 79" xfId="55" xr:uid="{00000000-0005-0000-0000-000060460000}"/>
    <cellStyle name="Style 86" xfId="1007" xr:uid="{00000000-0005-0000-0000-000061460000}"/>
    <cellStyle name="Sub" xfId="1008" xr:uid="{00000000-0005-0000-0000-000062460000}"/>
    <cellStyle name="Sub10" xfId="1009" xr:uid="{00000000-0005-0000-0000-000063460000}"/>
    <cellStyle name="subhead" xfId="1010" xr:uid="{00000000-0005-0000-0000-000064460000}"/>
    <cellStyle name="SUBTOTAL" xfId="1011" xr:uid="{00000000-0005-0000-0000-000065460000}"/>
    <cellStyle name="t3" xfId="1012" xr:uid="{00000000-0005-0000-0000-000066460000}"/>
    <cellStyle name="Text Indent A" xfId="1013" xr:uid="{00000000-0005-0000-0000-000067460000}"/>
    <cellStyle name="Text Indent B" xfId="1014" xr:uid="{00000000-0005-0000-0000-000068460000}"/>
    <cellStyle name="Text Indent C" xfId="1015" xr:uid="{00000000-0005-0000-0000-000069460000}"/>
    <cellStyle name="Thousands" xfId="1016" xr:uid="{00000000-0005-0000-0000-00006A460000}"/>
    <cellStyle name="Title24" xfId="1017" xr:uid="{00000000-0005-0000-0000-00006B460000}"/>
    <cellStyle name="Titre" xfId="1018" xr:uid="{00000000-0005-0000-0000-00006C460000}"/>
    <cellStyle name="Titre tableau" xfId="1019" xr:uid="{00000000-0005-0000-0000-00006D460000}"/>
    <cellStyle name="Titre_SSL" xfId="15336" xr:uid="{00000000-0005-0000-0000-00006E460000}"/>
    <cellStyle name="Währung [0]_results" xfId="1020" xr:uid="{00000000-0005-0000-0000-00006F460000}"/>
    <cellStyle name="Währung_results" xfId="1021" xr:uid="{00000000-0005-0000-0000-000070460000}"/>
  </cellStyles>
  <dxfs count="10">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theme="6" tint="0.39994506668294322"/>
        </patternFill>
      </fill>
    </dxf>
    <dxf>
      <fill>
        <patternFill>
          <bgColor rgb="FF00B0F0"/>
        </patternFill>
      </fill>
    </dxf>
    <dxf>
      <fill>
        <patternFill>
          <bgColor rgb="FFFF0000"/>
        </patternFill>
      </fill>
    </dxf>
  </dxfs>
  <tableStyles count="0" defaultTableStyle="TableStyleMedium9" defaultPivotStyle="PivotStyleLight16"/>
  <colors>
    <mruColors>
      <color rgb="FF996600"/>
      <color rgb="FFE4C9AE"/>
      <color rgb="FFFFFF99"/>
      <color rgb="FF33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7</xdr:row>
          <xdr:rowOff>0</xdr:rowOff>
        </xdr:from>
        <xdr:to>
          <xdr:col>4</xdr:col>
          <xdr:colOff>57150</xdr:colOff>
          <xdr:row>18</xdr:row>
          <xdr:rowOff>95250</xdr:rowOff>
        </xdr:to>
        <xdr:sp macro="" textlink="">
          <xdr:nvSpPr>
            <xdr:cNvPr id="8194" name="Object 2" hidden="1">
              <a:extLst>
                <a:ext uri="{63B3BB69-23CF-44E3-9099-C40C66FF867C}">
                  <a14:compatExt spid="_x0000_s8194"/>
                </a:ext>
                <a:ext uri="{FF2B5EF4-FFF2-40B4-BE49-F238E27FC236}">
                  <a16:creationId xmlns:a16="http://schemas.microsoft.com/office/drawing/2014/main" id="{00000000-0008-0000-0000-0000022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lexander.s.obriwin\AppData\Local\Microsoft\Windows\INetCache\Content.Outlook\0K8X9VXX\B08%20-%20Solicitation%20Attachment%205%20-%20LOE%20Spreadsheet%202020-12-1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personal\alexander_s_obriwin_civ_army_mil\Documents\Documents\AA1%20Cost-Price%20Work\Legacy%20support%20recompete\Cost%20Model%20Contract%20Support-aso-28MAR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ection B"/>
      <sheetName val="Cost Summary"/>
      <sheetName val="Labor Hours"/>
      <sheetName val="Direct Labor Rate Schedule"/>
      <sheetName val="Regular Labor Detail"/>
      <sheetName val="OT Labor Detail"/>
      <sheetName val="Shift Labor Detail"/>
      <sheetName val="Shift OT Labor Detail"/>
      <sheetName val="ODC Cost Detail"/>
      <sheetName val="Surge CLIN"/>
      <sheetName val="Indirect Rate Summary"/>
      <sheetName val="Fringe Benefit Worksheet"/>
      <sheetName val="Fringe Rate Worksheet"/>
      <sheetName val="Overhead Rate Worksheet"/>
      <sheetName val="G&amp;A Rate Worksheet"/>
    </sheetNames>
    <sheetDataSet>
      <sheetData sheetId="0">
        <row r="11">
          <cell r="H11">
            <v>1880</v>
          </cell>
        </row>
      </sheetData>
      <sheetData sheetId="1"/>
      <sheetData sheetId="2"/>
      <sheetData sheetId="3"/>
      <sheetData sheetId="4"/>
      <sheetData sheetId="5">
        <row r="890">
          <cell r="H890">
            <v>0</v>
          </cell>
        </row>
      </sheetData>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Section B"/>
      <sheetName val="Cost Summary"/>
      <sheetName val="Labor Cost Detail"/>
      <sheetName val="Indirect Rate Summary"/>
      <sheetName val="Fringe Worksheet"/>
      <sheetName val="Overhead Worksheet"/>
      <sheetName val="G&amp;A Worksheet"/>
    </sheetNames>
    <sheetDataSet>
      <sheetData sheetId="0">
        <row r="13">
          <cell r="G13">
            <v>1920</v>
          </cell>
        </row>
      </sheetData>
      <sheetData sheetId="1" refreshError="1"/>
      <sheetData sheetId="2" refreshError="1"/>
      <sheetData sheetId="3" refreshError="1"/>
      <sheetData sheetId="4" refreshError="1"/>
      <sheetData sheetId="5">
        <row r="22">
          <cell r="B22">
            <v>0</v>
          </cell>
        </row>
      </sheetData>
      <sheetData sheetId="6">
        <row r="27">
          <cell r="B27">
            <v>0</v>
          </cell>
        </row>
      </sheetData>
      <sheetData sheetId="7"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Microsoft_Word_Document.docx"/></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6" tint="0.39997558519241921"/>
    <pageSetUpPr fitToPage="1"/>
  </sheetPr>
  <dimension ref="A1:H18"/>
  <sheetViews>
    <sheetView workbookViewId="0"/>
  </sheetViews>
  <sheetFormatPr defaultColWidth="9.140625" defaultRowHeight="12.75"/>
  <cols>
    <col min="1" max="6" width="9.140625" style="2"/>
    <col min="7" max="7" width="38.7109375" style="2" bestFit="1" customWidth="1"/>
    <col min="8" max="8" width="27" style="2" bestFit="1" customWidth="1"/>
    <col min="9" max="16384" width="9.140625" style="2"/>
  </cols>
  <sheetData>
    <row r="1" spans="1:8">
      <c r="A1" s="1" t="s">
        <v>82</v>
      </c>
    </row>
    <row r="2" spans="1:8">
      <c r="A2" s="46" t="str">
        <f>"Solicitation Number: "&amp;Instructions!H9&amp;""</f>
        <v>Solicitation Number: W91CRB-25-R-0002</v>
      </c>
    </row>
    <row r="3" spans="1:8">
      <c r="A3" s="46" t="str">
        <f>"Name of Action: "&amp;Instructions!H10</f>
        <v>Name of Action: Force Development</v>
      </c>
    </row>
    <row r="4" spans="1:8">
      <c r="A4" s="94" t="str">
        <f>"Prime Contractor/Subcontractor Name/Division: "&amp;Instructions!H15</f>
        <v xml:space="preserve">Prime Contractor/Subcontractor Name/Division: </v>
      </c>
    </row>
    <row r="5" spans="1:8">
      <c r="A5" s="94" t="str">
        <f>"Period of Performance: "&amp;Instructions!H11</f>
        <v xml:space="preserve">Period of Performance: </v>
      </c>
    </row>
    <row r="6" spans="1:8">
      <c r="A6" s="94" t="str">
        <f>"Date of Proposal:"&amp;IF(ISBLANK(Instructions!H18)," TBD",(TEXT(Instructions!H18," mm/dd/yyyy")))</f>
        <v>Date of Proposal: TBD</v>
      </c>
    </row>
    <row r="8" spans="1:8">
      <c r="G8" s="344" t="s">
        <v>76</v>
      </c>
      <c r="H8" s="344"/>
    </row>
    <row r="9" spans="1:8">
      <c r="G9" s="2" t="s">
        <v>74</v>
      </c>
      <c r="H9" s="101" t="s">
        <v>314</v>
      </c>
    </row>
    <row r="10" spans="1:8">
      <c r="G10" s="2" t="s">
        <v>77</v>
      </c>
      <c r="H10" s="101" t="s">
        <v>244</v>
      </c>
    </row>
    <row r="11" spans="1:8">
      <c r="G11" s="2" t="s">
        <v>75</v>
      </c>
      <c r="H11" s="101"/>
    </row>
    <row r="12" spans="1:8">
      <c r="G12" s="2" t="s">
        <v>51</v>
      </c>
      <c r="H12" s="202">
        <f>1920</f>
        <v>1920</v>
      </c>
    </row>
    <row r="14" spans="1:8">
      <c r="G14" s="344" t="s">
        <v>79</v>
      </c>
      <c r="H14" s="344"/>
    </row>
    <row r="15" spans="1:8">
      <c r="G15" s="2" t="s">
        <v>78</v>
      </c>
      <c r="H15" s="100"/>
    </row>
    <row r="16" spans="1:8">
      <c r="G16" s="200" t="s">
        <v>109</v>
      </c>
      <c r="H16" s="199"/>
    </row>
    <row r="17" spans="7:8">
      <c r="G17" s="200" t="s">
        <v>110</v>
      </c>
      <c r="H17" s="201"/>
    </row>
    <row r="18" spans="7:8">
      <c r="G18" s="200" t="s">
        <v>112</v>
      </c>
      <c r="H18" s="209"/>
    </row>
  </sheetData>
  <mergeCells count="2">
    <mergeCell ref="G8:H8"/>
    <mergeCell ref="G14:H14"/>
  </mergeCells>
  <pageMargins left="0.25" right="0.25" top="0.25" bottom="0.25" header="0.3" footer="0.3"/>
  <pageSetup fitToHeight="5" orientation="landscape" r:id="rId1"/>
  <drawing r:id="rId2"/>
  <legacyDrawing r:id="rId3"/>
  <oleObjects>
    <mc:AlternateContent xmlns:mc="http://schemas.openxmlformats.org/markup-compatibility/2006">
      <mc:Choice Requires="x14">
        <oleObject progId="Document" dvAspect="DVASPECT_ICON" shapeId="8194" r:id="rId4">
          <objectPr defaultSize="0" autoPict="0" r:id="rId5">
            <anchor moveWithCells="1">
              <from>
                <xdr:col>0</xdr:col>
                <xdr:colOff>0</xdr:colOff>
                <xdr:row>7</xdr:row>
                <xdr:rowOff>0</xdr:rowOff>
              </from>
              <to>
                <xdr:col>4</xdr:col>
                <xdr:colOff>57150</xdr:colOff>
                <xdr:row>18</xdr:row>
                <xdr:rowOff>95250</xdr:rowOff>
              </to>
            </anchor>
          </objectPr>
        </oleObject>
      </mc:Choice>
      <mc:Fallback>
        <oleObject progId="Document" dvAspect="DVASPECT_ICON" shapeId="8194"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P147"/>
  <sheetViews>
    <sheetView tabSelected="1" workbookViewId="0">
      <selection activeCell="B121" sqref="B121"/>
    </sheetView>
  </sheetViews>
  <sheetFormatPr defaultColWidth="9.140625" defaultRowHeight="12.75" outlineLevelCol="1"/>
  <cols>
    <col min="1" max="1" width="11" style="98" customWidth="1"/>
    <col min="2" max="2" width="40.7109375" style="59" customWidth="1"/>
    <col min="3" max="3" width="32" style="2" bestFit="1" customWidth="1"/>
    <col min="4" max="4" width="14.42578125" style="2" customWidth="1"/>
    <col min="5" max="5" width="17.5703125" style="2" customWidth="1"/>
    <col min="6" max="6" width="19.42578125" style="2" customWidth="1"/>
    <col min="7" max="7" width="23.140625" style="2" customWidth="1"/>
    <col min="8" max="8" width="33" style="2" customWidth="1"/>
    <col min="9" max="9" width="29.28515625" style="2" customWidth="1" outlineLevel="1"/>
    <col min="10" max="10" width="11.28515625" style="2" customWidth="1" outlineLevel="1"/>
    <col min="11" max="11" width="10.28515625" style="2" customWidth="1" outlineLevel="1"/>
    <col min="12" max="12" width="9.140625" style="2" customWidth="1" outlineLevel="1"/>
    <col min="13" max="13" width="12.85546875" style="2" customWidth="1" outlineLevel="1"/>
    <col min="14" max="14" width="9.140625" style="2" customWidth="1" outlineLevel="1"/>
    <col min="15" max="16384" width="9.140625" style="2"/>
  </cols>
  <sheetData>
    <row r="1" spans="1:16">
      <c r="A1" s="1" t="s">
        <v>60</v>
      </c>
      <c r="C1" s="38"/>
    </row>
    <row r="2" spans="1:16">
      <c r="A2" s="46" t="str">
        <f>"Solicitation Number: "&amp;Instructions!H9&amp;""</f>
        <v>Solicitation Number: W91CRB-25-R-0002</v>
      </c>
    </row>
    <row r="3" spans="1:16">
      <c r="A3" s="46" t="str">
        <f>"Name of Action: "&amp;Instructions!H10</f>
        <v>Name of Action: Force Development</v>
      </c>
    </row>
    <row r="4" spans="1:16">
      <c r="A4" s="94" t="str">
        <f>"Prime Contractor/Subcontractor Name/Division: "&amp;Instructions!H15</f>
        <v xml:space="preserve">Prime Contractor/Subcontractor Name/Division: </v>
      </c>
    </row>
    <row r="5" spans="1:16">
      <c r="A5" s="94" t="str">
        <f>"Period of Performance: "&amp;Instructions!H11</f>
        <v xml:space="preserve">Period of Performance: </v>
      </c>
    </row>
    <row r="6" spans="1:16">
      <c r="A6" s="94" t="str">
        <f>"Date of Proposal:"&amp;IF(ISBLANK(Instructions!H18)," TBD",(TEXT(Instructions!H18," mm/dd/yyyy")))</f>
        <v>Date of Proposal: TBD</v>
      </c>
    </row>
    <row r="7" spans="1:16">
      <c r="A7" s="46" t="s">
        <v>31</v>
      </c>
      <c r="C7" s="38"/>
    </row>
    <row r="8" spans="1:16">
      <c r="B8" s="6"/>
      <c r="C8" s="6"/>
      <c r="D8" s="6"/>
      <c r="E8" s="6"/>
      <c r="F8" s="6"/>
      <c r="G8" s="6"/>
      <c r="H8" s="78"/>
      <c r="P8" s="289"/>
    </row>
    <row r="9" spans="1:16">
      <c r="A9" s="335" t="s">
        <v>266</v>
      </c>
      <c r="B9" s="96"/>
      <c r="C9" s="96"/>
      <c r="D9" s="96"/>
      <c r="E9" s="96"/>
      <c r="F9" s="96"/>
      <c r="G9" s="96"/>
      <c r="H9" s="334"/>
      <c r="P9" s="96"/>
    </row>
    <row r="10" spans="1:16" ht="13.5" thickBot="1">
      <c r="A10" s="336" t="s">
        <v>5</v>
      </c>
      <c r="B10" s="3" t="s">
        <v>6</v>
      </c>
      <c r="C10" s="3" t="s">
        <v>42</v>
      </c>
      <c r="D10" s="3" t="s">
        <v>2</v>
      </c>
      <c r="E10" s="3" t="s">
        <v>3</v>
      </c>
      <c r="F10" s="3" t="s">
        <v>4</v>
      </c>
      <c r="H10"/>
    </row>
    <row r="11" spans="1:16">
      <c r="A11" s="98" t="s">
        <v>315</v>
      </c>
      <c r="B11" s="55" t="s">
        <v>268</v>
      </c>
      <c r="C11" s="4">
        <v>1</v>
      </c>
      <c r="D11" s="4" t="s">
        <v>7</v>
      </c>
      <c r="E11" s="56">
        <v>0</v>
      </c>
      <c r="F11" s="57"/>
      <c r="H11"/>
    </row>
    <row r="12" spans="1:16">
      <c r="B12" s="55" t="s">
        <v>202</v>
      </c>
      <c r="C12" s="4"/>
      <c r="E12" s="185" t="s">
        <v>203</v>
      </c>
      <c r="F12" s="9">
        <f>'Phase-in &amp; OES 52.217-8 Labor'!N26</f>
        <v>0</v>
      </c>
      <c r="G12" s="2" t="s">
        <v>111</v>
      </c>
      <c r="H12"/>
    </row>
    <row r="13" spans="1:16">
      <c r="B13" s="55"/>
      <c r="C13" s="4"/>
      <c r="E13" s="185" t="s">
        <v>204</v>
      </c>
      <c r="F13" s="7">
        <f>'Phase-in &amp; OES 52.217-8 Labor'!O26</f>
        <v>0</v>
      </c>
      <c r="G13" s="42"/>
      <c r="H13"/>
    </row>
    <row r="14" spans="1:16" ht="14.25" thickBot="1">
      <c r="B14" s="2"/>
      <c r="E14" s="291" t="s">
        <v>201</v>
      </c>
      <c r="F14" s="58">
        <f>SUM(F12:F13)</f>
        <v>0</v>
      </c>
    </row>
    <row r="15" spans="1:16" ht="14.25" thickTop="1">
      <c r="B15" s="2"/>
      <c r="E15" s="291"/>
      <c r="F15" s="65"/>
    </row>
    <row r="16" spans="1:16" ht="13.5" thickBot="1">
      <c r="A16" s="336" t="s">
        <v>5</v>
      </c>
      <c r="B16" s="3" t="s">
        <v>6</v>
      </c>
      <c r="C16" s="3" t="s">
        <v>42</v>
      </c>
      <c r="D16" s="3" t="s">
        <v>2</v>
      </c>
      <c r="E16" s="3" t="s">
        <v>3</v>
      </c>
      <c r="F16" s="3" t="s">
        <v>4</v>
      </c>
    </row>
    <row r="17" spans="1:7">
      <c r="A17" s="98" t="s">
        <v>44</v>
      </c>
      <c r="B17" s="55" t="s">
        <v>267</v>
      </c>
      <c r="C17" s="4">
        <v>1</v>
      </c>
      <c r="D17" s="4" t="s">
        <v>7</v>
      </c>
      <c r="E17" s="56">
        <v>0</v>
      </c>
      <c r="F17" s="57"/>
    </row>
    <row r="18" spans="1:7">
      <c r="B18" s="55" t="s">
        <v>202</v>
      </c>
      <c r="C18" s="4"/>
      <c r="E18" s="185" t="s">
        <v>203</v>
      </c>
      <c r="F18" s="9">
        <f>'Regular Labor Detail'!N26</f>
        <v>0</v>
      </c>
      <c r="G18" s="2" t="s">
        <v>111</v>
      </c>
    </row>
    <row r="19" spans="1:7">
      <c r="B19" s="55"/>
      <c r="C19" s="4"/>
      <c r="E19" s="185" t="s">
        <v>204</v>
      </c>
      <c r="F19" s="7">
        <f>'Regular Labor Detail'!O26</f>
        <v>0</v>
      </c>
      <c r="G19" s="42"/>
    </row>
    <row r="20" spans="1:7" ht="14.25" thickBot="1">
      <c r="B20" s="55"/>
      <c r="C20" s="4"/>
      <c r="E20" s="291" t="s">
        <v>201</v>
      </c>
      <c r="F20" s="58">
        <f>SUM(F18:F19)</f>
        <v>0</v>
      </c>
      <c r="G20" s="42"/>
    </row>
    <row r="21" spans="1:7" ht="14.25" thickTop="1">
      <c r="B21" s="2"/>
      <c r="E21" s="291"/>
      <c r="F21" s="65"/>
    </row>
    <row r="22" spans="1:7" ht="13.5" thickBot="1">
      <c r="A22" s="336" t="s">
        <v>5</v>
      </c>
      <c r="B22" s="3" t="s">
        <v>6</v>
      </c>
      <c r="C22" s="3" t="s">
        <v>42</v>
      </c>
      <c r="D22" s="3" t="s">
        <v>2</v>
      </c>
      <c r="E22" s="3" t="s">
        <v>3</v>
      </c>
      <c r="F22" s="3" t="s">
        <v>4</v>
      </c>
    </row>
    <row r="23" spans="1:7">
      <c r="A23" s="98" t="s">
        <v>317</v>
      </c>
      <c r="B23" s="55" t="s">
        <v>269</v>
      </c>
      <c r="C23" s="4">
        <v>1</v>
      </c>
      <c r="D23" s="4" t="s">
        <v>7</v>
      </c>
      <c r="E23" s="56">
        <v>0</v>
      </c>
      <c r="F23" s="57"/>
    </row>
    <row r="24" spans="1:7">
      <c r="B24" s="55" t="s">
        <v>202</v>
      </c>
      <c r="C24" s="4"/>
      <c r="E24" s="185" t="s">
        <v>203</v>
      </c>
      <c r="F24" s="9">
        <f>'Surge Labor Detail'!N26</f>
        <v>0</v>
      </c>
      <c r="G24" s="2" t="s">
        <v>111</v>
      </c>
    </row>
    <row r="25" spans="1:7">
      <c r="B25" s="55"/>
      <c r="C25" s="4"/>
      <c r="E25" s="185" t="s">
        <v>204</v>
      </c>
      <c r="F25" s="7">
        <f>'Surge Labor Detail'!O26</f>
        <v>0</v>
      </c>
      <c r="G25" s="42"/>
    </row>
    <row r="26" spans="1:7" ht="14.25" thickBot="1">
      <c r="B26" s="55"/>
      <c r="C26" s="4"/>
      <c r="E26" s="291" t="s">
        <v>201</v>
      </c>
      <c r="F26" s="58">
        <f>SUM(F24:F25)</f>
        <v>0</v>
      </c>
      <c r="G26" s="42"/>
    </row>
    <row r="27" spans="1:7" ht="14.25" thickTop="1">
      <c r="B27" s="2"/>
      <c r="E27" s="291"/>
      <c r="F27" s="65"/>
    </row>
    <row r="28" spans="1:7" s="6" customFormat="1" ht="13.5" thickBot="1">
      <c r="A28" s="336" t="s">
        <v>5</v>
      </c>
      <c r="B28" s="3" t="s">
        <v>6</v>
      </c>
      <c r="C28" s="3" t="s">
        <v>42</v>
      </c>
      <c r="D28" s="3" t="s">
        <v>2</v>
      </c>
      <c r="E28" s="3" t="s">
        <v>3</v>
      </c>
      <c r="F28" s="3" t="s">
        <v>4</v>
      </c>
      <c r="G28" s="2"/>
    </row>
    <row r="29" spans="1:7">
      <c r="A29" s="98" t="s">
        <v>316</v>
      </c>
      <c r="B29" s="60" t="s">
        <v>276</v>
      </c>
      <c r="C29" s="184">
        <v>1</v>
      </c>
      <c r="D29" s="184" t="s">
        <v>7</v>
      </c>
      <c r="E29" s="56">
        <v>0</v>
      </c>
      <c r="F29" s="61"/>
    </row>
    <row r="30" spans="1:7" ht="13.5">
      <c r="B30" s="60" t="s">
        <v>195</v>
      </c>
      <c r="C30" s="184"/>
      <c r="D30" s="186" t="s">
        <v>200</v>
      </c>
      <c r="E30" s="186"/>
      <c r="F30" s="9">
        <f>'ODC Cost Detail'!C10</f>
        <v>100000</v>
      </c>
      <c r="G30" s="2" t="s">
        <v>61</v>
      </c>
    </row>
    <row r="31" spans="1:7" ht="13.5">
      <c r="B31" s="60"/>
      <c r="D31" s="62" t="s">
        <v>23</v>
      </c>
      <c r="E31" s="37">
        <f>'ODC Cost Detail'!D10</f>
        <v>0</v>
      </c>
      <c r="F31" s="9">
        <f>'ODC Cost Detail'!E10</f>
        <v>0</v>
      </c>
      <c r="G31" s="2" t="s">
        <v>62</v>
      </c>
    </row>
    <row r="32" spans="1:7" ht="14.25" thickBot="1">
      <c r="B32" s="60"/>
      <c r="C32" s="184"/>
      <c r="D32" s="186" t="s">
        <v>185</v>
      </c>
      <c r="E32" s="186"/>
      <c r="F32" s="63">
        <f>SUM(F30:F31)</f>
        <v>100000</v>
      </c>
    </row>
    <row r="33" spans="1:8" ht="13.5" thickTop="1">
      <c r="B33" s="2"/>
    </row>
    <row r="34" spans="1:8">
      <c r="A34" s="288" t="s">
        <v>281</v>
      </c>
      <c r="B34" s="288"/>
      <c r="C34" s="96"/>
      <c r="D34" s="96"/>
      <c r="E34" s="96"/>
      <c r="F34" s="96"/>
      <c r="G34" s="96"/>
    </row>
    <row r="35" spans="1:8" ht="13.5" thickBot="1">
      <c r="A35" s="336" t="s">
        <v>5</v>
      </c>
      <c r="B35" s="3" t="s">
        <v>6</v>
      </c>
      <c r="C35" s="3" t="s">
        <v>42</v>
      </c>
      <c r="D35" s="3" t="s">
        <v>2</v>
      </c>
      <c r="E35" s="3" t="s">
        <v>3</v>
      </c>
      <c r="F35" s="3" t="s">
        <v>4</v>
      </c>
      <c r="H35"/>
    </row>
    <row r="36" spans="1:8">
      <c r="A36" s="98" t="s">
        <v>282</v>
      </c>
      <c r="B36" s="55" t="s">
        <v>283</v>
      </c>
      <c r="C36" s="4">
        <v>1</v>
      </c>
      <c r="D36" s="4" t="s">
        <v>7</v>
      </c>
      <c r="E36" s="56">
        <v>0</v>
      </c>
      <c r="F36" s="57"/>
      <c r="H36"/>
    </row>
    <row r="37" spans="1:8">
      <c r="B37" s="55" t="s">
        <v>202</v>
      </c>
      <c r="C37" s="4"/>
      <c r="E37" s="185" t="s">
        <v>203</v>
      </c>
      <c r="F37" s="9">
        <f>'Regular Labor Detail'!N66</f>
        <v>0</v>
      </c>
      <c r="G37" s="2" t="s">
        <v>111</v>
      </c>
      <c r="H37"/>
    </row>
    <row r="38" spans="1:8">
      <c r="B38" s="55"/>
      <c r="C38" s="4"/>
      <c r="E38" s="185" t="s">
        <v>204</v>
      </c>
      <c r="F38" s="7">
        <f>'Regular Labor Detail'!O66</f>
        <v>0</v>
      </c>
      <c r="G38" s="42"/>
      <c r="H38"/>
    </row>
    <row r="39" spans="1:8" ht="14.25" thickBot="1">
      <c r="B39" s="2"/>
      <c r="E39" s="291" t="s">
        <v>201</v>
      </c>
      <c r="F39" s="58">
        <f>SUM(F37:F38)</f>
        <v>0</v>
      </c>
    </row>
    <row r="40" spans="1:8" ht="14.25" thickTop="1">
      <c r="B40" s="2"/>
      <c r="E40" s="291"/>
      <c r="F40" s="65"/>
    </row>
    <row r="41" spans="1:8" ht="13.5" thickBot="1">
      <c r="A41" s="336" t="s">
        <v>5</v>
      </c>
      <c r="B41" s="3" t="s">
        <v>6</v>
      </c>
      <c r="C41" s="3" t="s">
        <v>42</v>
      </c>
      <c r="D41" s="3" t="s">
        <v>2</v>
      </c>
      <c r="E41" s="3" t="s">
        <v>3</v>
      </c>
      <c r="F41" s="3" t="s">
        <v>4</v>
      </c>
    </row>
    <row r="42" spans="1:8">
      <c r="A42" s="98" t="s">
        <v>318</v>
      </c>
      <c r="B42" s="55" t="s">
        <v>284</v>
      </c>
      <c r="C42" s="4">
        <v>1</v>
      </c>
      <c r="D42" s="4" t="s">
        <v>7</v>
      </c>
      <c r="E42" s="56">
        <v>0</v>
      </c>
      <c r="F42" s="57"/>
    </row>
    <row r="43" spans="1:8">
      <c r="B43" s="55" t="s">
        <v>202</v>
      </c>
      <c r="C43" s="4"/>
      <c r="E43" s="185" t="s">
        <v>203</v>
      </c>
      <c r="F43" s="9">
        <f>'Surge Labor Detail'!N66</f>
        <v>0</v>
      </c>
      <c r="G43" s="2" t="s">
        <v>111</v>
      </c>
    </row>
    <row r="44" spans="1:8">
      <c r="B44" s="55"/>
      <c r="C44" s="4"/>
      <c r="E44" s="185" t="s">
        <v>204</v>
      </c>
      <c r="F44" s="7">
        <f>'Surge Labor Detail'!O66</f>
        <v>0</v>
      </c>
      <c r="G44" s="42"/>
    </row>
    <row r="45" spans="1:8" ht="14.25" thickBot="1">
      <c r="B45" s="55"/>
      <c r="C45" s="4"/>
      <c r="E45" s="291" t="s">
        <v>201</v>
      </c>
      <c r="F45" s="58">
        <f>SUM(F43:F44)</f>
        <v>0</v>
      </c>
      <c r="G45" s="42"/>
    </row>
    <row r="46" spans="1:8" ht="14.25" thickTop="1">
      <c r="B46" s="2"/>
      <c r="E46" s="291"/>
      <c r="F46" s="65"/>
    </row>
    <row r="47" spans="1:8" s="6" customFormat="1" ht="13.5" thickBot="1">
      <c r="A47" s="336" t="s">
        <v>5</v>
      </c>
      <c r="B47" s="3" t="s">
        <v>6</v>
      </c>
      <c r="C47" s="3" t="s">
        <v>42</v>
      </c>
      <c r="D47" s="3" t="s">
        <v>2</v>
      </c>
      <c r="E47" s="3" t="s">
        <v>3</v>
      </c>
      <c r="F47" s="3" t="s">
        <v>4</v>
      </c>
      <c r="G47" s="2"/>
    </row>
    <row r="48" spans="1:8">
      <c r="A48" s="98" t="s">
        <v>271</v>
      </c>
      <c r="B48" s="60" t="s">
        <v>288</v>
      </c>
      <c r="C48" s="184">
        <v>1</v>
      </c>
      <c r="D48" s="184" t="s">
        <v>7</v>
      </c>
      <c r="E48" s="56">
        <v>0</v>
      </c>
      <c r="F48" s="61"/>
    </row>
    <row r="49" spans="1:8" ht="13.5">
      <c r="B49" s="60" t="s">
        <v>195</v>
      </c>
      <c r="C49" s="184"/>
      <c r="D49" s="186" t="s">
        <v>200</v>
      </c>
      <c r="E49" s="186"/>
      <c r="F49" s="9">
        <f>'ODC Cost Detail'!C11</f>
        <v>100000</v>
      </c>
      <c r="G49" s="2" t="s">
        <v>61</v>
      </c>
    </row>
    <row r="50" spans="1:8" ht="13.5">
      <c r="B50" s="60"/>
      <c r="D50" s="62" t="s">
        <v>23</v>
      </c>
      <c r="E50" s="37">
        <f>'ODC Cost Detail'!D35</f>
        <v>0</v>
      </c>
      <c r="F50" s="9">
        <f>'ODC Cost Detail'!E11</f>
        <v>0</v>
      </c>
      <c r="G50" s="2" t="s">
        <v>62</v>
      </c>
    </row>
    <row r="51" spans="1:8" ht="14.25" thickBot="1">
      <c r="B51" s="60"/>
      <c r="C51" s="184"/>
      <c r="D51" s="186" t="s">
        <v>185</v>
      </c>
      <c r="E51" s="186"/>
      <c r="F51" s="63">
        <f>SUM(F49:F50)</f>
        <v>100000</v>
      </c>
    </row>
    <row r="52" spans="1:8" ht="13.5" thickTop="1">
      <c r="B52" s="2"/>
    </row>
    <row r="53" spans="1:8">
      <c r="A53" s="288" t="s">
        <v>285</v>
      </c>
      <c r="B53" s="288"/>
      <c r="C53" s="96"/>
      <c r="D53" s="96"/>
      <c r="E53" s="96"/>
      <c r="F53" s="96"/>
      <c r="G53" s="96"/>
    </row>
    <row r="54" spans="1:8" ht="13.5" thickBot="1">
      <c r="A54" s="336" t="s">
        <v>5</v>
      </c>
      <c r="B54" s="3" t="s">
        <v>6</v>
      </c>
      <c r="C54" s="3" t="s">
        <v>42</v>
      </c>
      <c r="D54" s="3" t="s">
        <v>2</v>
      </c>
      <c r="E54" s="3" t="s">
        <v>3</v>
      </c>
      <c r="F54" s="3" t="s">
        <v>4</v>
      </c>
      <c r="H54"/>
    </row>
    <row r="55" spans="1:8">
      <c r="A55" s="98" t="s">
        <v>286</v>
      </c>
      <c r="B55" s="55" t="s">
        <v>287</v>
      </c>
      <c r="C55" s="4">
        <v>1</v>
      </c>
      <c r="D55" s="4" t="s">
        <v>7</v>
      </c>
      <c r="E55" s="56">
        <v>0</v>
      </c>
      <c r="F55" s="57"/>
      <c r="H55"/>
    </row>
    <row r="56" spans="1:8">
      <c r="B56" s="55" t="s">
        <v>202</v>
      </c>
      <c r="C56" s="4"/>
      <c r="E56" s="185" t="s">
        <v>203</v>
      </c>
      <c r="F56" s="9">
        <f>'Regular Labor Detail'!N86</f>
        <v>0</v>
      </c>
      <c r="G56" s="2" t="s">
        <v>111</v>
      </c>
      <c r="H56"/>
    </row>
    <row r="57" spans="1:8">
      <c r="B57" s="55"/>
      <c r="C57" s="4"/>
      <c r="E57" s="185" t="s">
        <v>204</v>
      </c>
      <c r="F57" s="7">
        <f>'Regular Labor Detail'!O86</f>
        <v>0</v>
      </c>
      <c r="G57" s="42"/>
      <c r="H57"/>
    </row>
    <row r="58" spans="1:8" ht="14.25" thickBot="1">
      <c r="B58" s="2"/>
      <c r="E58" s="291" t="s">
        <v>201</v>
      </c>
      <c r="F58" s="58">
        <f>SUM(F56:F57)</f>
        <v>0</v>
      </c>
    </row>
    <row r="59" spans="1:8" ht="14.25" thickTop="1">
      <c r="B59" s="2"/>
      <c r="E59" s="291"/>
      <c r="F59" s="65"/>
    </row>
    <row r="60" spans="1:8" ht="13.5" thickBot="1">
      <c r="A60" s="336" t="s">
        <v>5</v>
      </c>
      <c r="B60" s="3" t="s">
        <v>6</v>
      </c>
      <c r="C60" s="3" t="s">
        <v>42</v>
      </c>
      <c r="D60" s="3" t="s">
        <v>2</v>
      </c>
      <c r="E60" s="3" t="s">
        <v>3</v>
      </c>
      <c r="F60" s="3" t="s">
        <v>4</v>
      </c>
    </row>
    <row r="61" spans="1:8">
      <c r="A61" s="98" t="s">
        <v>319</v>
      </c>
      <c r="B61" s="55" t="s">
        <v>302</v>
      </c>
      <c r="C61" s="4">
        <v>1</v>
      </c>
      <c r="D61" s="4" t="s">
        <v>7</v>
      </c>
      <c r="E61" s="56">
        <v>0</v>
      </c>
      <c r="F61" s="57"/>
    </row>
    <row r="62" spans="1:8">
      <c r="B62" s="55" t="s">
        <v>202</v>
      </c>
      <c r="C62" s="4"/>
      <c r="E62" s="185" t="s">
        <v>203</v>
      </c>
      <c r="F62" s="9">
        <f>'Surge Labor Detail'!N86</f>
        <v>0</v>
      </c>
      <c r="G62" s="2" t="s">
        <v>111</v>
      </c>
    </row>
    <row r="63" spans="1:8">
      <c r="B63" s="55"/>
      <c r="C63" s="4"/>
      <c r="E63" s="185" t="s">
        <v>204</v>
      </c>
      <c r="F63" s="7">
        <f>'Surge Labor Detail'!O86</f>
        <v>0</v>
      </c>
      <c r="G63" s="42"/>
    </row>
    <row r="64" spans="1:8" ht="14.25" thickBot="1">
      <c r="B64" s="55"/>
      <c r="C64" s="4"/>
      <c r="E64" s="291" t="s">
        <v>201</v>
      </c>
      <c r="F64" s="58">
        <f>SUM(F62:F63)</f>
        <v>0</v>
      </c>
      <c r="G64" s="42"/>
    </row>
    <row r="65" spans="1:8" ht="14.25" thickTop="1">
      <c r="B65" s="2"/>
      <c r="E65" s="291"/>
      <c r="F65" s="65"/>
    </row>
    <row r="66" spans="1:8" s="6" customFormat="1" ht="13.5" thickBot="1">
      <c r="A66" s="336" t="s">
        <v>5</v>
      </c>
      <c r="B66" s="3" t="s">
        <v>6</v>
      </c>
      <c r="C66" s="3" t="s">
        <v>42</v>
      </c>
      <c r="D66" s="3" t="s">
        <v>2</v>
      </c>
      <c r="E66" s="3" t="s">
        <v>3</v>
      </c>
      <c r="F66" s="3" t="s">
        <v>4</v>
      </c>
      <c r="G66" s="2"/>
    </row>
    <row r="67" spans="1:8">
      <c r="A67" s="98" t="s">
        <v>272</v>
      </c>
      <c r="B67" s="60" t="s">
        <v>278</v>
      </c>
      <c r="C67" s="184">
        <v>1</v>
      </c>
      <c r="D67" s="184" t="s">
        <v>7</v>
      </c>
      <c r="E67" s="56">
        <v>0</v>
      </c>
      <c r="F67" s="61"/>
    </row>
    <row r="68" spans="1:8" ht="13.5">
      <c r="B68" s="60" t="s">
        <v>195</v>
      </c>
      <c r="C68" s="184"/>
      <c r="D68" s="186" t="s">
        <v>200</v>
      </c>
      <c r="E68" s="186"/>
      <c r="F68" s="9">
        <f>'ODC Cost Detail'!C12</f>
        <v>100000</v>
      </c>
      <c r="G68" s="2" t="s">
        <v>61</v>
      </c>
    </row>
    <row r="69" spans="1:8" ht="13.5">
      <c r="B69" s="60"/>
      <c r="D69" s="62" t="s">
        <v>23</v>
      </c>
      <c r="E69" s="37">
        <f>'ODC Cost Detail'!D54</f>
        <v>0</v>
      </c>
      <c r="F69" s="9">
        <f>'ODC Cost Detail'!E12</f>
        <v>0</v>
      </c>
      <c r="G69" s="2" t="s">
        <v>62</v>
      </c>
    </row>
    <row r="70" spans="1:8" ht="14.25" thickBot="1">
      <c r="B70" s="60"/>
      <c r="C70" s="184"/>
      <c r="D70" s="186" t="s">
        <v>185</v>
      </c>
      <c r="E70" s="186"/>
      <c r="F70" s="63">
        <f>SUM(F68:F69)</f>
        <v>100000</v>
      </c>
    </row>
    <row r="71" spans="1:8" ht="13.5" thickTop="1">
      <c r="B71" s="2"/>
    </row>
    <row r="72" spans="1:8">
      <c r="A72" s="288" t="s">
        <v>289</v>
      </c>
      <c r="B72" s="288"/>
      <c r="C72" s="96"/>
      <c r="D72" s="96"/>
      <c r="E72" s="96"/>
      <c r="F72" s="96"/>
      <c r="G72" s="96"/>
    </row>
    <row r="73" spans="1:8" ht="13.5" thickBot="1">
      <c r="A73" s="336" t="s">
        <v>5</v>
      </c>
      <c r="B73" s="3" t="s">
        <v>6</v>
      </c>
      <c r="C73" s="3" t="s">
        <v>42</v>
      </c>
      <c r="D73" s="3" t="s">
        <v>2</v>
      </c>
      <c r="E73" s="3" t="s">
        <v>3</v>
      </c>
      <c r="F73" s="3" t="s">
        <v>4</v>
      </c>
      <c r="H73"/>
    </row>
    <row r="74" spans="1:8">
      <c r="A74" s="98" t="s">
        <v>290</v>
      </c>
      <c r="B74" s="55" t="s">
        <v>291</v>
      </c>
      <c r="C74" s="4">
        <v>1</v>
      </c>
      <c r="D74" s="4" t="s">
        <v>7</v>
      </c>
      <c r="E74" s="56">
        <v>0</v>
      </c>
      <c r="F74" s="57"/>
      <c r="H74"/>
    </row>
    <row r="75" spans="1:8">
      <c r="B75" s="55" t="s">
        <v>202</v>
      </c>
      <c r="C75" s="4"/>
      <c r="E75" s="185" t="s">
        <v>203</v>
      </c>
      <c r="F75" s="9">
        <f>'Regular Labor Detail'!N106</f>
        <v>0</v>
      </c>
      <c r="G75" s="2" t="s">
        <v>111</v>
      </c>
      <c r="H75"/>
    </row>
    <row r="76" spans="1:8">
      <c r="B76" s="55"/>
      <c r="C76" s="4"/>
      <c r="E76" s="185" t="s">
        <v>204</v>
      </c>
      <c r="F76" s="7">
        <f>'Regular Labor Detail'!O106</f>
        <v>0</v>
      </c>
      <c r="G76" s="42"/>
      <c r="H76"/>
    </row>
    <row r="77" spans="1:8" ht="14.25" thickBot="1">
      <c r="B77" s="2"/>
      <c r="E77" s="291" t="s">
        <v>201</v>
      </c>
      <c r="F77" s="58">
        <f>SUM(F75:F76)</f>
        <v>0</v>
      </c>
    </row>
    <row r="78" spans="1:8" ht="14.25" thickTop="1">
      <c r="B78" s="2"/>
      <c r="E78" s="291"/>
      <c r="F78" s="65"/>
    </row>
    <row r="79" spans="1:8" ht="13.5" thickBot="1">
      <c r="A79" s="336" t="s">
        <v>5</v>
      </c>
      <c r="B79" s="3" t="s">
        <v>6</v>
      </c>
      <c r="C79" s="3" t="s">
        <v>42</v>
      </c>
      <c r="D79" s="3" t="s">
        <v>2</v>
      </c>
      <c r="E79" s="3" t="s">
        <v>3</v>
      </c>
      <c r="F79" s="3" t="s">
        <v>4</v>
      </c>
    </row>
    <row r="80" spans="1:8">
      <c r="A80" s="98" t="s">
        <v>320</v>
      </c>
      <c r="B80" s="55" t="s">
        <v>292</v>
      </c>
      <c r="C80" s="4">
        <v>1</v>
      </c>
      <c r="D80" s="4" t="s">
        <v>7</v>
      </c>
      <c r="E80" s="56">
        <v>0</v>
      </c>
      <c r="F80" s="57"/>
    </row>
    <row r="81" spans="1:8">
      <c r="B81" s="55" t="s">
        <v>202</v>
      </c>
      <c r="C81" s="4"/>
      <c r="E81" s="185" t="s">
        <v>203</v>
      </c>
      <c r="F81" s="9">
        <f>'Surge Labor Detail'!N106</f>
        <v>0</v>
      </c>
      <c r="G81" s="2" t="s">
        <v>111</v>
      </c>
    </row>
    <row r="82" spans="1:8">
      <c r="B82" s="55"/>
      <c r="C82" s="4"/>
      <c r="E82" s="185" t="s">
        <v>204</v>
      </c>
      <c r="F82" s="7">
        <f>'Surge Labor Detail'!O106</f>
        <v>0</v>
      </c>
      <c r="G82" s="42"/>
    </row>
    <row r="83" spans="1:8" ht="14.25" thickBot="1">
      <c r="B83" s="55"/>
      <c r="C83" s="4"/>
      <c r="E83" s="291" t="s">
        <v>201</v>
      </c>
      <c r="F83" s="58">
        <f>SUM(F81:F82)</f>
        <v>0</v>
      </c>
      <c r="G83" s="42"/>
    </row>
    <row r="84" spans="1:8" ht="14.25" thickTop="1">
      <c r="B84" s="2"/>
      <c r="E84" s="291"/>
      <c r="F84" s="65"/>
    </row>
    <row r="85" spans="1:8" s="6" customFormat="1" ht="13.5" thickBot="1">
      <c r="A85" s="336" t="s">
        <v>5</v>
      </c>
      <c r="B85" s="3" t="s">
        <v>6</v>
      </c>
      <c r="C85" s="3" t="s">
        <v>42</v>
      </c>
      <c r="D85" s="3" t="s">
        <v>2</v>
      </c>
      <c r="E85" s="3" t="s">
        <v>3</v>
      </c>
      <c r="F85" s="3" t="s">
        <v>4</v>
      </c>
      <c r="G85" s="2"/>
    </row>
    <row r="86" spans="1:8">
      <c r="A86" s="98" t="s">
        <v>273</v>
      </c>
      <c r="B86" s="60" t="s">
        <v>279</v>
      </c>
      <c r="C86" s="184">
        <v>1</v>
      </c>
      <c r="D86" s="184" t="s">
        <v>7</v>
      </c>
      <c r="E86" s="56">
        <v>0</v>
      </c>
      <c r="F86" s="61"/>
    </row>
    <row r="87" spans="1:8" ht="13.5">
      <c r="B87" s="60" t="s">
        <v>195</v>
      </c>
      <c r="C87" s="184"/>
      <c r="D87" s="186" t="s">
        <v>200</v>
      </c>
      <c r="E87" s="186"/>
      <c r="F87" s="9">
        <f>'ODC Cost Detail'!C13</f>
        <v>100000</v>
      </c>
      <c r="G87" s="2" t="s">
        <v>61</v>
      </c>
    </row>
    <row r="88" spans="1:8" ht="13.5">
      <c r="B88" s="60"/>
      <c r="D88" s="62" t="s">
        <v>23</v>
      </c>
      <c r="E88" s="37">
        <f>'ODC Cost Detail'!D73</f>
        <v>0</v>
      </c>
      <c r="F88" s="9">
        <f>'ODC Cost Detail'!E13</f>
        <v>0</v>
      </c>
      <c r="G88" s="2" t="s">
        <v>62</v>
      </c>
    </row>
    <row r="89" spans="1:8" ht="14.25" thickBot="1">
      <c r="B89" s="60"/>
      <c r="C89" s="184"/>
      <c r="D89" s="186" t="s">
        <v>185</v>
      </c>
      <c r="E89" s="186"/>
      <c r="F89" s="63">
        <f>SUM(F87:F88)</f>
        <v>100000</v>
      </c>
    </row>
    <row r="90" spans="1:8" ht="13.5" thickTop="1">
      <c r="B90" s="2"/>
    </row>
    <row r="91" spans="1:8">
      <c r="A91" s="288" t="s">
        <v>293</v>
      </c>
      <c r="B91" s="288"/>
      <c r="C91" s="96"/>
      <c r="D91" s="96"/>
      <c r="E91" s="96"/>
      <c r="F91" s="96"/>
      <c r="G91" s="96"/>
    </row>
    <row r="92" spans="1:8" ht="13.5" thickBot="1">
      <c r="A92" s="336" t="s">
        <v>5</v>
      </c>
      <c r="B92" s="3" t="s">
        <v>6</v>
      </c>
      <c r="C92" s="3" t="s">
        <v>42</v>
      </c>
      <c r="D92" s="3" t="s">
        <v>2</v>
      </c>
      <c r="E92" s="3" t="s">
        <v>3</v>
      </c>
      <c r="F92" s="3" t="s">
        <v>4</v>
      </c>
      <c r="H92"/>
    </row>
    <row r="93" spans="1:8">
      <c r="A93" s="98" t="s">
        <v>294</v>
      </c>
      <c r="B93" s="55" t="s">
        <v>295</v>
      </c>
      <c r="C93" s="4">
        <v>1</v>
      </c>
      <c r="D93" s="4" t="s">
        <v>7</v>
      </c>
      <c r="E93" s="56">
        <v>0</v>
      </c>
      <c r="F93" s="57"/>
      <c r="H93"/>
    </row>
    <row r="94" spans="1:8">
      <c r="B94" s="55" t="s">
        <v>202</v>
      </c>
      <c r="C94" s="4"/>
      <c r="E94" s="185" t="s">
        <v>203</v>
      </c>
      <c r="F94" s="9">
        <f>'Regular Labor Detail'!N126</f>
        <v>0</v>
      </c>
      <c r="G94" s="2" t="s">
        <v>111</v>
      </c>
      <c r="H94"/>
    </row>
    <row r="95" spans="1:8">
      <c r="B95" s="55"/>
      <c r="C95" s="4"/>
      <c r="E95" s="185" t="s">
        <v>204</v>
      </c>
      <c r="F95" s="7">
        <f>'Regular Labor Detail'!O126</f>
        <v>0</v>
      </c>
      <c r="G95" s="42"/>
      <c r="H95"/>
    </row>
    <row r="96" spans="1:8" ht="14.25" thickBot="1">
      <c r="B96" s="2"/>
      <c r="E96" s="291" t="s">
        <v>201</v>
      </c>
      <c r="F96" s="58">
        <f>SUM(F94:F95)</f>
        <v>0</v>
      </c>
    </row>
    <row r="97" spans="1:7" ht="14.25" thickTop="1">
      <c r="B97" s="2"/>
      <c r="E97" s="291"/>
      <c r="F97" s="65"/>
    </row>
    <row r="98" spans="1:7" ht="13.5" thickBot="1">
      <c r="A98" s="336" t="s">
        <v>5</v>
      </c>
      <c r="B98" s="3" t="s">
        <v>6</v>
      </c>
      <c r="C98" s="3" t="s">
        <v>42</v>
      </c>
      <c r="D98" s="3" t="s">
        <v>2</v>
      </c>
      <c r="E98" s="3" t="s">
        <v>3</v>
      </c>
      <c r="F98" s="3" t="s">
        <v>4</v>
      </c>
    </row>
    <row r="99" spans="1:7">
      <c r="A99" s="98" t="s">
        <v>321</v>
      </c>
      <c r="B99" s="55" t="s">
        <v>296</v>
      </c>
      <c r="C99" s="4">
        <v>1</v>
      </c>
      <c r="D99" s="4" t="s">
        <v>7</v>
      </c>
      <c r="E99" s="56">
        <v>0</v>
      </c>
      <c r="F99" s="57"/>
    </row>
    <row r="100" spans="1:7">
      <c r="B100" s="55" t="s">
        <v>202</v>
      </c>
      <c r="C100" s="4"/>
      <c r="E100" s="185" t="s">
        <v>203</v>
      </c>
      <c r="F100" s="9">
        <f>'Surge Labor Detail'!N126</f>
        <v>0</v>
      </c>
      <c r="G100" s="2" t="s">
        <v>111</v>
      </c>
    </row>
    <row r="101" spans="1:7">
      <c r="B101" s="55"/>
      <c r="C101" s="4"/>
      <c r="E101" s="185" t="s">
        <v>204</v>
      </c>
      <c r="F101" s="7">
        <f>'Surge Labor Detail'!O126</f>
        <v>0</v>
      </c>
      <c r="G101" s="42"/>
    </row>
    <row r="102" spans="1:7" ht="14.25" thickBot="1">
      <c r="B102" s="55"/>
      <c r="C102" s="4"/>
      <c r="E102" s="291" t="s">
        <v>201</v>
      </c>
      <c r="F102" s="58">
        <f>SUM(F100:F101)</f>
        <v>0</v>
      </c>
      <c r="G102" s="42"/>
    </row>
    <row r="103" spans="1:7" ht="14.25" thickTop="1">
      <c r="B103" s="2"/>
      <c r="E103" s="291"/>
      <c r="F103" s="65"/>
    </row>
    <row r="104" spans="1:7" s="6" customFormat="1" ht="13.5" thickBot="1">
      <c r="A104" s="336" t="s">
        <v>5</v>
      </c>
      <c r="B104" s="3" t="s">
        <v>6</v>
      </c>
      <c r="C104" s="3" t="s">
        <v>42</v>
      </c>
      <c r="D104" s="3" t="s">
        <v>2</v>
      </c>
      <c r="E104" s="3" t="s">
        <v>3</v>
      </c>
      <c r="F104" s="3" t="s">
        <v>4</v>
      </c>
      <c r="G104" s="2"/>
    </row>
    <row r="105" spans="1:7">
      <c r="A105" s="98" t="s">
        <v>274</v>
      </c>
      <c r="B105" s="60" t="s">
        <v>280</v>
      </c>
      <c r="C105" s="184">
        <v>1</v>
      </c>
      <c r="D105" s="184" t="s">
        <v>7</v>
      </c>
      <c r="E105" s="56">
        <v>0</v>
      </c>
      <c r="F105" s="61"/>
    </row>
    <row r="106" spans="1:7" ht="13.5">
      <c r="B106" s="60" t="s">
        <v>195</v>
      </c>
      <c r="C106" s="184"/>
      <c r="D106" s="186" t="s">
        <v>200</v>
      </c>
      <c r="E106" s="186"/>
      <c r="F106" s="9">
        <f>'ODC Cost Detail'!C14</f>
        <v>100000</v>
      </c>
      <c r="G106" s="2" t="s">
        <v>61</v>
      </c>
    </row>
    <row r="107" spans="1:7" ht="13.5">
      <c r="B107" s="60"/>
      <c r="D107" s="62" t="s">
        <v>23</v>
      </c>
      <c r="E107" s="37">
        <f>'ODC Cost Detail'!D92</f>
        <v>0</v>
      </c>
      <c r="F107" s="9">
        <f>'ODC Cost Detail'!E14</f>
        <v>0</v>
      </c>
      <c r="G107" s="2" t="s">
        <v>62</v>
      </c>
    </row>
    <row r="108" spans="1:7" ht="14.25" thickBot="1">
      <c r="B108" s="60"/>
      <c r="C108" s="184"/>
      <c r="D108" s="186" t="s">
        <v>185</v>
      </c>
      <c r="E108" s="186"/>
      <c r="F108" s="63">
        <f>SUM(F106:F107)</f>
        <v>100000</v>
      </c>
    </row>
    <row r="109" spans="1:7" ht="13.5" thickTop="1">
      <c r="B109" s="2"/>
    </row>
    <row r="110" spans="1:7">
      <c r="A110" s="307" t="s">
        <v>297</v>
      </c>
      <c r="B110" s="307"/>
      <c r="C110" s="308"/>
      <c r="D110" s="308"/>
      <c r="E110" s="308"/>
      <c r="F110" s="308"/>
      <c r="G110" s="308"/>
    </row>
    <row r="111" spans="1:7" ht="13.5" thickBot="1">
      <c r="A111" s="336" t="s">
        <v>5</v>
      </c>
      <c r="B111" s="3" t="s">
        <v>6</v>
      </c>
      <c r="C111" s="3" t="s">
        <v>42</v>
      </c>
      <c r="D111" s="3" t="s">
        <v>2</v>
      </c>
      <c r="E111" s="3" t="s">
        <v>3</v>
      </c>
      <c r="F111" s="3" t="s">
        <v>4</v>
      </c>
    </row>
    <row r="112" spans="1:7">
      <c r="A112" s="98" t="s">
        <v>298</v>
      </c>
      <c r="B112" s="55" t="s">
        <v>299</v>
      </c>
      <c r="C112" s="4">
        <v>1</v>
      </c>
      <c r="D112" s="4" t="s">
        <v>7</v>
      </c>
      <c r="E112" s="56">
        <v>0</v>
      </c>
      <c r="F112" s="57"/>
    </row>
    <row r="113" spans="1:7">
      <c r="B113" s="55" t="s">
        <v>202</v>
      </c>
      <c r="C113" s="4"/>
      <c r="E113" s="185" t="s">
        <v>203</v>
      </c>
      <c r="F113" s="9">
        <f>'Phase-in &amp; OES 52.217-8 Labor'!N66</f>
        <v>0</v>
      </c>
    </row>
    <row r="114" spans="1:7">
      <c r="B114" s="55"/>
      <c r="C114" s="4"/>
      <c r="E114" s="185" t="s">
        <v>204</v>
      </c>
      <c r="F114" s="306">
        <f>'Phase-in &amp; OES 52.217-8 Labor'!O66</f>
        <v>0</v>
      </c>
      <c r="G114" s="42"/>
    </row>
    <row r="115" spans="1:7" ht="14.25" thickBot="1">
      <c r="B115" s="55"/>
      <c r="C115" s="4"/>
      <c r="E115" s="291" t="s">
        <v>201</v>
      </c>
      <c r="F115" s="58">
        <f>F113+F114</f>
        <v>0</v>
      </c>
      <c r="G115" s="42"/>
    </row>
    <row r="116" spans="1:7" ht="14.25" thickTop="1">
      <c r="B116" s="2"/>
      <c r="E116" s="291"/>
      <c r="F116" s="65"/>
    </row>
    <row r="117" spans="1:7" ht="13.5" thickBot="1">
      <c r="A117" s="336" t="s">
        <v>5</v>
      </c>
      <c r="B117" s="3" t="s">
        <v>6</v>
      </c>
      <c r="C117" s="3" t="s">
        <v>42</v>
      </c>
      <c r="D117" s="3" t="s">
        <v>2</v>
      </c>
      <c r="E117" s="3" t="s">
        <v>3</v>
      </c>
      <c r="F117" s="3" t="s">
        <v>4</v>
      </c>
    </row>
    <row r="118" spans="1:7">
      <c r="A118" s="98" t="s">
        <v>322</v>
      </c>
      <c r="B118" s="55" t="s">
        <v>300</v>
      </c>
      <c r="C118" s="4">
        <v>1</v>
      </c>
      <c r="D118" s="4" t="s">
        <v>7</v>
      </c>
      <c r="E118" s="56">
        <v>0</v>
      </c>
      <c r="F118" s="57"/>
    </row>
    <row r="119" spans="1:7">
      <c r="B119" s="55" t="s">
        <v>202</v>
      </c>
      <c r="C119" s="4"/>
      <c r="E119" s="185" t="s">
        <v>203</v>
      </c>
      <c r="F119" s="9">
        <f>'Phase-in &amp; OES 52.217-8 Labor'!N86</f>
        <v>0</v>
      </c>
      <c r="G119" s="2" t="s">
        <v>111</v>
      </c>
    </row>
    <row r="120" spans="1:7">
      <c r="B120" s="55"/>
      <c r="C120" s="4"/>
      <c r="E120" s="185" t="s">
        <v>204</v>
      </c>
      <c r="F120" s="7">
        <f>'Phase-in &amp; OES 52.217-8 Labor'!O86</f>
        <v>0</v>
      </c>
      <c r="G120" s="42"/>
    </row>
    <row r="121" spans="1:7" ht="14.25" thickBot="1">
      <c r="B121" s="55"/>
      <c r="C121" s="4"/>
      <c r="E121" s="291" t="s">
        <v>201</v>
      </c>
      <c r="F121" s="58">
        <f>SUM(F119:F120)</f>
        <v>0</v>
      </c>
      <c r="G121" s="42"/>
    </row>
    <row r="122" spans="1:7" ht="14.25" thickTop="1">
      <c r="B122" s="2"/>
      <c r="E122" s="291"/>
      <c r="F122" s="65"/>
    </row>
    <row r="123" spans="1:7" ht="13.5" thickBot="1">
      <c r="A123" s="336" t="s">
        <v>5</v>
      </c>
      <c r="B123" s="3" t="s">
        <v>6</v>
      </c>
      <c r="C123" s="3" t="s">
        <v>42</v>
      </c>
      <c r="D123" s="3" t="s">
        <v>2</v>
      </c>
      <c r="E123" s="3" t="s">
        <v>3</v>
      </c>
      <c r="F123" s="3" t="s">
        <v>4</v>
      </c>
    </row>
    <row r="124" spans="1:7">
      <c r="A124" s="98" t="s">
        <v>275</v>
      </c>
      <c r="B124" s="60" t="s">
        <v>301</v>
      </c>
      <c r="C124" s="184">
        <v>1</v>
      </c>
      <c r="D124" s="184" t="s">
        <v>7</v>
      </c>
      <c r="E124" s="56">
        <v>0</v>
      </c>
      <c r="F124" s="61"/>
    </row>
    <row r="125" spans="1:7" ht="13.5">
      <c r="B125" s="60" t="s">
        <v>195</v>
      </c>
      <c r="C125" s="184"/>
      <c r="D125" s="186" t="s">
        <v>200</v>
      </c>
      <c r="E125" s="187"/>
      <c r="F125" s="9">
        <f>'ODC Cost Detail'!C15</f>
        <v>50000</v>
      </c>
    </row>
    <row r="126" spans="1:7" ht="13.5">
      <c r="B126" s="60"/>
      <c r="D126" s="62" t="s">
        <v>23</v>
      </c>
      <c r="E126" s="37" t="e">
        <f>#REF!</f>
        <v>#REF!</v>
      </c>
      <c r="F126" s="9">
        <f>'ODC Cost Detail'!E15</f>
        <v>0</v>
      </c>
    </row>
    <row r="127" spans="1:7" ht="14.25" thickBot="1">
      <c r="B127" s="60"/>
      <c r="C127" s="184"/>
      <c r="D127" s="186" t="s">
        <v>185</v>
      </c>
      <c r="E127" s="187"/>
      <c r="F127" s="63">
        <f>SUM(F125:F126)</f>
        <v>50000</v>
      </c>
    </row>
    <row r="128" spans="1:7" ht="14.25" thickTop="1">
      <c r="B128" s="55"/>
      <c r="C128" s="4"/>
      <c r="D128" s="64"/>
      <c r="E128" s="4"/>
      <c r="F128" s="65"/>
      <c r="G128" s="42"/>
    </row>
    <row r="129" spans="1:8">
      <c r="A129" s="288" t="s">
        <v>20</v>
      </c>
      <c r="B129" s="288"/>
      <c r="C129" s="96"/>
      <c r="D129" s="96"/>
      <c r="E129" s="96"/>
      <c r="F129" s="96"/>
      <c r="G129" s="96"/>
    </row>
    <row r="130" spans="1:8" ht="13.5" thickBot="1">
      <c r="B130" s="2"/>
      <c r="D130" s="339" t="s">
        <v>304</v>
      </c>
      <c r="E130" s="339"/>
      <c r="F130" s="188"/>
    </row>
    <row r="131" spans="1:8">
      <c r="B131" s="2"/>
      <c r="E131" s="340" t="s">
        <v>203</v>
      </c>
      <c r="F131" s="338">
        <f>SUM(F12,F18,F24,F32,F37,F43,F51,F56,F62,F70,F75,F81,F89,F94,F100,F108)</f>
        <v>500000</v>
      </c>
    </row>
    <row r="132" spans="1:8" ht="13.5" thickBot="1">
      <c r="B132" s="2"/>
      <c r="E132" s="340" t="s">
        <v>204</v>
      </c>
      <c r="F132" s="337">
        <f>SUM(F13,F19,F25,F38,F44,F57,F63,F76,F82,F95,F101)</f>
        <v>0</v>
      </c>
    </row>
    <row r="133" spans="1:8" ht="13.5" thickTop="1">
      <c r="B133" s="2"/>
      <c r="E133" s="340" t="s">
        <v>201</v>
      </c>
      <c r="F133" s="66">
        <f>SUM(F131,F132)</f>
        <v>500000</v>
      </c>
    </row>
    <row r="134" spans="1:8">
      <c r="B134" s="2"/>
    </row>
    <row r="135" spans="1:8" ht="13.5" thickBot="1">
      <c r="B135" s="2"/>
      <c r="D135" s="339" t="s">
        <v>303</v>
      </c>
      <c r="E135" s="339"/>
      <c r="F135" s="188"/>
    </row>
    <row r="136" spans="1:8">
      <c r="E136" s="340" t="s">
        <v>203</v>
      </c>
      <c r="F136" s="338">
        <f>SUM(F113,F119,F127)</f>
        <v>50000</v>
      </c>
      <c r="H136" s="290"/>
    </row>
    <row r="137" spans="1:8" ht="13.5" thickBot="1">
      <c r="E137" s="340" t="s">
        <v>204</v>
      </c>
      <c r="F137" s="337">
        <f>SUM(F114,F120)</f>
        <v>0</v>
      </c>
      <c r="H137" s="290"/>
    </row>
    <row r="138" spans="1:8" ht="13.5" thickTop="1">
      <c r="E138" s="340" t="s">
        <v>201</v>
      </c>
      <c r="F138" s="66">
        <f>SUM(F136,F137)</f>
        <v>50000</v>
      </c>
    </row>
    <row r="140" spans="1:8" ht="13.5" thickBot="1">
      <c r="D140" s="188" t="s">
        <v>305</v>
      </c>
      <c r="E140" s="188"/>
      <c r="F140" s="188"/>
    </row>
    <row r="141" spans="1:8" ht="13.5">
      <c r="E141" s="62" t="s">
        <v>203</v>
      </c>
      <c r="F141" s="338">
        <f>SUM(F131,F136)</f>
        <v>550000</v>
      </c>
    </row>
    <row r="142" spans="1:8" ht="14.25" thickBot="1">
      <c r="E142" s="62" t="s">
        <v>204</v>
      </c>
      <c r="F142" s="337">
        <f>SUM(F132,F137)</f>
        <v>0</v>
      </c>
    </row>
    <row r="143" spans="1:8" ht="14.25" thickTop="1">
      <c r="E143" s="62" t="s">
        <v>201</v>
      </c>
      <c r="F143" s="66">
        <f>SUM(F141,F142)</f>
        <v>550000</v>
      </c>
      <c r="G143" s="7"/>
    </row>
    <row r="144" spans="1:8" ht="13.5">
      <c r="E144" s="62"/>
      <c r="F144" s="66"/>
      <c r="G144" s="7"/>
    </row>
    <row r="145" spans="5:7">
      <c r="E145" s="185" t="s">
        <v>43</v>
      </c>
      <c r="F145" s="7">
        <f>SUM(F14,F20,F26,F32,F39,F45,F51,F58,F64,F70,F77,F83,F89,F96,F102,F108,F115,F121,F127)</f>
        <v>550000</v>
      </c>
      <c r="G145" s="49" t="s">
        <v>41</v>
      </c>
    </row>
    <row r="146" spans="5:7">
      <c r="E146" s="185" t="s">
        <v>43</v>
      </c>
      <c r="F146" s="7">
        <f>'Cost Summary'!I18</f>
        <v>550000</v>
      </c>
      <c r="G146" s="49" t="s">
        <v>40</v>
      </c>
    </row>
    <row r="147" spans="5:7">
      <c r="E147" s="185" t="s">
        <v>43</v>
      </c>
      <c r="F147" s="7">
        <f>'Regular Labor Detail'!P129+'ODC Cost Detail'!F16</f>
        <v>550000</v>
      </c>
      <c r="G147" s="290" t="s">
        <v>63</v>
      </c>
    </row>
  </sheetData>
  <conditionalFormatting sqref="F145:F147">
    <cfRule type="cellIs" dxfId="9" priority="17" operator="notEqual">
      <formula>$F$143</formula>
    </cfRule>
    <cfRule type="cellIs" dxfId="8" priority="18" operator="equal">
      <formula>$F$143</formula>
    </cfRule>
  </conditionalFormatting>
  <printOptions gridLines="1"/>
  <pageMargins left="0.25" right="0.25" top="0.25" bottom="0.25" header="0.3" footer="0.3"/>
  <pageSetup scale="63" fitToHeight="2" orientation="portrait" r:id="rId1"/>
  <ignoredErrors>
    <ignoredError sqref="A36 A48"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J19"/>
  <sheetViews>
    <sheetView workbookViewId="0">
      <selection activeCell="J28" sqref="J28"/>
    </sheetView>
  </sheetViews>
  <sheetFormatPr defaultColWidth="9.140625" defaultRowHeight="12.75"/>
  <cols>
    <col min="1" max="1" width="52" style="38" bestFit="1" customWidth="1"/>
    <col min="2" max="9" width="15.7109375" style="2" customWidth="1"/>
    <col min="10" max="10" width="28" style="2" bestFit="1" customWidth="1"/>
    <col min="11" max="16384" width="9.140625" style="2"/>
  </cols>
  <sheetData>
    <row r="1" spans="1:10">
      <c r="A1" s="46" t="s">
        <v>73</v>
      </c>
    </row>
    <row r="2" spans="1:10">
      <c r="A2" s="46" t="str">
        <f>"Solicitation Number: "&amp;Instructions!H9&amp;""</f>
        <v>Solicitation Number: W91CRB-25-R-0002</v>
      </c>
    </row>
    <row r="3" spans="1:10">
      <c r="A3" s="46" t="str">
        <f>"Name of Action: "&amp;Instructions!H10</f>
        <v>Name of Action: Force Development</v>
      </c>
    </row>
    <row r="4" spans="1:10">
      <c r="A4" s="94" t="str">
        <f>"Prime Contractor/Subcontractor Name/Division: "&amp;Instructions!H15</f>
        <v xml:space="preserve">Prime Contractor/Subcontractor Name/Division: </v>
      </c>
    </row>
    <row r="5" spans="1:10">
      <c r="A5" s="94" t="str">
        <f>"Period of Performance: "&amp;Instructions!H11</f>
        <v xml:space="preserve">Period of Performance: </v>
      </c>
    </row>
    <row r="6" spans="1:10">
      <c r="A6" s="94" t="str">
        <f>"Date of Proposal:"&amp;IF(ISBLANK(Instructions!H18)," TBD",(TEXT(Instructions!H18," mm/dd/yyyy")))</f>
        <v>Date of Proposal: TBD</v>
      </c>
    </row>
    <row r="7" spans="1:10" s="47" customFormat="1">
      <c r="B7" s="341"/>
      <c r="C7" s="309"/>
      <c r="D7" s="310"/>
    </row>
    <row r="8" spans="1:10" s="39" customFormat="1" ht="25.5">
      <c r="A8" s="46" t="str">
        <f>Instructions!H10</f>
        <v>Force Development</v>
      </c>
      <c r="B8" s="292" t="s">
        <v>312</v>
      </c>
      <c r="C8" s="292" t="s">
        <v>313</v>
      </c>
      <c r="D8" s="292" t="s">
        <v>310</v>
      </c>
      <c r="E8" s="292" t="s">
        <v>285</v>
      </c>
      <c r="F8" s="292" t="s">
        <v>289</v>
      </c>
      <c r="G8" s="292" t="s">
        <v>293</v>
      </c>
      <c r="H8" s="292" t="s">
        <v>311</v>
      </c>
      <c r="I8" s="292" t="s">
        <v>20</v>
      </c>
    </row>
    <row r="9" spans="1:10" ht="13.5" thickBot="1">
      <c r="A9" s="50" t="s">
        <v>46</v>
      </c>
      <c r="B9" s="51">
        <f>'Phase-in &amp; OES 52.217-8 Labor'!G26</f>
        <v>2652</v>
      </c>
      <c r="C9" s="51">
        <f>'Regular Labor Detail'!G26+'Surge Labor Detail'!G26</f>
        <v>120016</v>
      </c>
      <c r="D9" s="51">
        <f>+'Regular Labor Detail'!$G66+'Surge Labor Detail'!G66</f>
        <v>144730</v>
      </c>
      <c r="E9" s="51">
        <f>+'Regular Labor Detail'!$G86+'Surge Labor Detail'!G86</f>
        <v>154130</v>
      </c>
      <c r="F9" s="51">
        <f>+'Regular Labor Detail'!$G106+'Surge Labor Detail'!G106</f>
        <v>161650</v>
      </c>
      <c r="G9" s="51">
        <f>+'Regular Labor Detail'!$G126+'Surge Labor Detail'!G126</f>
        <v>161650</v>
      </c>
      <c r="H9" s="51">
        <f>'Phase-in &amp; OES 52.217-8 Labor'!G66+'Phase-in &amp; OES 52.217-8 Labor'!G86</f>
        <v>80825</v>
      </c>
      <c r="I9" s="51">
        <f>SUM(B9:H9)</f>
        <v>825653</v>
      </c>
      <c r="J9" s="2" t="s">
        <v>71</v>
      </c>
    </row>
    <row r="10" spans="1:10" ht="13.5" thickTop="1">
      <c r="A10" s="48" t="s">
        <v>47</v>
      </c>
      <c r="B10" s="52">
        <f>'Phase-in &amp; OES 52.217-8 Labor'!L26</f>
        <v>0</v>
      </c>
      <c r="C10" s="52">
        <f>'Regular Labor Detail'!L26+'Surge Labor Detail'!L26</f>
        <v>0</v>
      </c>
      <c r="D10" s="52">
        <f>+'Regular Labor Detail'!$L66+'Surge Labor Detail'!L66</f>
        <v>0</v>
      </c>
      <c r="E10" s="52">
        <f>+'Regular Labor Detail'!$L86+'Surge Labor Detail'!L86</f>
        <v>0</v>
      </c>
      <c r="F10" s="52">
        <f>+'Regular Labor Detail'!$L106+'Surge Labor Detail'!L106</f>
        <v>0</v>
      </c>
      <c r="G10" s="52">
        <f>+'Regular Labor Detail'!$L126+'Surge Labor Detail'!L126</f>
        <v>0</v>
      </c>
      <c r="H10" s="52">
        <f>'Phase-in &amp; OES 52.217-8 Labor'!L66+'Phase-in &amp; OES 52.217-8 Labor'!L86</f>
        <v>0</v>
      </c>
      <c r="I10" s="52">
        <f t="shared" ref="I10:I11" si="0">SUM(B10:H10)</f>
        <v>0</v>
      </c>
      <c r="J10" s="2" t="s">
        <v>71</v>
      </c>
    </row>
    <row r="11" spans="1:10">
      <c r="A11" s="90" t="s">
        <v>48</v>
      </c>
      <c r="B11" s="52">
        <f>'Phase-in &amp; OES 52.217-8 Labor'!M26</f>
        <v>0</v>
      </c>
      <c r="C11" s="52">
        <f>'Regular Labor Detail'!M26+'Surge Labor Detail'!M26</f>
        <v>0</v>
      </c>
      <c r="D11" s="52">
        <f>+'Regular Labor Detail'!$M66+'Surge Labor Detail'!M66</f>
        <v>0</v>
      </c>
      <c r="E11" s="52">
        <f>+'Regular Labor Detail'!$M86+'Surge Labor Detail'!M86</f>
        <v>0</v>
      </c>
      <c r="F11" s="52">
        <f>+'Regular Labor Detail'!$M106+'Surge Labor Detail'!M106</f>
        <v>0</v>
      </c>
      <c r="G11" s="52">
        <f>+'Regular Labor Detail'!$M126+'Surge Labor Detail'!M126</f>
        <v>0</v>
      </c>
      <c r="H11" s="52">
        <f>'Phase-in &amp; OES 52.217-8 Labor'!M66+'Phase-in &amp; OES 52.217-8 Labor'!M86</f>
        <v>0</v>
      </c>
      <c r="I11" s="52">
        <f t="shared" si="0"/>
        <v>0</v>
      </c>
      <c r="J11" s="2" t="s">
        <v>71</v>
      </c>
    </row>
    <row r="12" spans="1:10" ht="13.5" thickBot="1">
      <c r="A12" s="50" t="s">
        <v>50</v>
      </c>
      <c r="B12" s="53">
        <f t="shared" ref="B12:H12" si="1">SUM(B10:B11)</f>
        <v>0</v>
      </c>
      <c r="C12" s="53">
        <f t="shared" si="1"/>
        <v>0</v>
      </c>
      <c r="D12" s="53">
        <f t="shared" si="1"/>
        <v>0</v>
      </c>
      <c r="E12" s="53">
        <f t="shared" si="1"/>
        <v>0</v>
      </c>
      <c r="F12" s="53">
        <f t="shared" si="1"/>
        <v>0</v>
      </c>
      <c r="G12" s="53">
        <f t="shared" si="1"/>
        <v>0</v>
      </c>
      <c r="H12" s="53">
        <f t="shared" si="1"/>
        <v>0</v>
      </c>
      <c r="I12" s="53">
        <f>SUM(I10:I11)</f>
        <v>0</v>
      </c>
    </row>
    <row r="13" spans="1:10" ht="13.5" thickTop="1">
      <c r="A13" s="90" t="s">
        <v>26</v>
      </c>
      <c r="B13" s="52">
        <f>'Phase-in &amp; OES 52.217-8 Labor'!O26</f>
        <v>0</v>
      </c>
      <c r="C13" s="52">
        <f>'Regular Labor Detail'!O26+'Surge Labor Detail'!O26</f>
        <v>0</v>
      </c>
      <c r="D13" s="52">
        <f>+'Regular Labor Detail'!$O66+'Surge Labor Detail'!O66</f>
        <v>0</v>
      </c>
      <c r="E13" s="52">
        <f>+'Regular Labor Detail'!$O86+'Surge Labor Detail'!O86</f>
        <v>0</v>
      </c>
      <c r="F13" s="52">
        <f>+'Regular Labor Detail'!$O106+'Surge Labor Detail'!O106</f>
        <v>0</v>
      </c>
      <c r="G13" s="52">
        <f>+'Regular Labor Detail'!$O126+'Surge Labor Detail'!O126</f>
        <v>0</v>
      </c>
      <c r="H13" s="52">
        <f>'Phase-in &amp; OES 52.217-8 Labor'!O66+'Phase-in &amp; OES 52.217-8 Labor'!O86</f>
        <v>0</v>
      </c>
      <c r="I13" s="52">
        <f>SUM(B13:H13)</f>
        <v>0</v>
      </c>
      <c r="J13" s="2" t="s">
        <v>71</v>
      </c>
    </row>
    <row r="14" spans="1:10" s="49" customFormat="1" ht="13.5" thickBot="1">
      <c r="A14" s="311" t="s">
        <v>207</v>
      </c>
      <c r="B14" s="53">
        <f t="shared" ref="B14:I14" si="2">SUM(B12:B13)</f>
        <v>0</v>
      </c>
      <c r="C14" s="53">
        <f t="shared" si="2"/>
        <v>0</v>
      </c>
      <c r="D14" s="53">
        <f t="shared" si="2"/>
        <v>0</v>
      </c>
      <c r="E14" s="53">
        <f t="shared" si="2"/>
        <v>0</v>
      </c>
      <c r="F14" s="53">
        <f t="shared" si="2"/>
        <v>0</v>
      </c>
      <c r="G14" s="53">
        <f t="shared" si="2"/>
        <v>0</v>
      </c>
      <c r="H14" s="53">
        <f t="shared" si="2"/>
        <v>0</v>
      </c>
      <c r="I14" s="53">
        <f t="shared" si="2"/>
        <v>0</v>
      </c>
    </row>
    <row r="15" spans="1:10" ht="13.5" thickTop="1">
      <c r="A15" s="48" t="s">
        <v>205</v>
      </c>
      <c r="B15" s="342"/>
      <c r="C15" s="52">
        <f>'ODC Cost Detail'!C10</f>
        <v>100000</v>
      </c>
      <c r="D15" s="52">
        <f>+'ODC Cost Detail'!C11</f>
        <v>100000</v>
      </c>
      <c r="E15" s="52">
        <f>+'ODC Cost Detail'!C12</f>
        <v>100000</v>
      </c>
      <c r="F15" s="52">
        <f>+'ODC Cost Detail'!C13</f>
        <v>100000</v>
      </c>
      <c r="G15" s="52">
        <f>+'ODC Cost Detail'!C14</f>
        <v>100000</v>
      </c>
      <c r="H15" s="52">
        <f>'ODC Cost Detail'!C15</f>
        <v>50000</v>
      </c>
      <c r="I15" s="52">
        <f>SUM(B15:H15)</f>
        <v>550000</v>
      </c>
      <c r="J15" s="2" t="s">
        <v>72</v>
      </c>
    </row>
    <row r="16" spans="1:10">
      <c r="A16" s="90" t="s">
        <v>49</v>
      </c>
      <c r="B16" s="342"/>
      <c r="C16" s="52">
        <f>+'ODC Cost Detail'!E10</f>
        <v>0</v>
      </c>
      <c r="D16" s="52">
        <f>+'ODC Cost Detail'!E11</f>
        <v>0</v>
      </c>
      <c r="E16" s="52">
        <f>+'ODC Cost Detail'!E12</f>
        <v>0</v>
      </c>
      <c r="F16" s="52">
        <f>+'ODC Cost Detail'!E13</f>
        <v>0</v>
      </c>
      <c r="G16" s="52">
        <f>+'ODC Cost Detail'!E14</f>
        <v>0</v>
      </c>
      <c r="H16" s="52">
        <f>'ODC Cost Detail'!E15</f>
        <v>0</v>
      </c>
      <c r="I16" s="52">
        <f>SUM(B16:H16)</f>
        <v>0</v>
      </c>
      <c r="J16" s="2" t="s">
        <v>72</v>
      </c>
    </row>
    <row r="17" spans="1:9" ht="13.5" thickBot="1">
      <c r="A17" s="311" t="s">
        <v>208</v>
      </c>
      <c r="B17" s="343"/>
      <c r="C17" s="53">
        <f t="shared" ref="C17:I17" si="3">SUM(C15:C16)</f>
        <v>100000</v>
      </c>
      <c r="D17" s="53">
        <f t="shared" si="3"/>
        <v>100000</v>
      </c>
      <c r="E17" s="53">
        <f t="shared" si="3"/>
        <v>100000</v>
      </c>
      <c r="F17" s="53">
        <f t="shared" si="3"/>
        <v>100000</v>
      </c>
      <c r="G17" s="53">
        <f t="shared" si="3"/>
        <v>100000</v>
      </c>
      <c r="H17" s="53">
        <f t="shared" ref="H17" si="4">SUM(H15:H16)</f>
        <v>50000</v>
      </c>
      <c r="I17" s="53">
        <f t="shared" si="3"/>
        <v>550000</v>
      </c>
    </row>
    <row r="18" spans="1:9" s="1" customFormat="1" ht="14.25" thickTop="1" thickBot="1">
      <c r="A18" s="312" t="s">
        <v>206</v>
      </c>
      <c r="B18" s="54"/>
      <c r="C18" s="54">
        <f t="shared" ref="C18:I18" si="5">+C14+C17</f>
        <v>100000</v>
      </c>
      <c r="D18" s="54">
        <f t="shared" si="5"/>
        <v>100000</v>
      </c>
      <c r="E18" s="54">
        <f t="shared" si="5"/>
        <v>100000</v>
      </c>
      <c r="F18" s="54">
        <f t="shared" si="5"/>
        <v>100000</v>
      </c>
      <c r="G18" s="54">
        <f t="shared" si="5"/>
        <v>100000</v>
      </c>
      <c r="H18" s="54">
        <f t="shared" ref="H18" si="6">+H14+H17</f>
        <v>50000</v>
      </c>
      <c r="I18" s="54">
        <f t="shared" si="5"/>
        <v>550000</v>
      </c>
    </row>
    <row r="19" spans="1:9">
      <c r="A19" s="40"/>
      <c r="B19" s="41"/>
      <c r="C19" s="41"/>
      <c r="D19" s="41"/>
      <c r="E19" s="41"/>
      <c r="F19" s="41"/>
      <c r="G19" s="41"/>
      <c r="H19" s="41"/>
      <c r="I19" s="41"/>
    </row>
  </sheetData>
  <phoneticPr fontId="45" type="noConversion"/>
  <printOptions gridLines="1"/>
  <pageMargins left="0.25" right="0.25" top="0.25" bottom="0.25" header="0" footer="0"/>
  <pageSetup scale="66" orientation="landscape" r:id="rId1"/>
  <ignoredErrors>
    <ignoredError sqref="I12 I14 B13:H13"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6">
    <tabColor theme="6" tint="0.39997558519241921"/>
    <pageSetUpPr fitToPage="1"/>
  </sheetPr>
  <dimension ref="A1:H55"/>
  <sheetViews>
    <sheetView workbookViewId="0">
      <selection activeCell="I37" sqref="I37"/>
    </sheetView>
  </sheetViews>
  <sheetFormatPr defaultColWidth="9.140625" defaultRowHeight="12.75"/>
  <cols>
    <col min="1" max="1" width="20.28515625" style="2" bestFit="1" customWidth="1"/>
    <col min="2" max="5" width="14.7109375" style="2" customWidth="1"/>
    <col min="6" max="6" width="11.28515625" style="2" customWidth="1"/>
    <col min="7" max="7" width="14.7109375" style="2" customWidth="1"/>
    <col min="8" max="8" width="16.28515625" style="2" customWidth="1"/>
    <col min="9" max="16384" width="9.140625" style="2"/>
  </cols>
  <sheetData>
    <row r="1" spans="1:8">
      <c r="A1" s="94" t="s">
        <v>21</v>
      </c>
      <c r="B1" s="43"/>
    </row>
    <row r="2" spans="1:8">
      <c r="A2" s="46" t="str">
        <f>"Solicitation Number: "&amp;Instructions!H9&amp;""</f>
        <v>Solicitation Number: W91CRB-25-R-0002</v>
      </c>
      <c r="B2" s="44"/>
    </row>
    <row r="3" spans="1:8">
      <c r="A3" s="46" t="str">
        <f>"Name of Action: "&amp;Instructions!H10</f>
        <v>Name of Action: Force Development</v>
      </c>
      <c r="B3" s="44"/>
    </row>
    <row r="4" spans="1:8">
      <c r="A4" s="94" t="str">
        <f>"Prime Contractor/Subcontractor Name/Division: "&amp;Instructions!H15</f>
        <v xml:space="preserve">Prime Contractor/Subcontractor Name/Division: </v>
      </c>
      <c r="B4" s="44"/>
    </row>
    <row r="5" spans="1:8">
      <c r="A5" s="94" t="str">
        <f>"Period of Performance: "&amp;Instructions!H11</f>
        <v xml:space="preserve">Period of Performance: </v>
      </c>
      <c r="B5" s="45"/>
    </row>
    <row r="6" spans="1:8">
      <c r="A6" s="94" t="str">
        <f>"Date of Proposal:"&amp;IF(ISBLANK(Instructions!H18)," TBD",(TEXT(Instructions!H18," mm/dd/yyyy")))</f>
        <v>Date of Proposal: TBD</v>
      </c>
      <c r="B6" s="45"/>
    </row>
    <row r="7" spans="1:8" ht="13.5" thickBot="1"/>
    <row r="8" spans="1:8" ht="63.75">
      <c r="A8" s="123" t="s">
        <v>87</v>
      </c>
      <c r="B8" s="124" t="s">
        <v>56</v>
      </c>
      <c r="C8" s="124" t="s">
        <v>52</v>
      </c>
      <c r="D8" s="124" t="s">
        <v>53</v>
      </c>
      <c r="E8" s="124" t="s">
        <v>54</v>
      </c>
      <c r="F8" s="124" t="s">
        <v>55</v>
      </c>
      <c r="G8" s="125" t="s">
        <v>59</v>
      </c>
    </row>
    <row r="9" spans="1:8">
      <c r="A9" s="126" t="s">
        <v>197</v>
      </c>
      <c r="B9" s="127"/>
      <c r="C9" s="49"/>
      <c r="D9" s="49"/>
      <c r="E9" s="49"/>
      <c r="F9" s="49"/>
      <c r="G9" s="128"/>
    </row>
    <row r="10" spans="1:8">
      <c r="A10" s="129" t="s">
        <v>12</v>
      </c>
      <c r="B10" s="130" t="s">
        <v>306</v>
      </c>
      <c r="C10" s="99">
        <v>0</v>
      </c>
      <c r="D10" s="99">
        <v>0</v>
      </c>
      <c r="E10" s="99">
        <v>0</v>
      </c>
      <c r="F10" s="99">
        <v>0</v>
      </c>
      <c r="G10" s="131">
        <v>0</v>
      </c>
    </row>
    <row r="11" spans="1:8">
      <c r="A11" s="129" t="s">
        <v>13</v>
      </c>
      <c r="B11" s="132"/>
      <c r="C11" s="99">
        <v>0</v>
      </c>
      <c r="D11" s="99">
        <v>0</v>
      </c>
      <c r="E11" s="99">
        <v>0</v>
      </c>
      <c r="F11" s="99">
        <v>0</v>
      </c>
      <c r="G11" s="131">
        <v>0</v>
      </c>
    </row>
    <row r="12" spans="1:8">
      <c r="A12" s="129" t="s">
        <v>14</v>
      </c>
      <c r="B12" s="132"/>
      <c r="C12" s="99">
        <v>0</v>
      </c>
      <c r="D12" s="99">
        <v>0</v>
      </c>
      <c r="E12" s="99">
        <v>0</v>
      </c>
      <c r="F12" s="99">
        <v>0</v>
      </c>
      <c r="G12" s="131">
        <v>0</v>
      </c>
    </row>
    <row r="13" spans="1:8">
      <c r="A13" s="129" t="s">
        <v>15</v>
      </c>
      <c r="B13" s="132"/>
      <c r="C13" s="99">
        <v>0</v>
      </c>
      <c r="D13" s="99">
        <v>0</v>
      </c>
      <c r="E13" s="99">
        <v>0</v>
      </c>
      <c r="F13" s="99">
        <v>0</v>
      </c>
      <c r="G13" s="131">
        <v>0</v>
      </c>
    </row>
    <row r="14" spans="1:8">
      <c r="A14" s="129" t="s">
        <v>16</v>
      </c>
      <c r="B14" s="132"/>
      <c r="C14" s="99">
        <v>0</v>
      </c>
      <c r="D14" s="99">
        <v>0</v>
      </c>
      <c r="E14" s="99">
        <v>0</v>
      </c>
      <c r="F14" s="99">
        <v>0</v>
      </c>
      <c r="G14" s="131">
        <v>0</v>
      </c>
    </row>
    <row r="15" spans="1:8" ht="13.5" thickBot="1">
      <c r="A15" s="129"/>
      <c r="B15" s="49"/>
      <c r="C15" s="133"/>
      <c r="D15" s="133"/>
      <c r="E15" s="133"/>
      <c r="F15" s="133"/>
      <c r="G15" s="134">
        <f>SUM(G10:G14)</f>
        <v>0</v>
      </c>
      <c r="H15" s="2" t="s">
        <v>17</v>
      </c>
    </row>
    <row r="16" spans="1:8" ht="13.5" thickTop="1">
      <c r="A16" s="126" t="s">
        <v>281</v>
      </c>
      <c r="B16" s="127"/>
      <c r="C16" s="133"/>
      <c r="D16" s="133"/>
      <c r="E16" s="133"/>
      <c r="F16" s="133"/>
      <c r="G16" s="135"/>
    </row>
    <row r="17" spans="1:8">
      <c r="A17" s="129" t="s">
        <v>12</v>
      </c>
      <c r="B17" s="130" t="s">
        <v>306</v>
      </c>
      <c r="C17" s="99">
        <v>0</v>
      </c>
      <c r="D17" s="99">
        <v>0</v>
      </c>
      <c r="E17" s="99">
        <v>0</v>
      </c>
      <c r="F17" s="99">
        <v>0</v>
      </c>
      <c r="G17" s="131">
        <v>0</v>
      </c>
    </row>
    <row r="18" spans="1:8">
      <c r="A18" s="129" t="s">
        <v>13</v>
      </c>
      <c r="B18" s="132"/>
      <c r="C18" s="99">
        <v>0</v>
      </c>
      <c r="D18" s="99">
        <v>0</v>
      </c>
      <c r="E18" s="99">
        <v>0</v>
      </c>
      <c r="F18" s="99">
        <v>0</v>
      </c>
      <c r="G18" s="131">
        <v>0</v>
      </c>
      <c r="H18" s="210"/>
    </row>
    <row r="19" spans="1:8">
      <c r="A19" s="129" t="s">
        <v>14</v>
      </c>
      <c r="B19" s="132"/>
      <c r="C19" s="99">
        <v>0</v>
      </c>
      <c r="D19" s="99">
        <v>0</v>
      </c>
      <c r="E19" s="99">
        <v>0</v>
      </c>
      <c r="F19" s="99">
        <v>0</v>
      </c>
      <c r="G19" s="131">
        <v>0</v>
      </c>
    </row>
    <row r="20" spans="1:8">
      <c r="A20" s="129" t="s">
        <v>15</v>
      </c>
      <c r="B20" s="132"/>
      <c r="C20" s="99">
        <v>0</v>
      </c>
      <c r="D20" s="99">
        <v>0</v>
      </c>
      <c r="E20" s="99">
        <v>0</v>
      </c>
      <c r="F20" s="99">
        <v>0</v>
      </c>
      <c r="G20" s="131">
        <v>0</v>
      </c>
    </row>
    <row r="21" spans="1:8">
      <c r="A21" s="129" t="s">
        <v>16</v>
      </c>
      <c r="B21" s="132"/>
      <c r="C21" s="99">
        <v>0</v>
      </c>
      <c r="D21" s="99">
        <v>0</v>
      </c>
      <c r="E21" s="99">
        <v>0</v>
      </c>
      <c r="F21" s="99">
        <v>0</v>
      </c>
      <c r="G21" s="136">
        <v>0</v>
      </c>
    </row>
    <row r="22" spans="1:8" ht="13.5" thickBot="1">
      <c r="A22" s="129"/>
      <c r="B22" s="49"/>
      <c r="C22" s="133"/>
      <c r="D22" s="133"/>
      <c r="E22" s="133"/>
      <c r="F22" s="133"/>
      <c r="G22" s="137">
        <f>SUM(G17:G21)</f>
        <v>0</v>
      </c>
      <c r="H22" s="2" t="s">
        <v>17</v>
      </c>
    </row>
    <row r="23" spans="1:8" ht="13.5" thickTop="1">
      <c r="A23" s="126" t="s">
        <v>285</v>
      </c>
      <c r="B23" s="127"/>
      <c r="C23" s="133"/>
      <c r="D23" s="133"/>
      <c r="E23" s="133"/>
      <c r="F23" s="133"/>
      <c r="G23" s="135"/>
    </row>
    <row r="24" spans="1:8">
      <c r="A24" s="129" t="s">
        <v>12</v>
      </c>
      <c r="B24" s="130" t="s">
        <v>306</v>
      </c>
      <c r="C24" s="99">
        <v>0</v>
      </c>
      <c r="D24" s="99">
        <v>0</v>
      </c>
      <c r="E24" s="99">
        <v>0</v>
      </c>
      <c r="F24" s="99">
        <v>0</v>
      </c>
      <c r="G24" s="131">
        <v>0</v>
      </c>
    </row>
    <row r="25" spans="1:8">
      <c r="A25" s="129" t="s">
        <v>13</v>
      </c>
      <c r="B25" s="132"/>
      <c r="C25" s="99">
        <v>0</v>
      </c>
      <c r="D25" s="99">
        <v>0</v>
      </c>
      <c r="E25" s="99">
        <v>0</v>
      </c>
      <c r="F25" s="99">
        <v>0</v>
      </c>
      <c r="G25" s="131">
        <v>0</v>
      </c>
    </row>
    <row r="26" spans="1:8">
      <c r="A26" s="129" t="s">
        <v>14</v>
      </c>
      <c r="B26" s="132"/>
      <c r="C26" s="99">
        <v>0</v>
      </c>
      <c r="D26" s="99">
        <v>0</v>
      </c>
      <c r="E26" s="99">
        <v>0</v>
      </c>
      <c r="F26" s="99">
        <v>0</v>
      </c>
      <c r="G26" s="131">
        <v>0</v>
      </c>
    </row>
    <row r="27" spans="1:8">
      <c r="A27" s="129" t="s">
        <v>15</v>
      </c>
      <c r="B27" s="132"/>
      <c r="C27" s="99">
        <v>0</v>
      </c>
      <c r="D27" s="99">
        <v>0</v>
      </c>
      <c r="E27" s="99">
        <v>0</v>
      </c>
      <c r="F27" s="99">
        <v>0</v>
      </c>
      <c r="G27" s="131">
        <v>0</v>
      </c>
    </row>
    <row r="28" spans="1:8">
      <c r="A28" s="129" t="s">
        <v>16</v>
      </c>
      <c r="B28" s="132"/>
      <c r="C28" s="99">
        <v>0</v>
      </c>
      <c r="D28" s="99">
        <v>0</v>
      </c>
      <c r="E28" s="99">
        <v>0</v>
      </c>
      <c r="F28" s="99">
        <v>0</v>
      </c>
      <c r="G28" s="131">
        <v>0</v>
      </c>
    </row>
    <row r="29" spans="1:8" ht="13.5" thickBot="1">
      <c r="A29" s="129"/>
      <c r="B29" s="49"/>
      <c r="C29" s="133"/>
      <c r="D29" s="133"/>
      <c r="E29" s="133"/>
      <c r="F29" s="133"/>
      <c r="G29" s="134">
        <f>SUM(G24:G28)</f>
        <v>0</v>
      </c>
      <c r="H29" s="2" t="s">
        <v>17</v>
      </c>
    </row>
    <row r="30" spans="1:8" ht="13.5" thickTop="1">
      <c r="A30" s="126" t="s">
        <v>289</v>
      </c>
      <c r="B30" s="127"/>
      <c r="C30" s="133"/>
      <c r="D30" s="133"/>
      <c r="E30" s="133"/>
      <c r="F30" s="133"/>
      <c r="G30" s="135"/>
    </row>
    <row r="31" spans="1:8">
      <c r="A31" s="129" t="s">
        <v>12</v>
      </c>
      <c r="B31" s="130" t="s">
        <v>306</v>
      </c>
      <c r="C31" s="99">
        <v>0</v>
      </c>
      <c r="D31" s="99">
        <v>0</v>
      </c>
      <c r="E31" s="99">
        <v>0</v>
      </c>
      <c r="F31" s="99">
        <v>0</v>
      </c>
      <c r="G31" s="131">
        <v>0</v>
      </c>
    </row>
    <row r="32" spans="1:8">
      <c r="A32" s="129" t="s">
        <v>13</v>
      </c>
      <c r="B32" s="132"/>
      <c r="C32" s="99">
        <v>0</v>
      </c>
      <c r="D32" s="99">
        <v>0</v>
      </c>
      <c r="E32" s="99">
        <v>0</v>
      </c>
      <c r="F32" s="99">
        <v>0</v>
      </c>
      <c r="G32" s="131">
        <v>0</v>
      </c>
    </row>
    <row r="33" spans="1:7">
      <c r="A33" s="129" t="s">
        <v>14</v>
      </c>
      <c r="B33" s="132"/>
      <c r="C33" s="99">
        <v>0</v>
      </c>
      <c r="D33" s="99">
        <v>0</v>
      </c>
      <c r="E33" s="99">
        <v>0</v>
      </c>
      <c r="F33" s="99">
        <v>0</v>
      </c>
      <c r="G33" s="131">
        <v>0</v>
      </c>
    </row>
    <row r="34" spans="1:7">
      <c r="A34" s="129" t="s">
        <v>15</v>
      </c>
      <c r="B34" s="132"/>
      <c r="C34" s="99">
        <v>0</v>
      </c>
      <c r="D34" s="99">
        <v>0</v>
      </c>
      <c r="E34" s="99">
        <v>0</v>
      </c>
      <c r="F34" s="99">
        <v>0</v>
      </c>
      <c r="G34" s="131">
        <v>0</v>
      </c>
    </row>
    <row r="35" spans="1:7">
      <c r="A35" s="129" t="s">
        <v>16</v>
      </c>
      <c r="B35" s="132"/>
      <c r="C35" s="99">
        <v>0</v>
      </c>
      <c r="D35" s="99">
        <v>0</v>
      </c>
      <c r="E35" s="99">
        <v>0</v>
      </c>
      <c r="F35" s="99">
        <v>0</v>
      </c>
      <c r="G35" s="136">
        <v>0</v>
      </c>
    </row>
    <row r="36" spans="1:7" ht="13.5" thickBot="1">
      <c r="A36" s="129"/>
      <c r="B36" s="49"/>
      <c r="C36" s="133"/>
      <c r="D36" s="133"/>
      <c r="E36" s="133"/>
      <c r="F36" s="133"/>
      <c r="G36" s="137">
        <f>SUM(G31:G35)</f>
        <v>0</v>
      </c>
    </row>
    <row r="37" spans="1:7" ht="13.5" thickTop="1">
      <c r="A37" s="126" t="s">
        <v>293</v>
      </c>
      <c r="B37" s="127"/>
      <c r="C37" s="133"/>
      <c r="D37" s="133"/>
      <c r="E37" s="133"/>
      <c r="F37" s="133"/>
      <c r="G37" s="135"/>
    </row>
    <row r="38" spans="1:7">
      <c r="A38" s="129" t="s">
        <v>12</v>
      </c>
      <c r="B38" s="130" t="s">
        <v>306</v>
      </c>
      <c r="C38" s="99">
        <v>0</v>
      </c>
      <c r="D38" s="99">
        <v>0</v>
      </c>
      <c r="E38" s="99">
        <v>0</v>
      </c>
      <c r="F38" s="99">
        <v>0</v>
      </c>
      <c r="G38" s="131">
        <v>0</v>
      </c>
    </row>
    <row r="39" spans="1:7">
      <c r="A39" s="129" t="s">
        <v>13</v>
      </c>
      <c r="B39" s="132"/>
      <c r="C39" s="99">
        <v>0</v>
      </c>
      <c r="D39" s="99">
        <v>0</v>
      </c>
      <c r="E39" s="99">
        <v>0</v>
      </c>
      <c r="F39" s="99">
        <v>0</v>
      </c>
      <c r="G39" s="131">
        <v>0</v>
      </c>
    </row>
    <row r="40" spans="1:7">
      <c r="A40" s="129" t="s">
        <v>14</v>
      </c>
      <c r="B40" s="132"/>
      <c r="C40" s="99">
        <v>0</v>
      </c>
      <c r="D40" s="99">
        <v>0</v>
      </c>
      <c r="E40" s="99">
        <v>0</v>
      </c>
      <c r="F40" s="99">
        <v>0</v>
      </c>
      <c r="G40" s="131">
        <v>0</v>
      </c>
    </row>
    <row r="41" spans="1:7">
      <c r="A41" s="129" t="s">
        <v>15</v>
      </c>
      <c r="B41" s="132"/>
      <c r="C41" s="99">
        <v>0</v>
      </c>
      <c r="D41" s="99">
        <v>0</v>
      </c>
      <c r="E41" s="99">
        <v>0</v>
      </c>
      <c r="F41" s="99">
        <v>0</v>
      </c>
      <c r="G41" s="131">
        <v>0</v>
      </c>
    </row>
    <row r="42" spans="1:7">
      <c r="A42" s="129" t="s">
        <v>16</v>
      </c>
      <c r="B42" s="132"/>
      <c r="C42" s="99">
        <v>0</v>
      </c>
      <c r="D42" s="99">
        <v>0</v>
      </c>
      <c r="E42" s="99">
        <v>0</v>
      </c>
      <c r="F42" s="99">
        <v>0</v>
      </c>
      <c r="G42" s="131">
        <v>0</v>
      </c>
    </row>
    <row r="43" spans="1:7" ht="13.5" thickBot="1">
      <c r="A43" s="129"/>
      <c r="B43" s="49"/>
      <c r="C43" s="133"/>
      <c r="D43" s="133"/>
      <c r="E43" s="133"/>
      <c r="F43" s="133"/>
      <c r="G43" s="134">
        <f>SUM(G38:G42)</f>
        <v>0</v>
      </c>
    </row>
    <row r="44" spans="1:7" ht="14.25" thickTop="1" thickBot="1">
      <c r="A44" s="120"/>
      <c r="B44" s="138"/>
      <c r="C44" s="139"/>
      <c r="D44" s="139"/>
      <c r="E44" s="139"/>
      <c r="F44" s="139"/>
      <c r="G44" s="140"/>
    </row>
    <row r="45" spans="1:7">
      <c r="C45" s="4"/>
      <c r="D45" s="4"/>
      <c r="E45" s="4"/>
      <c r="F45" s="4"/>
      <c r="G45" s="93"/>
    </row>
    <row r="46" spans="1:7">
      <c r="A46" s="345" t="s">
        <v>18</v>
      </c>
      <c r="B46" s="345"/>
      <c r="C46" s="345"/>
      <c r="D46" s="345"/>
      <c r="E46" s="345"/>
      <c r="F46" s="345"/>
      <c r="G46" s="345"/>
    </row>
    <row r="47" spans="1:7">
      <c r="A47" s="106"/>
      <c r="B47" s="106"/>
      <c r="C47" s="106"/>
      <c r="D47" s="106"/>
      <c r="E47" s="106"/>
      <c r="F47" s="106"/>
      <c r="G47" s="106"/>
    </row>
    <row r="48" spans="1:7">
      <c r="A48" s="345" t="s">
        <v>19</v>
      </c>
      <c r="B48" s="345"/>
      <c r="C48" s="345"/>
      <c r="D48" s="345"/>
      <c r="E48" s="345"/>
      <c r="F48" s="345"/>
      <c r="G48" s="345"/>
    </row>
    <row r="49" spans="1:7">
      <c r="A49" s="106"/>
      <c r="B49" s="106"/>
      <c r="C49" s="106"/>
      <c r="D49" s="106"/>
      <c r="E49" s="106"/>
      <c r="F49" s="106"/>
      <c r="G49" s="106"/>
    </row>
    <row r="50" spans="1:7">
      <c r="A50" s="346" t="s">
        <v>64</v>
      </c>
      <c r="B50" s="346"/>
      <c r="C50" s="346"/>
      <c r="D50" s="346"/>
      <c r="E50" s="346"/>
      <c r="F50" s="346"/>
      <c r="G50" s="346"/>
    </row>
    <row r="51" spans="1:7">
      <c r="A51" s="346"/>
      <c r="B51" s="346"/>
      <c r="C51" s="346"/>
      <c r="D51" s="346"/>
      <c r="E51" s="346"/>
      <c r="F51" s="346"/>
      <c r="G51" s="346"/>
    </row>
    <row r="52" spans="1:7">
      <c r="A52" s="107"/>
      <c r="B52" s="107"/>
      <c r="C52" s="107"/>
      <c r="D52" s="107"/>
      <c r="E52" s="107"/>
      <c r="F52" s="107"/>
      <c r="G52" s="107"/>
    </row>
    <row r="53" spans="1:7">
      <c r="A53" s="345" t="s">
        <v>65</v>
      </c>
      <c r="B53" s="345"/>
      <c r="C53" s="345"/>
      <c r="D53" s="345"/>
      <c r="E53" s="345"/>
      <c r="F53" s="345"/>
      <c r="G53" s="345"/>
    </row>
    <row r="54" spans="1:7">
      <c r="A54" s="106"/>
      <c r="B54" s="106"/>
      <c r="C54" s="106"/>
      <c r="D54" s="106"/>
      <c r="E54" s="106"/>
      <c r="F54" s="106"/>
      <c r="G54" s="106"/>
    </row>
    <row r="55" spans="1:7">
      <c r="A55" s="345" t="s">
        <v>66</v>
      </c>
      <c r="B55" s="345"/>
      <c r="C55" s="345"/>
      <c r="D55" s="345"/>
      <c r="E55" s="345"/>
      <c r="F55" s="345"/>
      <c r="G55" s="345"/>
    </row>
  </sheetData>
  <mergeCells count="5">
    <mergeCell ref="A53:G53"/>
    <mergeCell ref="A55:G55"/>
    <mergeCell ref="A46:G46"/>
    <mergeCell ref="A48:G48"/>
    <mergeCell ref="A50:G51"/>
  </mergeCells>
  <pageMargins left="0.7" right="0.7" top="0.75" bottom="0.75" header="0.3" footer="0.3"/>
  <pageSetup scale="74"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6" tint="0.39997558519241921"/>
    <pageSetUpPr fitToPage="1"/>
  </sheetPr>
  <dimension ref="A1:N92"/>
  <sheetViews>
    <sheetView workbookViewId="0">
      <selection activeCell="A7" sqref="A7"/>
    </sheetView>
  </sheetViews>
  <sheetFormatPr defaultColWidth="9.140625" defaultRowHeight="12.75"/>
  <cols>
    <col min="1" max="1" width="49.140625" style="89" bestFit="1" customWidth="1"/>
    <col min="2" max="2" width="16.42578125" style="198" customWidth="1"/>
    <col min="3" max="3" width="10.42578125" style="89" customWidth="1"/>
    <col min="4" max="4" width="11.85546875" style="89" customWidth="1"/>
    <col min="5" max="5" width="18.7109375" style="89" customWidth="1"/>
    <col min="6" max="6" width="17.28515625" style="89" customWidth="1"/>
    <col min="7" max="7" width="8.85546875" style="89" bestFit="1" customWidth="1"/>
    <col min="8" max="8" width="19.7109375" style="89" customWidth="1"/>
    <col min="9" max="9" width="8.85546875" style="89" bestFit="1" customWidth="1"/>
    <col min="10" max="10" width="19.7109375" style="89" customWidth="1"/>
    <col min="11" max="11" width="8.85546875" style="89" bestFit="1" customWidth="1"/>
    <col min="12" max="12" width="19.7109375" style="89" customWidth="1"/>
    <col min="13" max="13" width="8.85546875" style="89" bestFit="1" customWidth="1"/>
    <col min="14" max="14" width="19.7109375" style="89" customWidth="1"/>
    <col min="15" max="16384" width="9.140625" style="89"/>
  </cols>
  <sheetData>
    <row r="1" spans="1:14">
      <c r="A1" s="94" t="s">
        <v>57</v>
      </c>
      <c r="B1" s="194"/>
      <c r="D1" s="46"/>
    </row>
    <row r="2" spans="1:14" s="2" customFormat="1">
      <c r="A2" s="46" t="str">
        <f>"Solicitation Number: "&amp;Instructions!H9&amp;""</f>
        <v>Solicitation Number: W91CRB-25-R-0002</v>
      </c>
      <c r="B2" s="197"/>
      <c r="D2" s="46"/>
    </row>
    <row r="3" spans="1:14" s="2" customFormat="1">
      <c r="A3" s="46" t="str">
        <f>"Name of Action: "&amp;Instructions!H10</f>
        <v>Name of Action: Force Development</v>
      </c>
      <c r="B3" s="197"/>
      <c r="D3" s="46"/>
    </row>
    <row r="4" spans="1:14" s="2" customFormat="1">
      <c r="A4" s="94" t="str">
        <f>"Prime Contractor/Subcontractor Name/Division: "&amp;Instructions!H15</f>
        <v xml:space="preserve">Prime Contractor/Subcontractor Name/Division: </v>
      </c>
      <c r="B4" s="194"/>
      <c r="D4" s="94"/>
    </row>
    <row r="5" spans="1:14" s="2" customFormat="1">
      <c r="A5" s="94" t="str">
        <f>"Period of Performance: "&amp;Instructions!H11</f>
        <v xml:space="preserve">Period of Performance: </v>
      </c>
      <c r="B5" s="194"/>
      <c r="D5" s="94"/>
    </row>
    <row r="6" spans="1:14" s="2" customFormat="1">
      <c r="A6" s="94" t="str">
        <f>"Date of Proposal:"&amp;IF(ISBLANK(Instructions!H18)," TBD",(TEXT(Instructions!H18," mm/dd/yyyy")))</f>
        <v>Date of Proposal: TBD</v>
      </c>
      <c r="B6" s="194"/>
      <c r="D6" s="94"/>
      <c r="F6" s="279"/>
    </row>
    <row r="7" spans="1:14" ht="13.5" thickBot="1"/>
    <row r="8" spans="1:14" ht="26.25" thickBot="1">
      <c r="A8" s="281"/>
      <c r="B8" s="282"/>
      <c r="C8" s="282"/>
      <c r="D8" s="282"/>
      <c r="E8" s="282"/>
      <c r="F8" s="280" t="s">
        <v>307</v>
      </c>
      <c r="G8" s="351" t="s">
        <v>281</v>
      </c>
      <c r="H8" s="352"/>
      <c r="I8" s="349" t="s">
        <v>285</v>
      </c>
      <c r="J8" s="350"/>
      <c r="K8" s="349" t="s">
        <v>289</v>
      </c>
      <c r="L8" s="350"/>
      <c r="M8" s="347" t="s">
        <v>308</v>
      </c>
      <c r="N8" s="348"/>
    </row>
    <row r="9" spans="1:14" s="179" customFormat="1" ht="26.25" thickBot="1">
      <c r="A9" s="176" t="s">
        <v>58</v>
      </c>
      <c r="B9" s="177" t="s">
        <v>88</v>
      </c>
      <c r="C9" s="175" t="s">
        <v>83</v>
      </c>
      <c r="D9" s="175" t="s">
        <v>84</v>
      </c>
      <c r="E9" s="177" t="s">
        <v>309</v>
      </c>
      <c r="F9" s="192" t="s">
        <v>68</v>
      </c>
      <c r="G9" s="175" t="s">
        <v>69</v>
      </c>
      <c r="H9" s="178" t="s">
        <v>68</v>
      </c>
      <c r="I9" s="176" t="s">
        <v>69</v>
      </c>
      <c r="J9" s="178" t="s">
        <v>68</v>
      </c>
      <c r="K9" s="176" t="s">
        <v>69</v>
      </c>
      <c r="L9" s="178" t="s">
        <v>68</v>
      </c>
      <c r="M9" s="176" t="s">
        <v>69</v>
      </c>
      <c r="N9" s="178" t="s">
        <v>68</v>
      </c>
    </row>
    <row r="10" spans="1:14" s="147" customFormat="1">
      <c r="A10" s="182"/>
      <c r="B10" s="181"/>
      <c r="C10" s="181"/>
      <c r="D10" s="181"/>
      <c r="E10" s="181"/>
      <c r="F10" s="193"/>
      <c r="G10" s="190"/>
      <c r="H10" s="174"/>
      <c r="I10" s="180"/>
      <c r="J10" s="174"/>
      <c r="K10" s="180"/>
      <c r="L10" s="174"/>
      <c r="M10" s="180"/>
      <c r="N10" s="174"/>
    </row>
    <row r="11" spans="1:14">
      <c r="A11" s="296" t="s">
        <v>196</v>
      </c>
      <c r="B11" s="204"/>
      <c r="C11" s="204"/>
      <c r="D11" s="205"/>
      <c r="E11" s="297"/>
      <c r="F11" s="295"/>
      <c r="G11" s="302"/>
      <c r="H11" s="283">
        <f t="shared" ref="H11:H17" si="0">IFERROR((ROUND(F11*(1+G11),2)),0)</f>
        <v>0</v>
      </c>
      <c r="I11" s="302"/>
      <c r="J11" s="283">
        <f t="shared" ref="J11:J17" si="1">IFERROR((ROUND(H11*(1+I11),2)),0)</f>
        <v>0</v>
      </c>
      <c r="K11" s="302"/>
      <c r="L11" s="283">
        <f t="shared" ref="L11:L17" si="2">IFERROR((ROUND(J11*(1+K11),2)),0)</f>
        <v>0</v>
      </c>
      <c r="M11" s="302"/>
      <c r="N11" s="283">
        <f t="shared" ref="N11:N17" si="3">IFERROR((ROUND(L11*(1+M11),2)),0)</f>
        <v>0</v>
      </c>
    </row>
    <row r="12" spans="1:14">
      <c r="A12" s="296" t="s">
        <v>245</v>
      </c>
      <c r="B12" s="204"/>
      <c r="C12" s="204"/>
      <c r="D12" s="205"/>
      <c r="E12" s="297"/>
      <c r="F12" s="295"/>
      <c r="G12" s="302"/>
      <c r="H12" s="283">
        <f t="shared" si="0"/>
        <v>0</v>
      </c>
      <c r="I12" s="302"/>
      <c r="J12" s="283">
        <f t="shared" si="1"/>
        <v>0</v>
      </c>
      <c r="K12" s="302"/>
      <c r="L12" s="283">
        <f t="shared" si="2"/>
        <v>0</v>
      </c>
      <c r="M12" s="302"/>
      <c r="N12" s="283">
        <f t="shared" si="3"/>
        <v>0</v>
      </c>
    </row>
    <row r="13" spans="1:14">
      <c r="A13" s="296" t="s">
        <v>246</v>
      </c>
      <c r="B13" s="204"/>
      <c r="C13" s="204"/>
      <c r="D13" s="205"/>
      <c r="E13" s="297"/>
      <c r="F13" s="295"/>
      <c r="G13" s="302"/>
      <c r="H13" s="283">
        <f t="shared" si="0"/>
        <v>0</v>
      </c>
      <c r="I13" s="302"/>
      <c r="J13" s="283">
        <f t="shared" si="1"/>
        <v>0</v>
      </c>
      <c r="K13" s="302"/>
      <c r="L13" s="283">
        <f t="shared" si="2"/>
        <v>0</v>
      </c>
      <c r="M13" s="302"/>
      <c r="N13" s="283">
        <f t="shared" si="3"/>
        <v>0</v>
      </c>
    </row>
    <row r="14" spans="1:14">
      <c r="A14" s="296" t="s">
        <v>247</v>
      </c>
      <c r="B14" s="204"/>
      <c r="C14" s="204"/>
      <c r="D14" s="205"/>
      <c r="E14" s="297"/>
      <c r="F14" s="295"/>
      <c r="G14" s="302"/>
      <c r="H14" s="283">
        <f t="shared" si="0"/>
        <v>0</v>
      </c>
      <c r="I14" s="302"/>
      <c r="J14" s="283">
        <f t="shared" si="1"/>
        <v>0</v>
      </c>
      <c r="K14" s="302"/>
      <c r="L14" s="283">
        <f t="shared" si="2"/>
        <v>0</v>
      </c>
      <c r="M14" s="302"/>
      <c r="N14" s="283">
        <f t="shared" si="3"/>
        <v>0</v>
      </c>
    </row>
    <row r="15" spans="1:14">
      <c r="A15" s="296" t="s">
        <v>248</v>
      </c>
      <c r="B15" s="204"/>
      <c r="C15" s="204"/>
      <c r="D15" s="205"/>
      <c r="E15" s="297"/>
      <c r="F15" s="295"/>
      <c r="G15" s="302"/>
      <c r="H15" s="283">
        <f t="shared" si="0"/>
        <v>0</v>
      </c>
      <c r="I15" s="302"/>
      <c r="J15" s="283">
        <f t="shared" si="1"/>
        <v>0</v>
      </c>
      <c r="K15" s="302"/>
      <c r="L15" s="283">
        <f t="shared" si="2"/>
        <v>0</v>
      </c>
      <c r="M15" s="302"/>
      <c r="N15" s="283">
        <f t="shared" si="3"/>
        <v>0</v>
      </c>
    </row>
    <row r="16" spans="1:14">
      <c r="A16" s="296" t="s">
        <v>249</v>
      </c>
      <c r="B16" s="204"/>
      <c r="C16" s="204"/>
      <c r="D16" s="205"/>
      <c r="E16" s="297"/>
      <c r="F16" s="295"/>
      <c r="G16" s="302"/>
      <c r="H16" s="283">
        <f t="shared" si="0"/>
        <v>0</v>
      </c>
      <c r="I16" s="302"/>
      <c r="J16" s="283">
        <f t="shared" si="1"/>
        <v>0</v>
      </c>
      <c r="K16" s="302"/>
      <c r="L16" s="283">
        <f t="shared" si="2"/>
        <v>0</v>
      </c>
      <c r="M16" s="302"/>
      <c r="N16" s="283">
        <f t="shared" si="3"/>
        <v>0</v>
      </c>
    </row>
    <row r="17" spans="1:14">
      <c r="A17" s="296" t="s">
        <v>250</v>
      </c>
      <c r="B17" s="204"/>
      <c r="C17" s="204"/>
      <c r="D17" s="205"/>
      <c r="E17" s="297"/>
      <c r="F17" s="295"/>
      <c r="G17" s="302"/>
      <c r="H17" s="283">
        <f t="shared" si="0"/>
        <v>0</v>
      </c>
      <c r="I17" s="302"/>
      <c r="J17" s="283">
        <f t="shared" si="1"/>
        <v>0</v>
      </c>
      <c r="K17" s="302"/>
      <c r="L17" s="283">
        <f t="shared" si="2"/>
        <v>0</v>
      </c>
      <c r="M17" s="302"/>
      <c r="N17" s="283">
        <f t="shared" si="3"/>
        <v>0</v>
      </c>
    </row>
    <row r="18" spans="1:14">
      <c r="A18" s="203" t="s">
        <v>251</v>
      </c>
      <c r="B18" s="204"/>
      <c r="C18" s="204"/>
      <c r="D18" s="205"/>
      <c r="E18" s="191"/>
      <c r="F18" s="295"/>
      <c r="G18" s="302"/>
      <c r="H18" s="283">
        <f t="shared" ref="H18:H24" si="4">IFERROR((ROUND(F18*(1+G18),2)),0)</f>
        <v>0</v>
      </c>
      <c r="I18" s="302"/>
      <c r="J18" s="283">
        <f t="shared" ref="J18:J24" si="5">IFERROR((ROUND(H18*(1+I18),2)),0)</f>
        <v>0</v>
      </c>
      <c r="K18" s="302"/>
      <c r="L18" s="283">
        <f t="shared" ref="L18:L24" si="6">IFERROR((ROUND(J18*(1+K18),2)),0)</f>
        <v>0</v>
      </c>
      <c r="M18" s="302"/>
      <c r="N18" s="283">
        <f t="shared" ref="N18:N24" si="7">IFERROR((ROUND(L18*(1+M18),2)),0)</f>
        <v>0</v>
      </c>
    </row>
    <row r="19" spans="1:14">
      <c r="A19" s="203"/>
      <c r="B19" s="204"/>
      <c r="C19" s="206"/>
      <c r="D19" s="207"/>
      <c r="E19" s="191"/>
      <c r="F19" s="295"/>
      <c r="G19" s="302"/>
      <c r="H19" s="283">
        <f t="shared" si="4"/>
        <v>0</v>
      </c>
      <c r="I19" s="302"/>
      <c r="J19" s="283">
        <f t="shared" si="5"/>
        <v>0</v>
      </c>
      <c r="K19" s="302"/>
      <c r="L19" s="283">
        <f t="shared" si="6"/>
        <v>0</v>
      </c>
      <c r="M19" s="302"/>
      <c r="N19" s="283">
        <f t="shared" si="7"/>
        <v>0</v>
      </c>
    </row>
    <row r="20" spans="1:14">
      <c r="A20" s="203"/>
      <c r="B20" s="204"/>
      <c r="C20" s="206"/>
      <c r="D20" s="207"/>
      <c r="E20" s="191"/>
      <c r="F20" s="295"/>
      <c r="G20" s="302"/>
      <c r="H20" s="283">
        <f t="shared" si="4"/>
        <v>0</v>
      </c>
      <c r="I20" s="302"/>
      <c r="J20" s="283">
        <f t="shared" si="5"/>
        <v>0</v>
      </c>
      <c r="K20" s="302"/>
      <c r="L20" s="283">
        <f t="shared" si="6"/>
        <v>0</v>
      </c>
      <c r="M20" s="302"/>
      <c r="N20" s="283">
        <f t="shared" si="7"/>
        <v>0</v>
      </c>
    </row>
    <row r="21" spans="1:14">
      <c r="A21" s="203"/>
      <c r="B21" s="204"/>
      <c r="C21" s="206"/>
      <c r="D21" s="207"/>
      <c r="E21" s="191"/>
      <c r="F21" s="295"/>
      <c r="G21" s="302"/>
      <c r="H21" s="283">
        <f t="shared" si="4"/>
        <v>0</v>
      </c>
      <c r="I21" s="302"/>
      <c r="J21" s="283">
        <f t="shared" si="5"/>
        <v>0</v>
      </c>
      <c r="K21" s="302"/>
      <c r="L21" s="283">
        <f t="shared" si="6"/>
        <v>0</v>
      </c>
      <c r="M21" s="302"/>
      <c r="N21" s="283">
        <f t="shared" si="7"/>
        <v>0</v>
      </c>
    </row>
    <row r="22" spans="1:14">
      <c r="A22" s="203"/>
      <c r="B22" s="204"/>
      <c r="C22" s="206"/>
      <c r="D22" s="207"/>
      <c r="E22" s="191"/>
      <c r="F22" s="295"/>
      <c r="G22" s="302"/>
      <c r="H22" s="283">
        <f t="shared" si="4"/>
        <v>0</v>
      </c>
      <c r="I22" s="302"/>
      <c r="J22" s="283">
        <f t="shared" si="5"/>
        <v>0</v>
      </c>
      <c r="K22" s="302"/>
      <c r="L22" s="283">
        <f t="shared" si="6"/>
        <v>0</v>
      </c>
      <c r="M22" s="302"/>
      <c r="N22" s="283">
        <f t="shared" si="7"/>
        <v>0</v>
      </c>
    </row>
    <row r="23" spans="1:14">
      <c r="A23" s="203"/>
      <c r="B23" s="204"/>
      <c r="C23" s="206"/>
      <c r="D23" s="207"/>
      <c r="E23" s="191"/>
      <c r="F23" s="295"/>
      <c r="G23" s="302"/>
      <c r="H23" s="283">
        <f t="shared" si="4"/>
        <v>0</v>
      </c>
      <c r="I23" s="302"/>
      <c r="J23" s="283">
        <f t="shared" si="5"/>
        <v>0</v>
      </c>
      <c r="K23" s="302"/>
      <c r="L23" s="283">
        <f t="shared" si="6"/>
        <v>0</v>
      </c>
      <c r="M23" s="302"/>
      <c r="N23" s="283">
        <f t="shared" si="7"/>
        <v>0</v>
      </c>
    </row>
    <row r="24" spans="1:14">
      <c r="A24" s="203"/>
      <c r="B24" s="204"/>
      <c r="C24" s="206"/>
      <c r="D24" s="207"/>
      <c r="E24" s="191"/>
      <c r="F24" s="295"/>
      <c r="G24" s="302"/>
      <c r="H24" s="283">
        <f t="shared" si="4"/>
        <v>0</v>
      </c>
      <c r="I24" s="302"/>
      <c r="J24" s="283">
        <f t="shared" si="5"/>
        <v>0</v>
      </c>
      <c r="K24" s="302"/>
      <c r="L24" s="283">
        <f t="shared" si="6"/>
        <v>0</v>
      </c>
      <c r="M24" s="302"/>
      <c r="N24" s="283">
        <f t="shared" si="7"/>
        <v>0</v>
      </c>
    </row>
    <row r="25" spans="1:14">
      <c r="B25" s="89"/>
    </row>
    <row r="26" spans="1:14">
      <c r="B26" s="89"/>
    </row>
    <row r="27" spans="1:14">
      <c r="B27" s="89"/>
    </row>
    <row r="28" spans="1:14">
      <c r="B28" s="89"/>
    </row>
    <row r="29" spans="1:14">
      <c r="B29" s="89"/>
    </row>
    <row r="30" spans="1:14">
      <c r="B30" s="89"/>
    </row>
    <row r="31" spans="1:14">
      <c r="B31" s="89"/>
    </row>
    <row r="32" spans="1:14">
      <c r="B32" s="89"/>
    </row>
    <row r="33" spans="2:9">
      <c r="B33" s="89"/>
    </row>
    <row r="34" spans="2:9">
      <c r="B34" s="89"/>
    </row>
    <row r="35" spans="2:9">
      <c r="D35" s="183"/>
      <c r="E35" s="183"/>
      <c r="F35" s="183"/>
      <c r="G35" s="183"/>
      <c r="H35" s="183"/>
      <c r="I35" s="183"/>
    </row>
    <row r="36" spans="2:9">
      <c r="D36" s="183"/>
      <c r="E36" s="183"/>
      <c r="F36" s="183"/>
      <c r="G36" s="183"/>
      <c r="H36" s="183"/>
      <c r="I36" s="183"/>
    </row>
    <row r="37" spans="2:9">
      <c r="D37" s="183"/>
      <c r="E37" s="183"/>
      <c r="F37" s="183"/>
      <c r="G37" s="183"/>
      <c r="H37" s="183"/>
      <c r="I37" s="183"/>
    </row>
    <row r="38" spans="2:9">
      <c r="D38" s="183"/>
      <c r="E38" s="183"/>
      <c r="F38" s="183"/>
      <c r="G38" s="183"/>
      <c r="H38" s="183"/>
      <c r="I38" s="183"/>
    </row>
    <row r="39" spans="2:9">
      <c r="D39" s="183"/>
      <c r="E39" s="183"/>
      <c r="F39" s="183"/>
      <c r="G39" s="183"/>
      <c r="H39" s="183"/>
      <c r="I39" s="183"/>
    </row>
    <row r="40" spans="2:9">
      <c r="D40" s="183"/>
      <c r="E40" s="183"/>
      <c r="F40" s="183"/>
      <c r="G40" s="183"/>
      <c r="H40" s="183"/>
      <c r="I40" s="183"/>
    </row>
    <row r="41" spans="2:9">
      <c r="D41" s="183"/>
      <c r="E41" s="183"/>
      <c r="F41" s="183"/>
      <c r="G41" s="183"/>
      <c r="H41" s="183"/>
      <c r="I41" s="183"/>
    </row>
    <row r="42" spans="2:9">
      <c r="D42" s="183"/>
      <c r="E42" s="183"/>
      <c r="F42" s="183"/>
      <c r="G42" s="183"/>
      <c r="H42" s="183"/>
      <c r="I42" s="183"/>
    </row>
    <row r="43" spans="2:9">
      <c r="D43" s="183"/>
      <c r="E43" s="183"/>
      <c r="F43" s="183"/>
      <c r="G43" s="183"/>
      <c r="H43" s="183"/>
      <c r="I43" s="183"/>
    </row>
    <row r="44" spans="2:9">
      <c r="D44" s="183"/>
      <c r="E44" s="183"/>
      <c r="F44" s="183"/>
      <c r="G44" s="183"/>
      <c r="H44" s="183"/>
      <c r="I44" s="183"/>
    </row>
    <row r="45" spans="2:9">
      <c r="D45" s="183"/>
      <c r="E45" s="183"/>
      <c r="F45" s="183"/>
      <c r="G45" s="183"/>
      <c r="H45" s="183"/>
      <c r="I45" s="183"/>
    </row>
    <row r="46" spans="2:9">
      <c r="D46" s="183"/>
      <c r="E46" s="183"/>
      <c r="F46" s="183"/>
      <c r="G46" s="183"/>
      <c r="H46" s="183"/>
      <c r="I46" s="183"/>
    </row>
    <row r="47" spans="2:9">
      <c r="D47" s="183"/>
      <c r="E47" s="183"/>
      <c r="F47" s="183"/>
      <c r="G47" s="183"/>
      <c r="H47" s="183"/>
      <c r="I47" s="183"/>
    </row>
    <row r="48" spans="2:9">
      <c r="D48" s="183"/>
      <c r="E48" s="183"/>
      <c r="F48" s="183"/>
      <c r="G48" s="183"/>
      <c r="H48" s="183"/>
      <c r="I48" s="183"/>
    </row>
    <row r="49" spans="4:9">
      <c r="D49" s="183"/>
      <c r="E49" s="183"/>
      <c r="F49" s="183"/>
      <c r="G49" s="183"/>
      <c r="H49" s="183"/>
      <c r="I49" s="183"/>
    </row>
    <row r="50" spans="4:9">
      <c r="D50" s="183"/>
      <c r="E50" s="183"/>
      <c r="F50" s="183"/>
      <c r="G50" s="183"/>
      <c r="H50" s="183"/>
      <c r="I50" s="183"/>
    </row>
    <row r="51" spans="4:9">
      <c r="D51" s="183"/>
      <c r="E51" s="183"/>
      <c r="F51" s="183"/>
      <c r="G51" s="183"/>
      <c r="H51" s="183"/>
      <c r="I51" s="183"/>
    </row>
    <row r="52" spans="4:9">
      <c r="D52" s="183"/>
      <c r="E52" s="183"/>
      <c r="F52" s="183"/>
      <c r="G52" s="183"/>
      <c r="H52" s="183"/>
      <c r="I52" s="183"/>
    </row>
    <row r="53" spans="4:9">
      <c r="D53" s="183"/>
      <c r="E53" s="183"/>
      <c r="F53" s="183"/>
      <c r="G53" s="183"/>
      <c r="H53" s="183"/>
      <c r="I53" s="183"/>
    </row>
    <row r="54" spans="4:9">
      <c r="D54" s="183"/>
      <c r="E54" s="183"/>
      <c r="F54" s="183"/>
      <c r="G54" s="183"/>
      <c r="H54" s="183"/>
      <c r="I54" s="183"/>
    </row>
    <row r="55" spans="4:9">
      <c r="D55" s="183"/>
      <c r="E55" s="183"/>
      <c r="F55" s="183"/>
      <c r="G55" s="183"/>
      <c r="H55" s="183"/>
      <c r="I55" s="183"/>
    </row>
    <row r="56" spans="4:9">
      <c r="D56" s="183"/>
      <c r="E56" s="183"/>
      <c r="F56" s="183"/>
      <c r="G56" s="183"/>
      <c r="H56" s="183"/>
      <c r="I56" s="183"/>
    </row>
    <row r="57" spans="4:9">
      <c r="D57" s="183"/>
      <c r="E57" s="183"/>
      <c r="F57" s="183"/>
      <c r="G57" s="183"/>
      <c r="H57" s="183"/>
      <c r="I57" s="183"/>
    </row>
    <row r="58" spans="4:9">
      <c r="D58" s="183"/>
      <c r="E58" s="183"/>
      <c r="F58" s="183"/>
      <c r="G58" s="183"/>
      <c r="H58" s="183"/>
      <c r="I58" s="183"/>
    </row>
    <row r="59" spans="4:9">
      <c r="D59" s="183"/>
      <c r="E59" s="183"/>
      <c r="F59" s="183"/>
      <c r="G59" s="183"/>
      <c r="H59" s="183"/>
      <c r="I59" s="183"/>
    </row>
    <row r="60" spans="4:9">
      <c r="F60" s="183"/>
    </row>
    <row r="61" spans="4:9">
      <c r="F61" s="183"/>
    </row>
    <row r="62" spans="4:9">
      <c r="F62" s="183"/>
    </row>
    <row r="63" spans="4:9">
      <c r="F63" s="183"/>
    </row>
    <row r="64" spans="4:9">
      <c r="F64" s="183"/>
    </row>
    <row r="65" spans="6:6">
      <c r="F65" s="183"/>
    </row>
    <row r="66" spans="6:6">
      <c r="F66" s="183"/>
    </row>
    <row r="67" spans="6:6">
      <c r="F67" s="183"/>
    </row>
    <row r="68" spans="6:6">
      <c r="F68" s="183"/>
    </row>
    <row r="69" spans="6:6">
      <c r="F69" s="183"/>
    </row>
    <row r="70" spans="6:6">
      <c r="F70" s="183"/>
    </row>
    <row r="71" spans="6:6">
      <c r="F71" s="183"/>
    </row>
    <row r="72" spans="6:6">
      <c r="F72" s="183"/>
    </row>
    <row r="73" spans="6:6">
      <c r="F73" s="183"/>
    </row>
    <row r="74" spans="6:6">
      <c r="F74" s="183"/>
    </row>
    <row r="75" spans="6:6">
      <c r="F75" s="183"/>
    </row>
    <row r="76" spans="6:6">
      <c r="F76" s="183"/>
    </row>
    <row r="77" spans="6:6">
      <c r="F77" s="183"/>
    </row>
    <row r="78" spans="6:6">
      <c r="F78" s="183"/>
    </row>
    <row r="79" spans="6:6">
      <c r="F79" s="183"/>
    </row>
    <row r="80" spans="6:6">
      <c r="F80" s="183"/>
    </row>
    <row r="81" spans="6:6">
      <c r="F81" s="183"/>
    </row>
    <row r="82" spans="6:6">
      <c r="F82" s="183"/>
    </row>
    <row r="83" spans="6:6">
      <c r="F83" s="183"/>
    </row>
    <row r="84" spans="6:6">
      <c r="F84" s="183"/>
    </row>
    <row r="85" spans="6:6">
      <c r="F85" s="183"/>
    </row>
    <row r="86" spans="6:6">
      <c r="F86" s="183"/>
    </row>
    <row r="87" spans="6:6">
      <c r="F87" s="183"/>
    </row>
    <row r="88" spans="6:6">
      <c r="F88" s="183"/>
    </row>
    <row r="89" spans="6:6">
      <c r="F89" s="183"/>
    </row>
    <row r="90" spans="6:6">
      <c r="F90" s="183"/>
    </row>
    <row r="91" spans="6:6">
      <c r="F91" s="183"/>
    </row>
    <row r="92" spans="6:6">
      <c r="F92" s="183"/>
    </row>
  </sheetData>
  <mergeCells count="4">
    <mergeCell ref="M8:N8"/>
    <mergeCell ref="I8:J8"/>
    <mergeCell ref="K8:L8"/>
    <mergeCell ref="G8:H8"/>
  </mergeCells>
  <phoneticPr fontId="76" type="noConversion"/>
  <pageMargins left="0.7" right="0.7" top="0.75" bottom="0.75" header="0.3" footer="0.3"/>
  <pageSetup paperSize="5" scale="44"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theme="6" tint="0.39997558519241921"/>
  </sheetPr>
  <dimension ref="A1:U130"/>
  <sheetViews>
    <sheetView workbookViewId="0"/>
  </sheetViews>
  <sheetFormatPr defaultColWidth="9.140625" defaultRowHeight="12.75"/>
  <cols>
    <col min="1" max="1" width="18.28515625" style="12" customWidth="1"/>
    <col min="2" max="2" width="12.85546875" style="105" customWidth="1"/>
    <col min="3" max="3" width="39.5703125" style="16" customWidth="1"/>
    <col min="4" max="4" width="15.7109375" style="13" customWidth="1"/>
    <col min="5" max="5" width="15.7109375" style="9" customWidth="1"/>
    <col min="6" max="6" width="7.140625" style="10" bestFit="1" customWidth="1"/>
    <col min="7" max="7" width="13.85546875" style="10" bestFit="1" customWidth="1"/>
    <col min="8" max="8" width="15.7109375" style="10" customWidth="1"/>
    <col min="9" max="9" width="15.7109375" style="9" customWidth="1"/>
    <col min="10" max="10" width="16" style="9" bestFit="1" customWidth="1"/>
    <col min="11" max="11" width="15.7109375" style="9" bestFit="1" customWidth="1"/>
    <col min="12" max="12" width="16.7109375" style="12" customWidth="1"/>
    <col min="13" max="13" width="13.5703125" style="12" bestFit="1" customWidth="1"/>
    <col min="14" max="14" width="15.7109375" style="12" customWidth="1"/>
    <col min="15" max="15" width="13.5703125" style="12" bestFit="1" customWidth="1"/>
    <col min="16" max="17" width="15.7109375" style="12" customWidth="1"/>
    <col min="18" max="18" width="9.42578125" style="12" bestFit="1" customWidth="1"/>
    <col min="19" max="19" width="10.5703125" style="12" bestFit="1" customWidth="1"/>
    <col min="20" max="20" width="9.140625" style="12"/>
    <col min="21" max="21" width="9.85546875" style="12" bestFit="1" customWidth="1"/>
    <col min="22" max="16384" width="9.140625" style="12"/>
  </cols>
  <sheetData>
    <row r="1" spans="1:19">
      <c r="A1" s="94" t="s">
        <v>22</v>
      </c>
      <c r="B1" s="194"/>
      <c r="D1" s="8"/>
      <c r="K1" s="11"/>
    </row>
    <row r="2" spans="1:19">
      <c r="A2" s="46" t="str">
        <f>"Solicitation Number: "&amp;Instructions!H9&amp;""</f>
        <v>Solicitation Number: W91CRB-25-R-0002</v>
      </c>
      <c r="B2" s="189"/>
      <c r="K2" s="14"/>
    </row>
    <row r="3" spans="1:19">
      <c r="A3" s="46" t="str">
        <f>"Name of Action: "&amp;Instructions!H10</f>
        <v>Name of Action: Force Development</v>
      </c>
      <c r="B3" s="189"/>
      <c r="K3" s="14"/>
    </row>
    <row r="4" spans="1:19">
      <c r="A4" s="94" t="str">
        <f>"Prime Contractor/Subcontractor Name/Division: "&amp;Instructions!H15</f>
        <v xml:space="preserve">Prime Contractor/Subcontractor Name/Division: </v>
      </c>
      <c r="B4" s="194"/>
      <c r="K4" s="14"/>
    </row>
    <row r="5" spans="1:19">
      <c r="A5" s="94" t="str">
        <f>"Period of Performance: "&amp;Instructions!H11</f>
        <v xml:space="preserve">Period of Performance: </v>
      </c>
      <c r="B5" s="194"/>
      <c r="D5" s="12"/>
      <c r="K5" s="15"/>
    </row>
    <row r="6" spans="1:19">
      <c r="A6" s="94" t="str">
        <f>"Date of Proposal:"&amp;IF(ISBLANK(Instructions!H18)," TBD",(TEXT(Instructions!H18," mm/dd/yyyy")))</f>
        <v>Date of Proposal: TBD</v>
      </c>
      <c r="B6" s="194"/>
      <c r="D6" s="12"/>
      <c r="K6" s="15"/>
    </row>
    <row r="7" spans="1:19">
      <c r="A7" s="94" t="str">
        <f>"Annual Productive Hours: "&amp;AnnualProductiveHours</f>
        <v>Annual Productive Hours: 1920</v>
      </c>
      <c r="B7" s="194"/>
      <c r="D7" s="17"/>
      <c r="K7" s="14"/>
    </row>
    <row r="8" spans="1:19" s="22" customFormat="1">
      <c r="E8" s="18"/>
      <c r="F8" s="19"/>
      <c r="G8" s="19"/>
      <c r="H8" s="19"/>
      <c r="I8" s="20"/>
      <c r="J8" s="20"/>
      <c r="K8" s="18"/>
      <c r="L8" s="20"/>
      <c r="M8" s="21"/>
      <c r="N8" s="20"/>
      <c r="O8" s="21"/>
    </row>
    <row r="9" spans="1:19" s="22" customFormat="1">
      <c r="C9" s="23"/>
      <c r="D9" s="24"/>
      <c r="E9" s="18"/>
      <c r="F9" s="19"/>
      <c r="G9" s="356" t="s">
        <v>1</v>
      </c>
      <c r="H9" s="357"/>
      <c r="I9" s="353" t="s">
        <v>29</v>
      </c>
      <c r="J9" s="354"/>
      <c r="K9" s="354"/>
      <c r="L9" s="354"/>
      <c r="M9" s="355"/>
      <c r="N9" s="20"/>
      <c r="O9" s="21"/>
    </row>
    <row r="10" spans="1:19" s="22" customFormat="1">
      <c r="C10" s="35" t="s">
        <v>252</v>
      </c>
      <c r="D10" s="25"/>
      <c r="E10" s="26"/>
      <c r="F10" s="27"/>
      <c r="G10" s="358"/>
      <c r="H10" s="359"/>
      <c r="I10" s="91">
        <f>'Indirect Rate Summary'!C10</f>
        <v>0</v>
      </c>
      <c r="J10" s="28">
        <f>'Indirect Rate Summary'!D10</f>
        <v>0</v>
      </c>
      <c r="K10" s="28"/>
      <c r="L10" s="29"/>
      <c r="M10" s="95">
        <f>'Indirect Rate Summary'!E10</f>
        <v>0</v>
      </c>
      <c r="N10" s="30"/>
      <c r="O10" s="92">
        <f>'Indirect Rate Summary'!F10</f>
        <v>0</v>
      </c>
    </row>
    <row r="11" spans="1:19" s="143" customFormat="1" ht="89.25">
      <c r="A11" s="79" t="s">
        <v>89</v>
      </c>
      <c r="B11" s="79" t="s">
        <v>90</v>
      </c>
      <c r="C11" s="79" t="s">
        <v>91</v>
      </c>
      <c r="D11" s="79" t="s">
        <v>92</v>
      </c>
      <c r="E11" s="79" t="s">
        <v>93</v>
      </c>
      <c r="F11" s="80" t="s">
        <v>94</v>
      </c>
      <c r="G11" s="141" t="s">
        <v>95</v>
      </c>
      <c r="H11" s="142" t="s">
        <v>96</v>
      </c>
      <c r="I11" s="81" t="s">
        <v>97</v>
      </c>
      <c r="J11" s="81" t="s">
        <v>98</v>
      </c>
      <c r="K11" s="81" t="s">
        <v>99</v>
      </c>
      <c r="L11" s="81" t="s">
        <v>36</v>
      </c>
      <c r="M11" s="81" t="s">
        <v>100</v>
      </c>
      <c r="N11" s="81" t="s">
        <v>24</v>
      </c>
      <c r="O11" s="81" t="s">
        <v>30</v>
      </c>
      <c r="P11" s="81" t="s">
        <v>27</v>
      </c>
      <c r="Q11" s="81" t="s">
        <v>37</v>
      </c>
      <c r="R11" s="81" t="s">
        <v>80</v>
      </c>
    </row>
    <row r="12" spans="1:19" s="82" customFormat="1" ht="13.5" thickBot="1">
      <c r="A12" s="31" t="s">
        <v>8</v>
      </c>
      <c r="B12" s="31" t="s">
        <v>9</v>
      </c>
      <c r="C12" s="31" t="s">
        <v>10</v>
      </c>
      <c r="D12" s="31" t="s">
        <v>32</v>
      </c>
      <c r="E12" s="31" t="s">
        <v>33</v>
      </c>
      <c r="F12" s="31" t="s">
        <v>34</v>
      </c>
      <c r="G12" s="36" t="s">
        <v>39</v>
      </c>
      <c r="H12" s="31" t="s">
        <v>35</v>
      </c>
      <c r="I12" s="32" t="s">
        <v>38</v>
      </c>
      <c r="J12" s="32" t="s">
        <v>67</v>
      </c>
      <c r="K12" s="32" t="s">
        <v>102</v>
      </c>
      <c r="L12" s="32" t="s">
        <v>103</v>
      </c>
      <c r="M12" s="32" t="s">
        <v>104</v>
      </c>
      <c r="N12" s="32" t="s">
        <v>105</v>
      </c>
      <c r="O12" s="32" t="s">
        <v>106</v>
      </c>
      <c r="P12" s="32" t="s">
        <v>107</v>
      </c>
      <c r="Q12" s="32" t="s">
        <v>108</v>
      </c>
      <c r="R12" s="32" t="s">
        <v>81</v>
      </c>
    </row>
    <row r="13" spans="1:19" s="82" customFormat="1">
      <c r="A13" s="168" t="str">
        <f>IF('Direct Labor Rate Schedule'!$A$10="","",'Direct Labor Rate Schedule'!$A$10)</f>
        <v/>
      </c>
      <c r="B13" s="195"/>
      <c r="C13" s="169"/>
      <c r="D13" s="149"/>
      <c r="E13" s="149"/>
      <c r="F13" s="150"/>
      <c r="G13" s="151"/>
      <c r="H13" s="152"/>
      <c r="I13" s="153"/>
      <c r="J13" s="153"/>
      <c r="K13" s="154"/>
      <c r="L13" s="155"/>
      <c r="M13" s="155"/>
      <c r="N13" s="156"/>
      <c r="O13" s="155"/>
      <c r="P13" s="155"/>
      <c r="Q13" s="157"/>
      <c r="R13" s="158"/>
    </row>
    <row r="14" spans="1:19" s="82" customFormat="1">
      <c r="A14" s="299" t="str">
        <f>IF('Direct Labor Rate Schedule'!B18="","",'Direct Labor Rate Schedule'!B11)</f>
        <v/>
      </c>
      <c r="B14" s="300">
        <f>'Direct Labor Rate Schedule'!C11</f>
        <v>0</v>
      </c>
      <c r="C14" s="299" t="str">
        <f>'Direct Labor Rate Schedule'!A11</f>
        <v>Program Manager</v>
      </c>
      <c r="D14" s="97" t="s">
        <v>11</v>
      </c>
      <c r="E14" s="97"/>
      <c r="F14" s="304">
        <f t="shared" ref="F14:F25" si="0">(G14/AnnualProductiveHours)</f>
        <v>0.8979166666666667</v>
      </c>
      <c r="G14" s="305">
        <v>1724</v>
      </c>
      <c r="H14" s="301">
        <f>'Direct Labor Rate Schedule'!F11</f>
        <v>0</v>
      </c>
      <c r="I14" s="84">
        <f t="shared" ref="I14" si="1">ROUND((+H14*$I$10),2)</f>
        <v>0</v>
      </c>
      <c r="J14" s="84">
        <f t="shared" ref="J14" si="2">ROUND((+H14*$J$10),2)</f>
        <v>0</v>
      </c>
      <c r="K14" s="145">
        <f t="shared" ref="K14" si="3">+H14+SUM(I14:J14)</f>
        <v>0</v>
      </c>
      <c r="L14" s="85">
        <f t="shared" ref="L14" si="4">ROUND((+G14*K14),2)</f>
        <v>0</v>
      </c>
      <c r="M14" s="85">
        <f>ROUND((+L14*$M$10),2)</f>
        <v>0</v>
      </c>
      <c r="N14" s="103">
        <f>SUM(L14:M14)</f>
        <v>0</v>
      </c>
      <c r="O14" s="85">
        <f>ROUND((+N14*$O$10),2)</f>
        <v>0</v>
      </c>
      <c r="P14" s="85">
        <f>SUM(N14:O14)</f>
        <v>0</v>
      </c>
      <c r="Q14" s="86">
        <f>IFERROR((+P14/G14),"")</f>
        <v>0</v>
      </c>
      <c r="R14" s="102" t="str">
        <f>IFERROR(Q14/H14-1,"")</f>
        <v/>
      </c>
      <c r="S14" s="104"/>
    </row>
    <row r="15" spans="1:19" s="82" customFormat="1">
      <c r="A15" s="299" t="str">
        <f>IF('Direct Labor Rate Schedule'!B19="","",'Direct Labor Rate Schedule'!B12)</f>
        <v/>
      </c>
      <c r="B15" s="300">
        <f>'Direct Labor Rate Schedule'!C12</f>
        <v>0</v>
      </c>
      <c r="C15" s="299" t="str">
        <f>'Direct Labor Rate Schedule'!A12</f>
        <v>Senior Analyst</v>
      </c>
      <c r="D15" s="97" t="s">
        <v>11</v>
      </c>
      <c r="E15" s="97"/>
      <c r="F15" s="304">
        <f t="shared" si="0"/>
        <v>44.96458333333333</v>
      </c>
      <c r="G15" s="305">
        <v>86332</v>
      </c>
      <c r="H15" s="301">
        <f>'Direct Labor Rate Schedule'!F12</f>
        <v>0</v>
      </c>
      <c r="I15" s="84">
        <f t="shared" ref="I15:I25" si="5">ROUND((+H15*$I$10),2)</f>
        <v>0</v>
      </c>
      <c r="J15" s="84">
        <f t="shared" ref="J15:J25" si="6">ROUND((+H15*$J$10),2)</f>
        <v>0</v>
      </c>
      <c r="K15" s="145">
        <f t="shared" ref="K15:K25" si="7">+H15+SUM(I15:J15)</f>
        <v>0</v>
      </c>
      <c r="L15" s="85">
        <f t="shared" ref="L15:L25" si="8">ROUND((+G15*K15),2)</f>
        <v>0</v>
      </c>
      <c r="M15" s="85">
        <f t="shared" ref="M15:M25" si="9">ROUND((+L15*$M$10),2)</f>
        <v>0</v>
      </c>
      <c r="N15" s="103">
        <f t="shared" ref="N15:N25" si="10">SUM(L15:M15)</f>
        <v>0</v>
      </c>
      <c r="O15" s="85">
        <f t="shared" ref="O15:O25" si="11">ROUND((+N15*$O$10),2)</f>
        <v>0</v>
      </c>
      <c r="P15" s="85">
        <f t="shared" ref="P15:P25" si="12">SUM(N15:O15)</f>
        <v>0</v>
      </c>
      <c r="Q15" s="86">
        <f t="shared" ref="Q15:Q25" si="13">IFERROR((+P15/G15),"")</f>
        <v>0</v>
      </c>
      <c r="R15" s="102" t="str">
        <f t="shared" ref="R15:R25" si="14">IFERROR(Q15/H15-1,"")</f>
        <v/>
      </c>
      <c r="S15" s="104"/>
    </row>
    <row r="16" spans="1:19" s="82" customFormat="1">
      <c r="A16" s="299" t="str">
        <f>IF('Direct Labor Rate Schedule'!B20="","",'Direct Labor Rate Schedule'!B13)</f>
        <v/>
      </c>
      <c r="B16" s="300">
        <f>'Direct Labor Rate Schedule'!C13</f>
        <v>0</v>
      </c>
      <c r="C16" s="299" t="str">
        <f>'Direct Labor Rate Schedule'!A13</f>
        <v>Analyst</v>
      </c>
      <c r="D16" s="97" t="s">
        <v>11</v>
      </c>
      <c r="E16" s="97"/>
      <c r="F16" s="304">
        <f t="shared" si="0"/>
        <v>2.9375</v>
      </c>
      <c r="G16" s="305">
        <v>5640</v>
      </c>
      <c r="H16" s="301">
        <f>'Direct Labor Rate Schedule'!F13</f>
        <v>0</v>
      </c>
      <c r="I16" s="84">
        <f t="shared" si="5"/>
        <v>0</v>
      </c>
      <c r="J16" s="84">
        <f t="shared" si="6"/>
        <v>0</v>
      </c>
      <c r="K16" s="145">
        <f t="shared" si="7"/>
        <v>0</v>
      </c>
      <c r="L16" s="85">
        <f t="shared" si="8"/>
        <v>0</v>
      </c>
      <c r="M16" s="85">
        <f t="shared" si="9"/>
        <v>0</v>
      </c>
      <c r="N16" s="103">
        <f t="shared" si="10"/>
        <v>0</v>
      </c>
      <c r="O16" s="85">
        <f t="shared" si="11"/>
        <v>0</v>
      </c>
      <c r="P16" s="85">
        <f t="shared" si="12"/>
        <v>0</v>
      </c>
      <c r="Q16" s="86">
        <f t="shared" si="13"/>
        <v>0</v>
      </c>
      <c r="R16" s="102" t="str">
        <f t="shared" si="14"/>
        <v/>
      </c>
      <c r="S16" s="104"/>
    </row>
    <row r="17" spans="1:19" s="82" customFormat="1">
      <c r="A17" s="299" t="str">
        <f>IF('Direct Labor Rate Schedule'!B21="","",'Direct Labor Rate Schedule'!B14)</f>
        <v/>
      </c>
      <c r="B17" s="300">
        <f>'Direct Labor Rate Schedule'!C14</f>
        <v>0</v>
      </c>
      <c r="C17" s="299" t="str">
        <f>'Direct Labor Rate Schedule'!A14</f>
        <v>Junior Analyst</v>
      </c>
      <c r="D17" s="97" t="s">
        <v>11</v>
      </c>
      <c r="E17" s="97"/>
      <c r="F17" s="304">
        <f t="shared" si="0"/>
        <v>2.9375</v>
      </c>
      <c r="G17" s="305">
        <v>5640</v>
      </c>
      <c r="H17" s="301">
        <f>'Direct Labor Rate Schedule'!F14</f>
        <v>0</v>
      </c>
      <c r="I17" s="84">
        <f t="shared" si="5"/>
        <v>0</v>
      </c>
      <c r="J17" s="84">
        <f t="shared" si="6"/>
        <v>0</v>
      </c>
      <c r="K17" s="145">
        <f t="shared" si="7"/>
        <v>0</v>
      </c>
      <c r="L17" s="85">
        <f t="shared" si="8"/>
        <v>0</v>
      </c>
      <c r="M17" s="85">
        <f t="shared" si="9"/>
        <v>0</v>
      </c>
      <c r="N17" s="103">
        <f t="shared" si="10"/>
        <v>0</v>
      </c>
      <c r="O17" s="85">
        <f t="shared" si="11"/>
        <v>0</v>
      </c>
      <c r="P17" s="85">
        <f t="shared" si="12"/>
        <v>0</v>
      </c>
      <c r="Q17" s="86">
        <f t="shared" si="13"/>
        <v>0</v>
      </c>
      <c r="R17" s="102" t="str">
        <f t="shared" si="14"/>
        <v/>
      </c>
      <c r="S17" s="104"/>
    </row>
    <row r="18" spans="1:19" s="82" customFormat="1">
      <c r="A18" s="299" t="str">
        <f>IF('Direct Labor Rate Schedule'!B22="","",'Direct Labor Rate Schedule'!B15)</f>
        <v/>
      </c>
      <c r="B18" s="300">
        <f>'Direct Labor Rate Schedule'!C15</f>
        <v>0</v>
      </c>
      <c r="C18" s="299" t="str">
        <f>'Direct Labor Rate Schedule'!A15</f>
        <v>Senior Operations Research Analyst</v>
      </c>
      <c r="D18" s="97" t="s">
        <v>11</v>
      </c>
      <c r="E18" s="97"/>
      <c r="F18" s="304">
        <f t="shared" si="0"/>
        <v>2.9375</v>
      </c>
      <c r="G18" s="305">
        <v>5640</v>
      </c>
      <c r="H18" s="301">
        <f>'Direct Labor Rate Schedule'!F15</f>
        <v>0</v>
      </c>
      <c r="I18" s="84">
        <f t="shared" si="5"/>
        <v>0</v>
      </c>
      <c r="J18" s="84">
        <f t="shared" si="6"/>
        <v>0</v>
      </c>
      <c r="K18" s="145">
        <f t="shared" si="7"/>
        <v>0</v>
      </c>
      <c r="L18" s="85">
        <f t="shared" si="8"/>
        <v>0</v>
      </c>
      <c r="M18" s="85">
        <f t="shared" si="9"/>
        <v>0</v>
      </c>
      <c r="N18" s="103">
        <f t="shared" si="10"/>
        <v>0</v>
      </c>
      <c r="O18" s="85">
        <f t="shared" si="11"/>
        <v>0</v>
      </c>
      <c r="P18" s="85">
        <f t="shared" si="12"/>
        <v>0</v>
      </c>
      <c r="Q18" s="86">
        <f t="shared" si="13"/>
        <v>0</v>
      </c>
      <c r="R18" s="102" t="str">
        <f t="shared" si="14"/>
        <v/>
      </c>
      <c r="S18" s="104"/>
    </row>
    <row r="19" spans="1:19" s="82" customFormat="1">
      <c r="A19" s="299" t="str">
        <f>IF('Direct Labor Rate Schedule'!B23="","",'Direct Labor Rate Schedule'!B16)</f>
        <v/>
      </c>
      <c r="B19" s="300">
        <f>'Direct Labor Rate Schedule'!C16</f>
        <v>0</v>
      </c>
      <c r="C19" s="299" t="str">
        <f>'Direct Labor Rate Schedule'!A16</f>
        <v>Operations Research Analyst</v>
      </c>
      <c r="D19" s="97" t="s">
        <v>11</v>
      </c>
      <c r="E19" s="97"/>
      <c r="F19" s="304">
        <f t="shared" si="0"/>
        <v>1.9583333333333333</v>
      </c>
      <c r="G19" s="305">
        <v>3760</v>
      </c>
      <c r="H19" s="301">
        <f>'Direct Labor Rate Schedule'!F16</f>
        <v>0</v>
      </c>
      <c r="I19" s="84">
        <f t="shared" si="5"/>
        <v>0</v>
      </c>
      <c r="J19" s="84">
        <f t="shared" si="6"/>
        <v>0</v>
      </c>
      <c r="K19" s="145">
        <f t="shared" si="7"/>
        <v>0</v>
      </c>
      <c r="L19" s="85">
        <f t="shared" si="8"/>
        <v>0</v>
      </c>
      <c r="M19" s="85">
        <f t="shared" si="9"/>
        <v>0</v>
      </c>
      <c r="N19" s="103">
        <f t="shared" si="10"/>
        <v>0</v>
      </c>
      <c r="O19" s="85">
        <f t="shared" si="11"/>
        <v>0</v>
      </c>
      <c r="P19" s="85">
        <f t="shared" si="12"/>
        <v>0</v>
      </c>
      <c r="Q19" s="86">
        <f t="shared" si="13"/>
        <v>0</v>
      </c>
      <c r="R19" s="102" t="str">
        <f t="shared" si="14"/>
        <v/>
      </c>
      <c r="S19" s="104"/>
    </row>
    <row r="20" spans="1:19" s="82" customFormat="1">
      <c r="A20" s="299" t="str">
        <f>IF('Direct Labor Rate Schedule'!B24="","",'Direct Labor Rate Schedule'!B17)</f>
        <v/>
      </c>
      <c r="B20" s="300">
        <f>'Direct Labor Rate Schedule'!C17</f>
        <v>0</v>
      </c>
      <c r="C20" s="299" t="str">
        <f>'Direct Labor Rate Schedule'!A17</f>
        <v>Graphics Design Senior Analyst</v>
      </c>
      <c r="D20" s="97" t="s">
        <v>11</v>
      </c>
      <c r="E20" s="97"/>
      <c r="F20" s="304">
        <f t="shared" si="0"/>
        <v>0.97916666666666663</v>
      </c>
      <c r="G20" s="305">
        <v>1880</v>
      </c>
      <c r="H20" s="301">
        <f>'Direct Labor Rate Schedule'!F17</f>
        <v>0</v>
      </c>
      <c r="I20" s="84">
        <f t="shared" ref="I20:I24" si="15">ROUND((+H20*$I$10),2)</f>
        <v>0</v>
      </c>
      <c r="J20" s="84">
        <f t="shared" ref="J20:J24" si="16">ROUND((+H20*$J$10),2)</f>
        <v>0</v>
      </c>
      <c r="K20" s="145">
        <f t="shared" ref="K20:K24" si="17">+H20+SUM(I20:J20)</f>
        <v>0</v>
      </c>
      <c r="L20" s="85">
        <f t="shared" ref="L20:L24" si="18">ROUND((+G20*K20),2)</f>
        <v>0</v>
      </c>
      <c r="M20" s="85">
        <f t="shared" ref="M20:M24" si="19">ROUND((+L20*$M$10),2)</f>
        <v>0</v>
      </c>
      <c r="N20" s="103">
        <f t="shared" ref="N20:N24" si="20">SUM(L20:M20)</f>
        <v>0</v>
      </c>
      <c r="O20" s="85">
        <f t="shared" ref="O20:O24" si="21">ROUND((+N20*$O$10),2)</f>
        <v>0</v>
      </c>
      <c r="P20" s="85">
        <f t="shared" ref="P20:P24" si="22">SUM(N20:O20)</f>
        <v>0</v>
      </c>
      <c r="Q20" s="86">
        <f t="shared" ref="Q20:Q24" si="23">IFERROR((+P20/G20),"")</f>
        <v>0</v>
      </c>
      <c r="R20" s="102" t="str">
        <f t="shared" ref="R20:R24" si="24">IFERROR(Q20/H20-1,"")</f>
        <v/>
      </c>
      <c r="S20" s="104"/>
    </row>
    <row r="21" spans="1:19" s="82" customFormat="1">
      <c r="A21" s="299" t="str">
        <f>IF('Direct Labor Rate Schedule'!B25="","",'Direct Labor Rate Schedule'!B18)</f>
        <v/>
      </c>
      <c r="B21" s="300">
        <f>'Direct Labor Rate Schedule'!C18</f>
        <v>0</v>
      </c>
      <c r="C21" s="299" t="str">
        <f>'Direct Labor Rate Schedule'!A18</f>
        <v>Force Documentation Senior Analyst</v>
      </c>
      <c r="D21" s="97" t="s">
        <v>11</v>
      </c>
      <c r="E21" s="97"/>
      <c r="F21" s="304">
        <f t="shared" si="0"/>
        <v>0.97916666666666663</v>
      </c>
      <c r="G21" s="305">
        <v>1880</v>
      </c>
      <c r="H21" s="301">
        <f>'Direct Labor Rate Schedule'!F18</f>
        <v>0</v>
      </c>
      <c r="I21" s="84">
        <f t="shared" si="15"/>
        <v>0</v>
      </c>
      <c r="J21" s="84">
        <f t="shared" si="16"/>
        <v>0</v>
      </c>
      <c r="K21" s="145">
        <f t="shared" si="17"/>
        <v>0</v>
      </c>
      <c r="L21" s="85">
        <f t="shared" si="18"/>
        <v>0</v>
      </c>
      <c r="M21" s="85">
        <f t="shared" si="19"/>
        <v>0</v>
      </c>
      <c r="N21" s="103">
        <f t="shared" si="20"/>
        <v>0</v>
      </c>
      <c r="O21" s="85">
        <f t="shared" si="21"/>
        <v>0</v>
      </c>
      <c r="P21" s="85">
        <f t="shared" si="22"/>
        <v>0</v>
      </c>
      <c r="Q21" s="86">
        <f t="shared" si="23"/>
        <v>0</v>
      </c>
      <c r="R21" s="102" t="str">
        <f t="shared" si="24"/>
        <v/>
      </c>
      <c r="S21" s="104"/>
    </row>
    <row r="22" spans="1:19" s="82" customFormat="1">
      <c r="A22" s="299" t="str">
        <f>IF('Direct Labor Rate Schedule'!B26="","",'Direct Labor Rate Schedule'!B19)</f>
        <v/>
      </c>
      <c r="B22" s="300">
        <f>'Direct Labor Rate Schedule'!C19</f>
        <v>0</v>
      </c>
      <c r="C22" s="299">
        <f>'Direct Labor Rate Schedule'!A19</f>
        <v>0</v>
      </c>
      <c r="D22" s="97" t="s">
        <v>11</v>
      </c>
      <c r="E22" s="97"/>
      <c r="F22" s="304">
        <f t="shared" si="0"/>
        <v>0</v>
      </c>
      <c r="G22" s="305">
        <v>0</v>
      </c>
      <c r="H22" s="301">
        <f>'Direct Labor Rate Schedule'!F19</f>
        <v>0</v>
      </c>
      <c r="I22" s="84">
        <f t="shared" si="15"/>
        <v>0</v>
      </c>
      <c r="J22" s="84">
        <f t="shared" si="16"/>
        <v>0</v>
      </c>
      <c r="K22" s="145">
        <f t="shared" si="17"/>
        <v>0</v>
      </c>
      <c r="L22" s="85">
        <f t="shared" si="18"/>
        <v>0</v>
      </c>
      <c r="M22" s="85">
        <f t="shared" si="19"/>
        <v>0</v>
      </c>
      <c r="N22" s="103">
        <f t="shared" si="20"/>
        <v>0</v>
      </c>
      <c r="O22" s="85">
        <f t="shared" si="21"/>
        <v>0</v>
      </c>
      <c r="P22" s="85">
        <f t="shared" si="22"/>
        <v>0</v>
      </c>
      <c r="Q22" s="86" t="str">
        <f t="shared" si="23"/>
        <v/>
      </c>
      <c r="R22" s="102" t="str">
        <f t="shared" si="24"/>
        <v/>
      </c>
      <c r="S22" s="104"/>
    </row>
    <row r="23" spans="1:19" s="82" customFormat="1">
      <c r="A23" s="299" t="str">
        <f>IF('Direct Labor Rate Schedule'!B27="","",'Direct Labor Rate Schedule'!B20)</f>
        <v/>
      </c>
      <c r="B23" s="300">
        <f>'Direct Labor Rate Schedule'!C20</f>
        <v>0</v>
      </c>
      <c r="C23" s="299">
        <f>'Direct Labor Rate Schedule'!A20</f>
        <v>0</v>
      </c>
      <c r="D23" s="97" t="s">
        <v>11</v>
      </c>
      <c r="E23" s="97"/>
      <c r="F23" s="304">
        <f t="shared" si="0"/>
        <v>0</v>
      </c>
      <c r="G23" s="305">
        <v>0</v>
      </c>
      <c r="H23" s="301">
        <f>'Direct Labor Rate Schedule'!F20</f>
        <v>0</v>
      </c>
      <c r="I23" s="84">
        <f t="shared" si="15"/>
        <v>0</v>
      </c>
      <c r="J23" s="84">
        <f t="shared" si="16"/>
        <v>0</v>
      </c>
      <c r="K23" s="145">
        <f t="shared" si="17"/>
        <v>0</v>
      </c>
      <c r="L23" s="85">
        <f t="shared" si="18"/>
        <v>0</v>
      </c>
      <c r="M23" s="85">
        <f t="shared" si="19"/>
        <v>0</v>
      </c>
      <c r="N23" s="103">
        <f t="shared" si="20"/>
        <v>0</v>
      </c>
      <c r="O23" s="85">
        <f t="shared" si="21"/>
        <v>0</v>
      </c>
      <c r="P23" s="85">
        <f t="shared" si="22"/>
        <v>0</v>
      </c>
      <c r="Q23" s="86" t="str">
        <f t="shared" si="23"/>
        <v/>
      </c>
      <c r="R23" s="102" t="str">
        <f t="shared" si="24"/>
        <v/>
      </c>
      <c r="S23" s="104"/>
    </row>
    <row r="24" spans="1:19" s="82" customFormat="1">
      <c r="A24" s="299" t="str">
        <f>IF('Direct Labor Rate Schedule'!B28="","",'Direct Labor Rate Schedule'!B21)</f>
        <v/>
      </c>
      <c r="B24" s="300">
        <f>'Direct Labor Rate Schedule'!C21</f>
        <v>0</v>
      </c>
      <c r="C24" s="299">
        <f>'Direct Labor Rate Schedule'!A21</f>
        <v>0</v>
      </c>
      <c r="D24" s="97" t="s">
        <v>11</v>
      </c>
      <c r="E24" s="97"/>
      <c r="F24" s="304">
        <f t="shared" si="0"/>
        <v>0</v>
      </c>
      <c r="G24" s="305">
        <v>0</v>
      </c>
      <c r="H24" s="301">
        <f>'Direct Labor Rate Schedule'!F21</f>
        <v>0</v>
      </c>
      <c r="I24" s="84">
        <f t="shared" si="15"/>
        <v>0</v>
      </c>
      <c r="J24" s="84">
        <f t="shared" si="16"/>
        <v>0</v>
      </c>
      <c r="K24" s="145">
        <f t="shared" si="17"/>
        <v>0</v>
      </c>
      <c r="L24" s="85">
        <f t="shared" si="18"/>
        <v>0</v>
      </c>
      <c r="M24" s="85">
        <f t="shared" si="19"/>
        <v>0</v>
      </c>
      <c r="N24" s="103">
        <f t="shared" si="20"/>
        <v>0</v>
      </c>
      <c r="O24" s="85">
        <f t="shared" si="21"/>
        <v>0</v>
      </c>
      <c r="P24" s="85">
        <f t="shared" si="22"/>
        <v>0</v>
      </c>
      <c r="Q24" s="86" t="str">
        <f t="shared" si="23"/>
        <v/>
      </c>
      <c r="R24" s="102" t="str">
        <f t="shared" si="24"/>
        <v/>
      </c>
      <c r="S24" s="104"/>
    </row>
    <row r="25" spans="1:19" s="82" customFormat="1" ht="13.5" thickBot="1">
      <c r="A25" s="299" t="str">
        <f>IF('Direct Labor Rate Schedule'!B29="","",'Direct Labor Rate Schedule'!B22)</f>
        <v/>
      </c>
      <c r="B25" s="300">
        <f>'Direct Labor Rate Schedule'!C22</f>
        <v>0</v>
      </c>
      <c r="C25" s="299">
        <f>'Direct Labor Rate Schedule'!A22</f>
        <v>0</v>
      </c>
      <c r="D25" s="97" t="s">
        <v>11</v>
      </c>
      <c r="E25" s="97"/>
      <c r="F25" s="304">
        <f t="shared" si="0"/>
        <v>0</v>
      </c>
      <c r="G25" s="305">
        <v>0</v>
      </c>
      <c r="H25" s="301">
        <f>'Direct Labor Rate Schedule'!F22</f>
        <v>0</v>
      </c>
      <c r="I25" s="84">
        <f t="shared" si="5"/>
        <v>0</v>
      </c>
      <c r="J25" s="84">
        <f t="shared" si="6"/>
        <v>0</v>
      </c>
      <c r="K25" s="145">
        <f t="shared" si="7"/>
        <v>0</v>
      </c>
      <c r="L25" s="85">
        <f t="shared" si="8"/>
        <v>0</v>
      </c>
      <c r="M25" s="85">
        <f t="shared" si="9"/>
        <v>0</v>
      </c>
      <c r="N25" s="103">
        <f t="shared" si="10"/>
        <v>0</v>
      </c>
      <c r="O25" s="85">
        <f t="shared" si="11"/>
        <v>0</v>
      </c>
      <c r="P25" s="85">
        <f t="shared" si="12"/>
        <v>0</v>
      </c>
      <c r="Q25" s="86" t="str">
        <f t="shared" si="13"/>
        <v/>
      </c>
      <c r="R25" s="102" t="str">
        <f t="shared" si="14"/>
        <v/>
      </c>
      <c r="S25" s="104"/>
    </row>
    <row r="26" spans="1:19" s="82" customFormat="1" ht="14.25" thickTop="1" thickBot="1">
      <c r="A26" s="360" t="s">
        <v>85</v>
      </c>
      <c r="B26" s="361"/>
      <c r="C26" s="361"/>
      <c r="D26" s="361"/>
      <c r="E26" s="362"/>
      <c r="F26" s="146">
        <f>SUM(F14:F25)</f>
        <v>58.591666666666661</v>
      </c>
      <c r="G26" s="146">
        <f>SUM(G14:G25)</f>
        <v>112496</v>
      </c>
      <c r="H26" s="108">
        <f>SUMPRODUCT(H14:H25,$G14:$G25)</f>
        <v>0</v>
      </c>
      <c r="I26" s="108">
        <f>SUMPRODUCT(I14:I25,$G14:$G25)</f>
        <v>0</v>
      </c>
      <c r="J26" s="108">
        <f>SUMPRODUCT(J14:J25,$G14:$G25)</f>
        <v>0</v>
      </c>
      <c r="K26" s="108">
        <f>SUMPRODUCT(K14:K25,$G14:$G25)</f>
        <v>0</v>
      </c>
      <c r="L26" s="108">
        <f>SUM(L14:L25)</f>
        <v>0</v>
      </c>
      <c r="M26" s="108">
        <f>SUM(M14:M25)</f>
        <v>0</v>
      </c>
      <c r="N26" s="108">
        <f>SUM(N14:N25)</f>
        <v>0</v>
      </c>
      <c r="O26" s="108">
        <f>SUM(O14:O25)</f>
        <v>0</v>
      </c>
      <c r="P26" s="108">
        <f>SUM(P14:P25)</f>
        <v>0</v>
      </c>
      <c r="Q26" s="108">
        <f>SUMPRODUCT(Q14:Q25,$G14:$G25)</f>
        <v>0</v>
      </c>
      <c r="R26" s="109"/>
    </row>
    <row r="27" spans="1:19" s="82" customFormat="1" ht="14.25" thickTop="1" thickBot="1">
      <c r="A27" s="360" t="s">
        <v>86</v>
      </c>
      <c r="B27" s="361"/>
      <c r="C27" s="361"/>
      <c r="D27" s="361"/>
      <c r="E27" s="362"/>
      <c r="F27" s="116"/>
      <c r="G27" s="173">
        <f>G26/SUM(F14:F25)</f>
        <v>1920.0000000000002</v>
      </c>
      <c r="H27" s="110">
        <f>H26/$G26</f>
        <v>0</v>
      </c>
      <c r="I27" s="110">
        <f t="shared" ref="I27:J27" si="25">I26/$G26</f>
        <v>0</v>
      </c>
      <c r="J27" s="110">
        <f t="shared" si="25"/>
        <v>0</v>
      </c>
      <c r="K27" s="110">
        <f>K26/$G26</f>
        <v>0</v>
      </c>
      <c r="L27" s="110">
        <f>L26/$G26</f>
        <v>0</v>
      </c>
      <c r="M27" s="110">
        <f t="shared" ref="M27:P27" si="26">M26/$G26</f>
        <v>0</v>
      </c>
      <c r="N27" s="110">
        <f t="shared" si="26"/>
        <v>0</v>
      </c>
      <c r="O27" s="110">
        <f t="shared" si="26"/>
        <v>0</v>
      </c>
      <c r="P27" s="110">
        <f t="shared" si="26"/>
        <v>0</v>
      </c>
      <c r="Q27" s="110">
        <f>Q26/$G26</f>
        <v>0</v>
      </c>
      <c r="R27" s="115" t="e">
        <f>Q27/H27</f>
        <v>#DIV/0!</v>
      </c>
    </row>
    <row r="28" spans="1:19" s="82" customFormat="1" ht="13.5" thickTop="1">
      <c r="C28" s="16"/>
      <c r="D28" s="17"/>
      <c r="E28" s="9"/>
      <c r="F28" s="10"/>
      <c r="G28" s="10"/>
      <c r="H28" s="10"/>
      <c r="I28" s="9"/>
      <c r="J28" s="9"/>
      <c r="K28" s="14"/>
      <c r="L28" s="12"/>
      <c r="M28" s="12"/>
      <c r="N28" s="12"/>
      <c r="O28" s="12"/>
      <c r="P28" s="12"/>
      <c r="Q28" s="12"/>
    </row>
    <row r="29" spans="1:19" s="82" customFormat="1" hidden="1">
      <c r="C29" s="23"/>
      <c r="D29" s="24"/>
      <c r="E29" s="18"/>
      <c r="F29" s="19"/>
      <c r="G29" s="356" t="s">
        <v>28</v>
      </c>
      <c r="H29" s="363"/>
      <c r="I29" s="366" t="s">
        <v>29</v>
      </c>
      <c r="J29" s="366"/>
      <c r="K29" s="367"/>
      <c r="L29" s="367"/>
      <c r="M29" s="367"/>
      <c r="N29" s="20"/>
      <c r="O29" s="21"/>
      <c r="P29" s="22"/>
      <c r="Q29" s="22"/>
    </row>
    <row r="30" spans="1:19" s="82" customFormat="1" hidden="1">
      <c r="C30" s="35"/>
      <c r="D30" s="25"/>
      <c r="E30" s="26"/>
      <c r="F30" s="27"/>
      <c r="G30" s="364"/>
      <c r="H30" s="365"/>
      <c r="I30" s="91">
        <f>'Indirect Rate Summary'!C10</f>
        <v>0</v>
      </c>
      <c r="J30" s="28">
        <f>'Indirect Rate Summary'!D10</f>
        <v>0</v>
      </c>
      <c r="K30" s="28"/>
      <c r="L30" s="29"/>
      <c r="M30" s="95">
        <f>'Indirect Rate Summary'!E10</f>
        <v>0</v>
      </c>
      <c r="N30" s="30"/>
      <c r="O30" s="92">
        <f>'Indirect Rate Summary'!F10</f>
        <v>0</v>
      </c>
      <c r="P30" s="22"/>
      <c r="Q30" s="22"/>
    </row>
    <row r="31" spans="1:19" s="144" customFormat="1" ht="89.25" hidden="1">
      <c r="A31" s="79" t="str">
        <f t="shared" ref="A31:R31" si="27">+A11</f>
        <v>Location (Note 1)</v>
      </c>
      <c r="B31" s="79" t="str">
        <f t="shared" si="27"/>
        <v>Labor Type (Note 2)</v>
      </c>
      <c r="C31" s="79" t="str">
        <f t="shared" si="27"/>
        <v>Labor Categories (Note 3)</v>
      </c>
      <c r="D31" s="79" t="str">
        <f t="shared" si="27"/>
        <v>Effort To Be Performed By The Prime (P) or Subcontractor (S) (Note 4)</v>
      </c>
      <c r="E31" s="79" t="str">
        <f t="shared" si="27"/>
        <v>If Column D=S, Enter Name of Subcontractor(s) (Note 5)</v>
      </c>
      <c r="F31" s="80" t="str">
        <f t="shared" si="27"/>
        <v>FTEs (Note 6)</v>
      </c>
      <c r="G31" s="141" t="str">
        <f t="shared" si="27"/>
        <v>Total Productive Hours (Note 7)</v>
      </c>
      <c r="H31" s="142" t="str">
        <f t="shared" si="27"/>
        <v>Hourly Base Pay Rate (Note 8)</v>
      </c>
      <c r="I31" s="81" t="str">
        <f t="shared" si="27"/>
        <v>Fringe (Note 9)</v>
      </c>
      <c r="J31" s="81" t="str">
        <f t="shared" si="27"/>
        <v>Overhead (Note 10)</v>
      </c>
      <c r="K31" s="81" t="str">
        <f t="shared" si="27"/>
        <v xml:space="preserve"> Prime/Sub Hourly Rate Before Application Of  Prime G&amp;A &amp; Fee (IF Col C=S Enter Sub Rate) (Note 11)</v>
      </c>
      <c r="L31" s="81" t="str">
        <f t="shared" si="27"/>
        <v>Total Prime &amp; Sub Labor Before Prime G&amp;A &amp; Fee</v>
      </c>
      <c r="M31" s="81" t="str">
        <f t="shared" si="27"/>
        <v>G&amp;A (Note 12)</v>
      </c>
      <c r="N31" s="81" t="str">
        <f t="shared" si="27"/>
        <v>Total Cost</v>
      </c>
      <c r="O31" s="81" t="str">
        <f t="shared" si="27"/>
        <v>Fee</v>
      </c>
      <c r="P31" s="81" t="str">
        <f t="shared" si="27"/>
        <v>Total Price</v>
      </c>
      <c r="Q31" s="81" t="str">
        <f t="shared" si="27"/>
        <v xml:space="preserve">Proposal Fully Burdened Hourly Billing Rate </v>
      </c>
      <c r="R31" s="81" t="str">
        <f t="shared" si="27"/>
        <v>Wrap Rate</v>
      </c>
    </row>
    <row r="32" spans="1:19" s="82" customFormat="1" ht="13.5" hidden="1" thickBot="1">
      <c r="A32" s="31" t="str">
        <f t="shared" ref="A32:R32" si="28">+A12</f>
        <v>a</v>
      </c>
      <c r="B32" s="31" t="str">
        <f t="shared" si="28"/>
        <v>b</v>
      </c>
      <c r="C32" s="31" t="str">
        <f t="shared" si="28"/>
        <v>c</v>
      </c>
      <c r="D32" s="31" t="str">
        <f t="shared" si="28"/>
        <v>d</v>
      </c>
      <c r="E32" s="31" t="str">
        <f t="shared" si="28"/>
        <v>e</v>
      </c>
      <c r="F32" s="31" t="str">
        <f t="shared" si="28"/>
        <v>f</v>
      </c>
      <c r="G32" s="36" t="str">
        <f t="shared" si="28"/>
        <v>g</v>
      </c>
      <c r="H32" s="31" t="str">
        <f t="shared" si="28"/>
        <v>h</v>
      </c>
      <c r="I32" s="32" t="str">
        <f t="shared" si="28"/>
        <v>i</v>
      </c>
      <c r="J32" s="32" t="str">
        <f t="shared" si="28"/>
        <v>j</v>
      </c>
      <c r="K32" s="32" t="str">
        <f t="shared" si="28"/>
        <v>k = h + i + j</v>
      </c>
      <c r="L32" s="32" t="str">
        <f t="shared" si="28"/>
        <v>l = g x k</v>
      </c>
      <c r="M32" s="32" t="str">
        <f t="shared" si="28"/>
        <v>m</v>
      </c>
      <c r="N32" s="32" t="str">
        <f t="shared" si="28"/>
        <v>n = l + o</v>
      </c>
      <c r="O32" s="32" t="str">
        <f t="shared" si="28"/>
        <v>o</v>
      </c>
      <c r="P32" s="32" t="str">
        <f t="shared" si="28"/>
        <v>p = n + o</v>
      </c>
      <c r="Q32" s="32" t="str">
        <f t="shared" si="28"/>
        <v>q = p/g</v>
      </c>
      <c r="R32" s="32" t="str">
        <f t="shared" si="28"/>
        <v>r = q/h</v>
      </c>
    </row>
    <row r="33" spans="1:18" s="82" customFormat="1" hidden="1">
      <c r="A33" s="168" t="str">
        <f>IF('Direct Labor Rate Schedule'!$A$10="","",'Direct Labor Rate Schedule'!$A$10)</f>
        <v/>
      </c>
      <c r="B33" s="196"/>
      <c r="C33" s="167"/>
      <c r="D33" s="159"/>
      <c r="E33" s="159"/>
      <c r="F33" s="160"/>
      <c r="G33" s="161"/>
      <c r="H33" s="162"/>
      <c r="I33" s="163"/>
      <c r="J33" s="163"/>
      <c r="K33" s="163"/>
      <c r="L33" s="164"/>
      <c r="M33" s="164"/>
      <c r="N33" s="164"/>
      <c r="O33" s="164"/>
      <c r="P33" s="164"/>
      <c r="Q33" s="165"/>
      <c r="R33" s="166"/>
    </row>
    <row r="34" spans="1:18" s="82" customFormat="1" hidden="1">
      <c r="A34" s="303" t="str">
        <f t="shared" ref="A34:C45" si="29">A14</f>
        <v/>
      </c>
      <c r="B34" s="212">
        <f t="shared" si="29"/>
        <v>0</v>
      </c>
      <c r="C34" s="211" t="str">
        <f t="shared" si="29"/>
        <v>Program Manager</v>
      </c>
      <c r="D34" s="97" t="s">
        <v>11</v>
      </c>
      <c r="E34" s="97"/>
      <c r="F34" s="304">
        <f t="shared" ref="F34:F45" si="30">(G34/AnnualProductiveHours)*(12/11)</f>
        <v>0</v>
      </c>
      <c r="G34" s="305"/>
      <c r="H34" s="83">
        <f>'Direct Labor Rate Schedule'!F11</f>
        <v>0</v>
      </c>
      <c r="I34" s="84">
        <f>ROUND((+H34*$I$30),2)</f>
        <v>0</v>
      </c>
      <c r="J34" s="84">
        <f>ROUND((+H34*$J$30),2)</f>
        <v>0</v>
      </c>
      <c r="K34" s="145">
        <f t="shared" ref="K34" si="31">+H34+SUM(I34:J34)</f>
        <v>0</v>
      </c>
      <c r="L34" s="85">
        <f t="shared" ref="L34" si="32">ROUND((+G34*K34),2)</f>
        <v>0</v>
      </c>
      <c r="M34" s="85">
        <f>ROUND((+L34*$M$30),2)</f>
        <v>0</v>
      </c>
      <c r="N34" s="85">
        <f t="shared" ref="N34" si="33">SUM(L34:M34)</f>
        <v>0</v>
      </c>
      <c r="O34" s="85">
        <f>ROUND((+N34*$O$30),2)</f>
        <v>0</v>
      </c>
      <c r="P34" s="85">
        <f t="shared" ref="P34" si="34">SUM(N34:O34)</f>
        <v>0</v>
      </c>
      <c r="Q34" s="86" t="str">
        <f t="shared" ref="Q34" si="35">IFERROR((+P34/G34),"")</f>
        <v/>
      </c>
      <c r="R34" s="102" t="str">
        <f t="shared" ref="R34" si="36">IFERROR(Q34/H34-1,"")</f>
        <v/>
      </c>
    </row>
    <row r="35" spans="1:18" s="82" customFormat="1" hidden="1">
      <c r="A35" s="303" t="str">
        <f t="shared" si="29"/>
        <v/>
      </c>
      <c r="B35" s="212">
        <f t="shared" si="29"/>
        <v>0</v>
      </c>
      <c r="C35" s="211" t="str">
        <f t="shared" si="29"/>
        <v>Senior Analyst</v>
      </c>
      <c r="D35" s="97" t="s">
        <v>11</v>
      </c>
      <c r="E35" s="97"/>
      <c r="F35" s="304">
        <f t="shared" si="30"/>
        <v>0</v>
      </c>
      <c r="G35" s="305"/>
      <c r="H35" s="83">
        <f>'Direct Labor Rate Schedule'!F12</f>
        <v>0</v>
      </c>
      <c r="I35" s="84">
        <f t="shared" ref="I35:I45" si="37">ROUND((+H35*$I$30),2)</f>
        <v>0</v>
      </c>
      <c r="J35" s="84">
        <f t="shared" ref="J35:J45" si="38">ROUND((+H35*$J$30),2)</f>
        <v>0</v>
      </c>
      <c r="K35" s="145">
        <f t="shared" ref="K35:K45" si="39">+H35+SUM(I35:J35)</f>
        <v>0</v>
      </c>
      <c r="L35" s="85">
        <f t="shared" ref="L35:L45" si="40">ROUND((+G35*K35),2)</f>
        <v>0</v>
      </c>
      <c r="M35" s="85">
        <f t="shared" ref="M35:M45" si="41">ROUND((+L35*$M$30),2)</f>
        <v>0</v>
      </c>
      <c r="N35" s="85">
        <f t="shared" ref="N35:N45" si="42">SUM(L35:M35)</f>
        <v>0</v>
      </c>
      <c r="O35" s="85">
        <f t="shared" ref="O35:O45" si="43">ROUND((+N35*$O$30),2)</f>
        <v>0</v>
      </c>
      <c r="P35" s="85">
        <f t="shared" ref="P35:P45" si="44">SUM(N35:O35)</f>
        <v>0</v>
      </c>
      <c r="Q35" s="86" t="str">
        <f t="shared" ref="Q35:Q45" si="45">IFERROR((+P35/G35),"")</f>
        <v/>
      </c>
      <c r="R35" s="102" t="str">
        <f t="shared" ref="R35:R45" si="46">IFERROR(Q35/H35-1,"")</f>
        <v/>
      </c>
    </row>
    <row r="36" spans="1:18" s="82" customFormat="1" hidden="1">
      <c r="A36" s="303" t="str">
        <f t="shared" si="29"/>
        <v/>
      </c>
      <c r="B36" s="212">
        <f t="shared" si="29"/>
        <v>0</v>
      </c>
      <c r="C36" s="211" t="str">
        <f t="shared" si="29"/>
        <v>Analyst</v>
      </c>
      <c r="D36" s="97" t="s">
        <v>11</v>
      </c>
      <c r="E36" s="97"/>
      <c r="F36" s="304">
        <f t="shared" si="30"/>
        <v>0</v>
      </c>
      <c r="G36" s="305"/>
      <c r="H36" s="83">
        <f>'Direct Labor Rate Schedule'!F13</f>
        <v>0</v>
      </c>
      <c r="I36" s="84">
        <f t="shared" si="37"/>
        <v>0</v>
      </c>
      <c r="J36" s="84">
        <f t="shared" si="38"/>
        <v>0</v>
      </c>
      <c r="K36" s="145">
        <f t="shared" si="39"/>
        <v>0</v>
      </c>
      <c r="L36" s="85">
        <f t="shared" si="40"/>
        <v>0</v>
      </c>
      <c r="M36" s="85">
        <f t="shared" si="41"/>
        <v>0</v>
      </c>
      <c r="N36" s="85">
        <f t="shared" si="42"/>
        <v>0</v>
      </c>
      <c r="O36" s="85">
        <f t="shared" si="43"/>
        <v>0</v>
      </c>
      <c r="P36" s="85">
        <f t="shared" si="44"/>
        <v>0</v>
      </c>
      <c r="Q36" s="86" t="str">
        <f t="shared" si="45"/>
        <v/>
      </c>
      <c r="R36" s="102" t="str">
        <f t="shared" si="46"/>
        <v/>
      </c>
    </row>
    <row r="37" spans="1:18" s="82" customFormat="1" hidden="1">
      <c r="A37" s="303" t="str">
        <f t="shared" si="29"/>
        <v/>
      </c>
      <c r="B37" s="212">
        <f t="shared" si="29"/>
        <v>0</v>
      </c>
      <c r="C37" s="211" t="str">
        <f t="shared" si="29"/>
        <v>Junior Analyst</v>
      </c>
      <c r="D37" s="97" t="s">
        <v>11</v>
      </c>
      <c r="E37" s="97"/>
      <c r="F37" s="304">
        <f t="shared" si="30"/>
        <v>0</v>
      </c>
      <c r="G37" s="305"/>
      <c r="H37" s="83">
        <f>'Direct Labor Rate Schedule'!F14</f>
        <v>0</v>
      </c>
      <c r="I37" s="84">
        <f t="shared" si="37"/>
        <v>0</v>
      </c>
      <c r="J37" s="84">
        <f t="shared" si="38"/>
        <v>0</v>
      </c>
      <c r="K37" s="145">
        <f t="shared" si="39"/>
        <v>0</v>
      </c>
      <c r="L37" s="85">
        <f>ROUND((+G37*K37),2)</f>
        <v>0</v>
      </c>
      <c r="M37" s="85">
        <f t="shared" si="41"/>
        <v>0</v>
      </c>
      <c r="N37" s="85">
        <f t="shared" si="42"/>
        <v>0</v>
      </c>
      <c r="O37" s="85">
        <f t="shared" si="43"/>
        <v>0</v>
      </c>
      <c r="P37" s="85">
        <f t="shared" si="44"/>
        <v>0</v>
      </c>
      <c r="Q37" s="86" t="str">
        <f t="shared" si="45"/>
        <v/>
      </c>
      <c r="R37" s="102" t="str">
        <f t="shared" si="46"/>
        <v/>
      </c>
    </row>
    <row r="38" spans="1:18" s="82" customFormat="1" hidden="1">
      <c r="A38" s="303" t="str">
        <f t="shared" si="29"/>
        <v/>
      </c>
      <c r="B38" s="212">
        <f t="shared" si="29"/>
        <v>0</v>
      </c>
      <c r="C38" s="211" t="str">
        <f t="shared" si="29"/>
        <v>Senior Operations Research Analyst</v>
      </c>
      <c r="D38" s="97" t="s">
        <v>11</v>
      </c>
      <c r="E38" s="97"/>
      <c r="F38" s="304">
        <f t="shared" si="30"/>
        <v>0</v>
      </c>
      <c r="G38" s="305"/>
      <c r="H38" s="83">
        <f>'Direct Labor Rate Schedule'!F15</f>
        <v>0</v>
      </c>
      <c r="I38" s="84">
        <f t="shared" si="37"/>
        <v>0</v>
      </c>
      <c r="J38" s="84">
        <f t="shared" si="38"/>
        <v>0</v>
      </c>
      <c r="K38" s="145">
        <f t="shared" si="39"/>
        <v>0</v>
      </c>
      <c r="L38" s="85">
        <f t="shared" si="40"/>
        <v>0</v>
      </c>
      <c r="M38" s="85">
        <f t="shared" si="41"/>
        <v>0</v>
      </c>
      <c r="N38" s="85">
        <f t="shared" si="42"/>
        <v>0</v>
      </c>
      <c r="O38" s="85">
        <f t="shared" si="43"/>
        <v>0</v>
      </c>
      <c r="P38" s="85">
        <f t="shared" si="44"/>
        <v>0</v>
      </c>
      <c r="Q38" s="86" t="str">
        <f t="shared" si="45"/>
        <v/>
      </c>
      <c r="R38" s="102" t="str">
        <f t="shared" si="46"/>
        <v/>
      </c>
    </row>
    <row r="39" spans="1:18" s="82" customFormat="1" hidden="1">
      <c r="A39" s="303" t="str">
        <f t="shared" si="29"/>
        <v/>
      </c>
      <c r="B39" s="212">
        <f t="shared" si="29"/>
        <v>0</v>
      </c>
      <c r="C39" s="211" t="str">
        <f t="shared" si="29"/>
        <v>Operations Research Analyst</v>
      </c>
      <c r="D39" s="97" t="s">
        <v>11</v>
      </c>
      <c r="E39" s="97"/>
      <c r="F39" s="304">
        <f t="shared" si="30"/>
        <v>0</v>
      </c>
      <c r="G39" s="305"/>
      <c r="H39" s="83">
        <f>'Direct Labor Rate Schedule'!F16</f>
        <v>0</v>
      </c>
      <c r="I39" s="84">
        <f t="shared" si="37"/>
        <v>0</v>
      </c>
      <c r="J39" s="84">
        <f t="shared" si="38"/>
        <v>0</v>
      </c>
      <c r="K39" s="145">
        <f t="shared" si="39"/>
        <v>0</v>
      </c>
      <c r="L39" s="85">
        <f t="shared" si="40"/>
        <v>0</v>
      </c>
      <c r="M39" s="85">
        <f t="shared" si="41"/>
        <v>0</v>
      </c>
      <c r="N39" s="85">
        <f t="shared" si="42"/>
        <v>0</v>
      </c>
      <c r="O39" s="85">
        <f t="shared" si="43"/>
        <v>0</v>
      </c>
      <c r="P39" s="85">
        <f t="shared" si="44"/>
        <v>0</v>
      </c>
      <c r="Q39" s="86" t="str">
        <f t="shared" si="45"/>
        <v/>
      </c>
      <c r="R39" s="102" t="str">
        <f t="shared" si="46"/>
        <v/>
      </c>
    </row>
    <row r="40" spans="1:18" s="82" customFormat="1" hidden="1">
      <c r="A40" s="303" t="str">
        <f t="shared" si="29"/>
        <v/>
      </c>
      <c r="B40" s="212">
        <f t="shared" si="29"/>
        <v>0</v>
      </c>
      <c r="C40" s="211" t="str">
        <f t="shared" si="29"/>
        <v>Graphics Design Senior Analyst</v>
      </c>
      <c r="D40" s="97" t="s">
        <v>11</v>
      </c>
      <c r="E40" s="97"/>
      <c r="F40" s="304">
        <f t="shared" si="30"/>
        <v>0</v>
      </c>
      <c r="G40" s="305"/>
      <c r="H40" s="83">
        <f>'Direct Labor Rate Schedule'!F17</f>
        <v>0</v>
      </c>
      <c r="I40" s="84">
        <f t="shared" ref="I40:I44" si="47">ROUND((+H40*$I$30),2)</f>
        <v>0</v>
      </c>
      <c r="J40" s="84">
        <f t="shared" ref="J40:J44" si="48">ROUND((+H40*$J$30),2)</f>
        <v>0</v>
      </c>
      <c r="K40" s="145">
        <f t="shared" ref="K40:K44" si="49">+H40+SUM(I40:J40)</f>
        <v>0</v>
      </c>
      <c r="L40" s="85">
        <f t="shared" ref="L40:L44" si="50">ROUND((+G40*K40),2)</f>
        <v>0</v>
      </c>
      <c r="M40" s="85">
        <f t="shared" ref="M40:M44" si="51">ROUND((+L40*$M$30),2)</f>
        <v>0</v>
      </c>
      <c r="N40" s="85">
        <f t="shared" ref="N40:N44" si="52">SUM(L40:M40)</f>
        <v>0</v>
      </c>
      <c r="O40" s="85">
        <f t="shared" ref="O40:O44" si="53">ROUND((+N40*$O$30),2)</f>
        <v>0</v>
      </c>
      <c r="P40" s="85">
        <f t="shared" ref="P40:P44" si="54">SUM(N40:O40)</f>
        <v>0</v>
      </c>
      <c r="Q40" s="86" t="str">
        <f t="shared" ref="Q40:Q44" si="55">IFERROR((+P40/G40),"")</f>
        <v/>
      </c>
      <c r="R40" s="102" t="str">
        <f t="shared" ref="R40:R44" si="56">IFERROR(Q40/H40-1,"")</f>
        <v/>
      </c>
    </row>
    <row r="41" spans="1:18" s="82" customFormat="1" hidden="1">
      <c r="A41" s="303" t="str">
        <f t="shared" si="29"/>
        <v/>
      </c>
      <c r="B41" s="212">
        <f t="shared" si="29"/>
        <v>0</v>
      </c>
      <c r="C41" s="211" t="str">
        <f t="shared" si="29"/>
        <v>Force Documentation Senior Analyst</v>
      </c>
      <c r="D41" s="97" t="s">
        <v>11</v>
      </c>
      <c r="E41" s="97"/>
      <c r="F41" s="304">
        <f t="shared" si="30"/>
        <v>0</v>
      </c>
      <c r="G41" s="305"/>
      <c r="H41" s="83">
        <f>'Direct Labor Rate Schedule'!F18</f>
        <v>0</v>
      </c>
      <c r="I41" s="84">
        <f t="shared" si="47"/>
        <v>0</v>
      </c>
      <c r="J41" s="84">
        <f t="shared" si="48"/>
        <v>0</v>
      </c>
      <c r="K41" s="145">
        <f t="shared" si="49"/>
        <v>0</v>
      </c>
      <c r="L41" s="85">
        <f t="shared" si="50"/>
        <v>0</v>
      </c>
      <c r="M41" s="85">
        <f t="shared" si="51"/>
        <v>0</v>
      </c>
      <c r="N41" s="85">
        <f t="shared" si="52"/>
        <v>0</v>
      </c>
      <c r="O41" s="85">
        <f t="shared" si="53"/>
        <v>0</v>
      </c>
      <c r="P41" s="85">
        <f t="shared" si="54"/>
        <v>0</v>
      </c>
      <c r="Q41" s="86" t="str">
        <f t="shared" si="55"/>
        <v/>
      </c>
      <c r="R41" s="102" t="str">
        <f t="shared" si="56"/>
        <v/>
      </c>
    </row>
    <row r="42" spans="1:18" s="82" customFormat="1" hidden="1">
      <c r="A42" s="303" t="str">
        <f t="shared" si="29"/>
        <v/>
      </c>
      <c r="B42" s="212">
        <f t="shared" si="29"/>
        <v>0</v>
      </c>
      <c r="C42" s="211">
        <f t="shared" si="29"/>
        <v>0</v>
      </c>
      <c r="D42" s="97" t="s">
        <v>11</v>
      </c>
      <c r="E42" s="97"/>
      <c r="F42" s="304">
        <f t="shared" si="30"/>
        <v>0</v>
      </c>
      <c r="G42" s="305"/>
      <c r="H42" s="83">
        <f>'Direct Labor Rate Schedule'!F19</f>
        <v>0</v>
      </c>
      <c r="I42" s="84">
        <f t="shared" si="47"/>
        <v>0</v>
      </c>
      <c r="J42" s="84">
        <f t="shared" si="48"/>
        <v>0</v>
      </c>
      <c r="K42" s="145">
        <f t="shared" si="49"/>
        <v>0</v>
      </c>
      <c r="L42" s="85">
        <f t="shared" si="50"/>
        <v>0</v>
      </c>
      <c r="M42" s="85">
        <f t="shared" si="51"/>
        <v>0</v>
      </c>
      <c r="N42" s="85">
        <f t="shared" si="52"/>
        <v>0</v>
      </c>
      <c r="O42" s="85">
        <f t="shared" si="53"/>
        <v>0</v>
      </c>
      <c r="P42" s="85">
        <f t="shared" si="54"/>
        <v>0</v>
      </c>
      <c r="Q42" s="86" t="str">
        <f t="shared" si="55"/>
        <v/>
      </c>
      <c r="R42" s="102" t="str">
        <f t="shared" si="56"/>
        <v/>
      </c>
    </row>
    <row r="43" spans="1:18" s="82" customFormat="1" hidden="1">
      <c r="A43" s="303" t="str">
        <f t="shared" si="29"/>
        <v/>
      </c>
      <c r="B43" s="212">
        <f t="shared" si="29"/>
        <v>0</v>
      </c>
      <c r="C43" s="211">
        <f t="shared" si="29"/>
        <v>0</v>
      </c>
      <c r="D43" s="97" t="s">
        <v>11</v>
      </c>
      <c r="E43" s="97"/>
      <c r="F43" s="304">
        <f t="shared" si="30"/>
        <v>0</v>
      </c>
      <c r="G43" s="305"/>
      <c r="H43" s="83">
        <f>'Direct Labor Rate Schedule'!F20</f>
        <v>0</v>
      </c>
      <c r="I43" s="84">
        <f t="shared" si="47"/>
        <v>0</v>
      </c>
      <c r="J43" s="84">
        <f t="shared" si="48"/>
        <v>0</v>
      </c>
      <c r="K43" s="145">
        <f t="shared" si="49"/>
        <v>0</v>
      </c>
      <c r="L43" s="85">
        <f t="shared" si="50"/>
        <v>0</v>
      </c>
      <c r="M43" s="85">
        <f t="shared" si="51"/>
        <v>0</v>
      </c>
      <c r="N43" s="85">
        <f t="shared" si="52"/>
        <v>0</v>
      </c>
      <c r="O43" s="85">
        <f t="shared" si="53"/>
        <v>0</v>
      </c>
      <c r="P43" s="85">
        <f t="shared" si="54"/>
        <v>0</v>
      </c>
      <c r="Q43" s="86" t="str">
        <f t="shared" si="55"/>
        <v/>
      </c>
      <c r="R43" s="102" t="str">
        <f t="shared" si="56"/>
        <v/>
      </c>
    </row>
    <row r="44" spans="1:18" s="82" customFormat="1" hidden="1">
      <c r="A44" s="303" t="str">
        <f t="shared" si="29"/>
        <v/>
      </c>
      <c r="B44" s="212">
        <f t="shared" si="29"/>
        <v>0</v>
      </c>
      <c r="C44" s="211">
        <f t="shared" si="29"/>
        <v>0</v>
      </c>
      <c r="D44" s="97" t="s">
        <v>11</v>
      </c>
      <c r="E44" s="97"/>
      <c r="F44" s="304">
        <f t="shared" si="30"/>
        <v>0</v>
      </c>
      <c r="G44" s="305"/>
      <c r="H44" s="83">
        <f>'Direct Labor Rate Schedule'!F21</f>
        <v>0</v>
      </c>
      <c r="I44" s="84">
        <f t="shared" si="47"/>
        <v>0</v>
      </c>
      <c r="J44" s="84">
        <f t="shared" si="48"/>
        <v>0</v>
      </c>
      <c r="K44" s="145">
        <f t="shared" si="49"/>
        <v>0</v>
      </c>
      <c r="L44" s="85">
        <f t="shared" si="50"/>
        <v>0</v>
      </c>
      <c r="M44" s="85">
        <f t="shared" si="51"/>
        <v>0</v>
      </c>
      <c r="N44" s="85">
        <f t="shared" si="52"/>
        <v>0</v>
      </c>
      <c r="O44" s="85">
        <f t="shared" si="53"/>
        <v>0</v>
      </c>
      <c r="P44" s="85">
        <f t="shared" si="54"/>
        <v>0</v>
      </c>
      <c r="Q44" s="86" t="str">
        <f t="shared" si="55"/>
        <v/>
      </c>
      <c r="R44" s="102" t="str">
        <f t="shared" si="56"/>
        <v/>
      </c>
    </row>
    <row r="45" spans="1:18" s="82" customFormat="1" ht="13.5" hidden="1" thickBot="1">
      <c r="A45" s="303" t="str">
        <f t="shared" si="29"/>
        <v/>
      </c>
      <c r="B45" s="212">
        <f t="shared" si="29"/>
        <v>0</v>
      </c>
      <c r="C45" s="211">
        <f t="shared" si="29"/>
        <v>0</v>
      </c>
      <c r="D45" s="97" t="s">
        <v>11</v>
      </c>
      <c r="E45" s="97"/>
      <c r="F45" s="304">
        <f t="shared" si="30"/>
        <v>0</v>
      </c>
      <c r="G45" s="305"/>
      <c r="H45" s="83">
        <f>'Direct Labor Rate Schedule'!F22</f>
        <v>0</v>
      </c>
      <c r="I45" s="84">
        <f t="shared" si="37"/>
        <v>0</v>
      </c>
      <c r="J45" s="84">
        <f t="shared" si="38"/>
        <v>0</v>
      </c>
      <c r="K45" s="145">
        <f t="shared" si="39"/>
        <v>0</v>
      </c>
      <c r="L45" s="85">
        <f t="shared" si="40"/>
        <v>0</v>
      </c>
      <c r="M45" s="85">
        <f t="shared" si="41"/>
        <v>0</v>
      </c>
      <c r="N45" s="85">
        <f t="shared" si="42"/>
        <v>0</v>
      </c>
      <c r="O45" s="85">
        <f t="shared" si="43"/>
        <v>0</v>
      </c>
      <c r="P45" s="85">
        <f t="shared" si="44"/>
        <v>0</v>
      </c>
      <c r="Q45" s="86" t="str">
        <f t="shared" si="45"/>
        <v/>
      </c>
      <c r="R45" s="102" t="str">
        <f t="shared" si="46"/>
        <v/>
      </c>
    </row>
    <row r="46" spans="1:18" s="82" customFormat="1" ht="14.25" hidden="1" thickTop="1" thickBot="1">
      <c r="A46" s="360" t="s">
        <v>85</v>
      </c>
      <c r="B46" s="361"/>
      <c r="C46" s="361"/>
      <c r="D46" s="361"/>
      <c r="E46" s="362"/>
      <c r="F46" s="146">
        <f>SUM(F34:F45)</f>
        <v>0</v>
      </c>
      <c r="G46" s="146">
        <f>SUM(G34:G45)</f>
        <v>0</v>
      </c>
      <c r="H46" s="108">
        <f>SUMPRODUCT(H34:H45,$G34:$G45)</f>
        <v>0</v>
      </c>
      <c r="I46" s="108">
        <f>SUMPRODUCT(I34:I45,$G34:$G45)</f>
        <v>0</v>
      </c>
      <c r="J46" s="108">
        <f>SUMPRODUCT(J34:J45,$G34:$G45)</f>
        <v>0</v>
      </c>
      <c r="K46" s="108">
        <f>SUMPRODUCT(K34:K45,$G34:$G45)</f>
        <v>0</v>
      </c>
      <c r="L46" s="108">
        <f>SUM(L34:L45)</f>
        <v>0</v>
      </c>
      <c r="M46" s="108">
        <f>SUM(M34:M45)</f>
        <v>0</v>
      </c>
      <c r="N46" s="108">
        <f>SUM(N34:N45)</f>
        <v>0</v>
      </c>
      <c r="O46" s="108">
        <f>SUM(O34:O45)</f>
        <v>0</v>
      </c>
      <c r="P46" s="108">
        <f>SUM(P34:P45)</f>
        <v>0</v>
      </c>
      <c r="Q46" s="108">
        <f>SUMPRODUCT(Q34:Q45,$G34:$G45)</f>
        <v>0</v>
      </c>
      <c r="R46" s="109"/>
    </row>
    <row r="47" spans="1:18" s="82" customFormat="1" ht="14.25" hidden="1" thickTop="1" thickBot="1">
      <c r="A47" s="360" t="s">
        <v>86</v>
      </c>
      <c r="B47" s="361"/>
      <c r="C47" s="361"/>
      <c r="D47" s="361"/>
      <c r="E47" s="362"/>
      <c r="F47" s="116"/>
      <c r="G47" s="173" t="e">
        <f>G46/SUM(F34:F45)</f>
        <v>#DIV/0!</v>
      </c>
      <c r="H47" s="110" t="e">
        <f>H46/$G46</f>
        <v>#DIV/0!</v>
      </c>
      <c r="I47" s="110" t="e">
        <f t="shared" ref="I47:J47" si="57">I46/$G46</f>
        <v>#DIV/0!</v>
      </c>
      <c r="J47" s="110" t="e">
        <f t="shared" si="57"/>
        <v>#DIV/0!</v>
      </c>
      <c r="K47" s="110" t="e">
        <f>K46/$G46</f>
        <v>#DIV/0!</v>
      </c>
      <c r="L47" s="110" t="e">
        <f>L46/$G46</f>
        <v>#DIV/0!</v>
      </c>
      <c r="M47" s="110" t="e">
        <f t="shared" ref="M47:P47" si="58">M46/$G46</f>
        <v>#DIV/0!</v>
      </c>
      <c r="N47" s="110" t="e">
        <f t="shared" si="58"/>
        <v>#DIV/0!</v>
      </c>
      <c r="O47" s="110" t="e">
        <f t="shared" si="58"/>
        <v>#DIV/0!</v>
      </c>
      <c r="P47" s="110" t="e">
        <f t="shared" si="58"/>
        <v>#DIV/0!</v>
      </c>
      <c r="Q47" s="110" t="e">
        <f>Q46/$G46</f>
        <v>#DIV/0!</v>
      </c>
      <c r="R47" s="115" t="e">
        <f>Q47/H47</f>
        <v>#DIV/0!</v>
      </c>
    </row>
    <row r="48" spans="1:18" s="82" customFormat="1" ht="13.5" hidden="1" thickTop="1">
      <c r="C48" s="16"/>
      <c r="D48" s="17"/>
      <c r="E48" s="9"/>
      <c r="F48" s="10"/>
      <c r="G48" s="10"/>
      <c r="H48" s="10"/>
      <c r="I48" s="9"/>
      <c r="J48" s="9"/>
      <c r="K48" s="14"/>
      <c r="L48" s="12"/>
      <c r="M48" s="12"/>
      <c r="N48" s="12"/>
      <c r="O48" s="12"/>
      <c r="P48" s="12"/>
      <c r="Q48" s="12"/>
    </row>
    <row r="49" spans="1:18" s="82" customFormat="1">
      <c r="C49" s="23"/>
      <c r="D49" s="24"/>
      <c r="E49" s="18"/>
      <c r="F49" s="19"/>
      <c r="G49" s="356" t="s">
        <v>28</v>
      </c>
      <c r="H49" s="363"/>
      <c r="I49" s="366" t="s">
        <v>29</v>
      </c>
      <c r="J49" s="366"/>
      <c r="K49" s="367"/>
      <c r="L49" s="367"/>
      <c r="M49" s="367"/>
      <c r="N49" s="20"/>
      <c r="O49" s="21"/>
      <c r="P49" s="22"/>
      <c r="Q49" s="22"/>
    </row>
    <row r="50" spans="1:18" s="82" customFormat="1">
      <c r="C50" s="35" t="s">
        <v>253</v>
      </c>
      <c r="D50" s="25"/>
      <c r="E50" s="26"/>
      <c r="F50" s="27"/>
      <c r="G50" s="364"/>
      <c r="H50" s="365"/>
      <c r="I50" s="91">
        <f>'Indirect Rate Summary'!C17</f>
        <v>0</v>
      </c>
      <c r="J50" s="91">
        <f>'Indirect Rate Summary'!D17</f>
        <v>0</v>
      </c>
      <c r="K50" s="28"/>
      <c r="L50" s="29"/>
      <c r="M50" s="95">
        <f>'Indirect Rate Summary'!E17</f>
        <v>0</v>
      </c>
      <c r="N50" s="30"/>
      <c r="O50" s="92">
        <f>'Indirect Rate Summary'!F17</f>
        <v>0</v>
      </c>
      <c r="P50" s="22"/>
      <c r="Q50" s="22"/>
    </row>
    <row r="51" spans="1:18" s="144" customFormat="1" ht="89.25">
      <c r="A51" s="79" t="str">
        <f t="shared" ref="A51:R51" si="59">+A31</f>
        <v>Location (Note 1)</v>
      </c>
      <c r="B51" s="79" t="str">
        <f t="shared" si="59"/>
        <v>Labor Type (Note 2)</v>
      </c>
      <c r="C51" s="79" t="str">
        <f t="shared" si="59"/>
        <v>Labor Categories (Note 3)</v>
      </c>
      <c r="D51" s="79" t="str">
        <f t="shared" si="59"/>
        <v>Effort To Be Performed By The Prime (P) or Subcontractor (S) (Note 4)</v>
      </c>
      <c r="E51" s="79" t="str">
        <f t="shared" si="59"/>
        <v>If Column D=S, Enter Name of Subcontractor(s) (Note 5)</v>
      </c>
      <c r="F51" s="80" t="str">
        <f t="shared" si="59"/>
        <v>FTEs (Note 6)</v>
      </c>
      <c r="G51" s="141" t="str">
        <f t="shared" si="59"/>
        <v>Total Productive Hours (Note 7)</v>
      </c>
      <c r="H51" s="142" t="str">
        <f t="shared" si="59"/>
        <v>Hourly Base Pay Rate (Note 8)</v>
      </c>
      <c r="I51" s="81" t="str">
        <f t="shared" si="59"/>
        <v>Fringe (Note 9)</v>
      </c>
      <c r="J51" s="81" t="str">
        <f t="shared" si="59"/>
        <v>Overhead (Note 10)</v>
      </c>
      <c r="K51" s="81" t="str">
        <f t="shared" si="59"/>
        <v xml:space="preserve"> Prime/Sub Hourly Rate Before Application Of  Prime G&amp;A &amp; Fee (IF Col C=S Enter Sub Rate) (Note 11)</v>
      </c>
      <c r="L51" s="81" t="str">
        <f t="shared" si="59"/>
        <v>Total Prime &amp; Sub Labor Before Prime G&amp;A &amp; Fee</v>
      </c>
      <c r="M51" s="81" t="str">
        <f t="shared" si="59"/>
        <v>G&amp;A (Note 12)</v>
      </c>
      <c r="N51" s="81" t="str">
        <f t="shared" si="59"/>
        <v>Total Cost</v>
      </c>
      <c r="O51" s="81" t="str">
        <f t="shared" si="59"/>
        <v>Fee</v>
      </c>
      <c r="P51" s="81" t="str">
        <f t="shared" si="59"/>
        <v>Total Price</v>
      </c>
      <c r="Q51" s="81" t="str">
        <f t="shared" si="59"/>
        <v xml:space="preserve">Proposal Fully Burdened Hourly Billing Rate </v>
      </c>
      <c r="R51" s="81" t="str">
        <f t="shared" si="59"/>
        <v>Wrap Rate</v>
      </c>
    </row>
    <row r="52" spans="1:18" s="82" customFormat="1" ht="13.5" thickBot="1">
      <c r="A52" s="31" t="str">
        <f t="shared" ref="A52:R52" si="60">+A32</f>
        <v>a</v>
      </c>
      <c r="B52" s="31" t="str">
        <f t="shared" si="60"/>
        <v>b</v>
      </c>
      <c r="C52" s="31" t="str">
        <f t="shared" si="60"/>
        <v>c</v>
      </c>
      <c r="D52" s="31" t="str">
        <f t="shared" si="60"/>
        <v>d</v>
      </c>
      <c r="E52" s="31" t="str">
        <f t="shared" si="60"/>
        <v>e</v>
      </c>
      <c r="F52" s="31" t="str">
        <f t="shared" si="60"/>
        <v>f</v>
      </c>
      <c r="G52" s="36" t="str">
        <f t="shared" si="60"/>
        <v>g</v>
      </c>
      <c r="H52" s="31" t="str">
        <f t="shared" si="60"/>
        <v>h</v>
      </c>
      <c r="I52" s="32" t="str">
        <f t="shared" si="60"/>
        <v>i</v>
      </c>
      <c r="J52" s="32" t="str">
        <f t="shared" si="60"/>
        <v>j</v>
      </c>
      <c r="K52" s="32" t="str">
        <f t="shared" si="60"/>
        <v>k = h + i + j</v>
      </c>
      <c r="L52" s="32" t="str">
        <f t="shared" si="60"/>
        <v>l = g x k</v>
      </c>
      <c r="M52" s="32" t="str">
        <f t="shared" si="60"/>
        <v>m</v>
      </c>
      <c r="N52" s="32" t="str">
        <f t="shared" si="60"/>
        <v>n = l + o</v>
      </c>
      <c r="O52" s="32" t="str">
        <f t="shared" si="60"/>
        <v>o</v>
      </c>
      <c r="P52" s="32" t="str">
        <f t="shared" si="60"/>
        <v>p = n + o</v>
      </c>
      <c r="Q52" s="32" t="str">
        <f t="shared" si="60"/>
        <v>q = p/g</v>
      </c>
      <c r="R52" s="32" t="str">
        <f t="shared" si="60"/>
        <v>r = q/h</v>
      </c>
    </row>
    <row r="53" spans="1:18" s="82" customFormat="1">
      <c r="A53" s="168" t="str">
        <f>IF('Direct Labor Rate Schedule'!$A$10="","",'Direct Labor Rate Schedule'!$A$10)</f>
        <v/>
      </c>
      <c r="B53" s="196"/>
      <c r="C53" s="167"/>
      <c r="D53" s="159"/>
      <c r="E53" s="159"/>
      <c r="F53" s="160"/>
      <c r="G53" s="161"/>
      <c r="H53" s="162"/>
      <c r="I53" s="163"/>
      <c r="J53" s="163"/>
      <c r="K53" s="163"/>
      <c r="L53" s="164"/>
      <c r="M53" s="164"/>
      <c r="N53" s="164"/>
      <c r="O53" s="164"/>
      <c r="P53" s="164"/>
      <c r="Q53" s="165"/>
      <c r="R53" s="166"/>
    </row>
    <row r="54" spans="1:18" s="82" customFormat="1">
      <c r="A54" s="303" t="str">
        <f>A34</f>
        <v/>
      </c>
      <c r="B54" s="212">
        <f>B34</f>
        <v>0</v>
      </c>
      <c r="C54" s="211" t="str">
        <f>C34</f>
        <v>Program Manager</v>
      </c>
      <c r="D54" s="97" t="s">
        <v>11</v>
      </c>
      <c r="E54" s="97"/>
      <c r="F54" s="304">
        <f t="shared" ref="F54:F65" si="61">G54/AnnualProductiveHours</f>
        <v>0.97916666666666663</v>
      </c>
      <c r="G54" s="305">
        <v>1880</v>
      </c>
      <c r="H54" s="83">
        <f>'Direct Labor Rate Schedule'!H11</f>
        <v>0</v>
      </c>
      <c r="I54" s="84">
        <f t="shared" ref="I54" si="62">ROUND((+H54*$I$50),2)</f>
        <v>0</v>
      </c>
      <c r="J54" s="84">
        <f t="shared" ref="J54" si="63">ROUND((+H54*$J$50),2)</f>
        <v>0</v>
      </c>
      <c r="K54" s="145">
        <f t="shared" ref="K54" si="64">+H54+SUM(I54:J54)</f>
        <v>0</v>
      </c>
      <c r="L54" s="85">
        <f t="shared" ref="L54" si="65">ROUND((+G54*K54),2)</f>
        <v>0</v>
      </c>
      <c r="M54" s="85">
        <f t="shared" ref="M54" si="66">ROUND((+L54*$M$50),2)</f>
        <v>0</v>
      </c>
      <c r="N54" s="85">
        <f t="shared" ref="N54" si="67">SUM(L54:M54)</f>
        <v>0</v>
      </c>
      <c r="O54" s="85">
        <f t="shared" ref="O54" si="68">ROUND((+N54*$O$50),2)</f>
        <v>0</v>
      </c>
      <c r="P54" s="85">
        <f>SUM(N54:O54)</f>
        <v>0</v>
      </c>
      <c r="Q54" s="86">
        <f t="shared" ref="Q54" si="69">IFERROR((+P54/G54),"")</f>
        <v>0</v>
      </c>
      <c r="R54" s="102" t="str">
        <f t="shared" ref="R54" si="70">IFERROR(Q54/H54-1,"")</f>
        <v/>
      </c>
    </row>
    <row r="55" spans="1:18" s="82" customFormat="1">
      <c r="A55" s="303" t="str">
        <f t="shared" ref="A55:A65" si="71">A35</f>
        <v/>
      </c>
      <c r="B55" s="212">
        <f t="shared" ref="B55:B65" si="72">B35</f>
        <v>0</v>
      </c>
      <c r="C55" s="211" t="str">
        <f t="shared" ref="C55:C65" si="73">C35</f>
        <v>Senior Analyst</v>
      </c>
      <c r="D55" s="97" t="s">
        <v>11</v>
      </c>
      <c r="E55" s="97"/>
      <c r="F55" s="304">
        <f t="shared" si="61"/>
        <v>46.005208333333336</v>
      </c>
      <c r="G55" s="305">
        <v>88330</v>
      </c>
      <c r="H55" s="83">
        <f>'Direct Labor Rate Schedule'!H12</f>
        <v>0</v>
      </c>
      <c r="I55" s="84">
        <f t="shared" ref="I55:I65" si="74">ROUND((+H55*$I$50),2)</f>
        <v>0</v>
      </c>
      <c r="J55" s="84">
        <f t="shared" ref="J55:J65" si="75">ROUND((+H55*$J$50),2)</f>
        <v>0</v>
      </c>
      <c r="K55" s="145">
        <f t="shared" ref="K55:K65" si="76">+H55+SUM(I55:J55)</f>
        <v>0</v>
      </c>
      <c r="L55" s="85">
        <f t="shared" ref="L55:L65" si="77">ROUND((+G55*K55),2)</f>
        <v>0</v>
      </c>
      <c r="M55" s="85">
        <f t="shared" ref="M55:M65" si="78">ROUND((+L55*$M$50),2)</f>
        <v>0</v>
      </c>
      <c r="N55" s="85">
        <f t="shared" ref="N55:N65" si="79">SUM(L55:M55)</f>
        <v>0</v>
      </c>
      <c r="O55" s="85">
        <f t="shared" ref="O55:O65" si="80">ROUND((+N55*$O$50),2)</f>
        <v>0</v>
      </c>
      <c r="P55" s="85">
        <f t="shared" ref="P55:P65" si="81">SUM(N55:O55)</f>
        <v>0</v>
      </c>
      <c r="Q55" s="86">
        <f t="shared" ref="Q55:Q65" si="82">IFERROR((+P55/G55),"")</f>
        <v>0</v>
      </c>
      <c r="R55" s="102" t="str">
        <f t="shared" ref="R55:R65" si="83">IFERROR(Q55/H55-1,"")</f>
        <v/>
      </c>
    </row>
    <row r="56" spans="1:18" s="82" customFormat="1">
      <c r="A56" s="303" t="str">
        <f t="shared" si="71"/>
        <v/>
      </c>
      <c r="B56" s="212">
        <f t="shared" si="72"/>
        <v>0</v>
      </c>
      <c r="C56" s="211" t="str">
        <f t="shared" si="73"/>
        <v>Analyst</v>
      </c>
      <c r="D56" s="97" t="s">
        <v>11</v>
      </c>
      <c r="E56" s="97"/>
      <c r="F56" s="304">
        <f t="shared" si="61"/>
        <v>2.9375</v>
      </c>
      <c r="G56" s="305">
        <v>5640</v>
      </c>
      <c r="H56" s="83">
        <f>'Direct Labor Rate Schedule'!H13</f>
        <v>0</v>
      </c>
      <c r="I56" s="84">
        <f t="shared" si="74"/>
        <v>0</v>
      </c>
      <c r="J56" s="84">
        <f t="shared" si="75"/>
        <v>0</v>
      </c>
      <c r="K56" s="145">
        <f t="shared" si="76"/>
        <v>0</v>
      </c>
      <c r="L56" s="85">
        <f t="shared" si="77"/>
        <v>0</v>
      </c>
      <c r="M56" s="85">
        <f t="shared" si="78"/>
        <v>0</v>
      </c>
      <c r="N56" s="85">
        <f t="shared" si="79"/>
        <v>0</v>
      </c>
      <c r="O56" s="85">
        <f t="shared" si="80"/>
        <v>0</v>
      </c>
      <c r="P56" s="85">
        <f t="shared" si="81"/>
        <v>0</v>
      </c>
      <c r="Q56" s="86">
        <f t="shared" si="82"/>
        <v>0</v>
      </c>
      <c r="R56" s="102" t="str">
        <f t="shared" si="83"/>
        <v/>
      </c>
    </row>
    <row r="57" spans="1:18" s="82" customFormat="1">
      <c r="A57" s="303" t="str">
        <f t="shared" si="71"/>
        <v/>
      </c>
      <c r="B57" s="212">
        <f t="shared" si="72"/>
        <v>0</v>
      </c>
      <c r="C57" s="211" t="str">
        <f t="shared" si="73"/>
        <v>Junior Analyst</v>
      </c>
      <c r="D57" s="97" t="s">
        <v>11</v>
      </c>
      <c r="E57" s="97"/>
      <c r="F57" s="304">
        <f t="shared" si="61"/>
        <v>2.9375</v>
      </c>
      <c r="G57" s="305">
        <v>5640</v>
      </c>
      <c r="H57" s="83">
        <f>'Direct Labor Rate Schedule'!H14</f>
        <v>0</v>
      </c>
      <c r="I57" s="84">
        <f t="shared" si="74"/>
        <v>0</v>
      </c>
      <c r="J57" s="84">
        <f t="shared" si="75"/>
        <v>0</v>
      </c>
      <c r="K57" s="145">
        <f t="shared" si="76"/>
        <v>0</v>
      </c>
      <c r="L57" s="85">
        <f t="shared" si="77"/>
        <v>0</v>
      </c>
      <c r="M57" s="85">
        <f t="shared" si="78"/>
        <v>0</v>
      </c>
      <c r="N57" s="85">
        <f t="shared" si="79"/>
        <v>0</v>
      </c>
      <c r="O57" s="85">
        <f t="shared" si="80"/>
        <v>0</v>
      </c>
      <c r="P57" s="85">
        <f t="shared" si="81"/>
        <v>0</v>
      </c>
      <c r="Q57" s="86">
        <f t="shared" si="82"/>
        <v>0</v>
      </c>
      <c r="R57" s="102" t="str">
        <f t="shared" si="83"/>
        <v/>
      </c>
    </row>
    <row r="58" spans="1:18" s="82" customFormat="1">
      <c r="A58" s="303" t="str">
        <f t="shared" si="71"/>
        <v/>
      </c>
      <c r="B58" s="212">
        <f t="shared" si="72"/>
        <v>0</v>
      </c>
      <c r="C58" s="211" t="str">
        <f t="shared" si="73"/>
        <v>Senior Operations Research Analyst</v>
      </c>
      <c r="D58" s="97" t="s">
        <v>11</v>
      </c>
      <c r="E58" s="97"/>
      <c r="F58" s="304">
        <f t="shared" si="61"/>
        <v>2.9375</v>
      </c>
      <c r="G58" s="305">
        <v>5640</v>
      </c>
      <c r="H58" s="83">
        <f>'Direct Labor Rate Schedule'!H15</f>
        <v>0</v>
      </c>
      <c r="I58" s="84">
        <f t="shared" si="74"/>
        <v>0</v>
      </c>
      <c r="J58" s="84">
        <f t="shared" si="75"/>
        <v>0</v>
      </c>
      <c r="K58" s="145">
        <f t="shared" si="76"/>
        <v>0</v>
      </c>
      <c r="L58" s="85">
        <f t="shared" si="77"/>
        <v>0</v>
      </c>
      <c r="M58" s="85">
        <f t="shared" si="78"/>
        <v>0</v>
      </c>
      <c r="N58" s="85">
        <f t="shared" si="79"/>
        <v>0</v>
      </c>
      <c r="O58" s="85">
        <f t="shared" si="80"/>
        <v>0</v>
      </c>
      <c r="P58" s="85">
        <f t="shared" si="81"/>
        <v>0</v>
      </c>
      <c r="Q58" s="86">
        <f t="shared" si="82"/>
        <v>0</v>
      </c>
      <c r="R58" s="102" t="str">
        <f t="shared" si="83"/>
        <v/>
      </c>
    </row>
    <row r="59" spans="1:18" s="82" customFormat="1">
      <c r="A59" s="303" t="str">
        <f t="shared" si="71"/>
        <v/>
      </c>
      <c r="B59" s="212">
        <f t="shared" si="72"/>
        <v>0</v>
      </c>
      <c r="C59" s="211" t="str">
        <f t="shared" si="73"/>
        <v>Operations Research Analyst</v>
      </c>
      <c r="D59" s="97" t="s">
        <v>11</v>
      </c>
      <c r="E59" s="97"/>
      <c r="F59" s="304">
        <f t="shared" si="61"/>
        <v>1.9583333333333333</v>
      </c>
      <c r="G59" s="305">
        <v>3760</v>
      </c>
      <c r="H59" s="83">
        <f>'Direct Labor Rate Schedule'!H16</f>
        <v>0</v>
      </c>
      <c r="I59" s="84">
        <f t="shared" si="74"/>
        <v>0</v>
      </c>
      <c r="J59" s="84">
        <f t="shared" si="75"/>
        <v>0</v>
      </c>
      <c r="K59" s="145">
        <f t="shared" si="76"/>
        <v>0</v>
      </c>
      <c r="L59" s="85">
        <f t="shared" si="77"/>
        <v>0</v>
      </c>
      <c r="M59" s="85">
        <f t="shared" si="78"/>
        <v>0</v>
      </c>
      <c r="N59" s="85">
        <f t="shared" si="79"/>
        <v>0</v>
      </c>
      <c r="O59" s="85">
        <f t="shared" si="80"/>
        <v>0</v>
      </c>
      <c r="P59" s="85">
        <f t="shared" si="81"/>
        <v>0</v>
      </c>
      <c r="Q59" s="86">
        <f t="shared" si="82"/>
        <v>0</v>
      </c>
      <c r="R59" s="102" t="str">
        <f t="shared" si="83"/>
        <v/>
      </c>
    </row>
    <row r="60" spans="1:18" s="82" customFormat="1">
      <c r="A60" s="303" t="str">
        <f t="shared" si="71"/>
        <v/>
      </c>
      <c r="B60" s="212">
        <f t="shared" si="72"/>
        <v>0</v>
      </c>
      <c r="C60" s="211" t="str">
        <f t="shared" si="73"/>
        <v>Graphics Design Senior Analyst</v>
      </c>
      <c r="D60" s="97" t="s">
        <v>11</v>
      </c>
      <c r="E60" s="97"/>
      <c r="F60" s="304">
        <f t="shared" si="61"/>
        <v>0.97916666666666663</v>
      </c>
      <c r="G60" s="305">
        <v>1880</v>
      </c>
      <c r="H60" s="83">
        <f>'Direct Labor Rate Schedule'!H17</f>
        <v>0</v>
      </c>
      <c r="I60" s="84">
        <f t="shared" ref="I60:I64" si="84">ROUND((+H60*$I$50),2)</f>
        <v>0</v>
      </c>
      <c r="J60" s="84">
        <f t="shared" ref="J60:J64" si="85">ROUND((+H60*$J$50),2)</f>
        <v>0</v>
      </c>
      <c r="K60" s="145">
        <f t="shared" ref="K60:K64" si="86">+H60+SUM(I60:J60)</f>
        <v>0</v>
      </c>
      <c r="L60" s="85">
        <f t="shared" ref="L60:L64" si="87">ROUND((+G60*K60),2)</f>
        <v>0</v>
      </c>
      <c r="M60" s="85">
        <f t="shared" ref="M60:M64" si="88">ROUND((+L60*$M$50),2)</f>
        <v>0</v>
      </c>
      <c r="N60" s="85">
        <f t="shared" ref="N60:N64" si="89">SUM(L60:M60)</f>
        <v>0</v>
      </c>
      <c r="O60" s="85">
        <f t="shared" ref="O60:O64" si="90">ROUND((+N60*$O$50),2)</f>
        <v>0</v>
      </c>
      <c r="P60" s="85">
        <f t="shared" ref="P60:P64" si="91">SUM(N60:O60)</f>
        <v>0</v>
      </c>
      <c r="Q60" s="86">
        <f t="shared" ref="Q60:Q64" si="92">IFERROR((+P60/G60),"")</f>
        <v>0</v>
      </c>
      <c r="R60" s="102" t="str">
        <f t="shared" ref="R60:R64" si="93">IFERROR(Q60/H60-1,"")</f>
        <v/>
      </c>
    </row>
    <row r="61" spans="1:18" s="82" customFormat="1">
      <c r="A61" s="303" t="str">
        <f t="shared" si="71"/>
        <v/>
      </c>
      <c r="B61" s="212">
        <f t="shared" si="72"/>
        <v>0</v>
      </c>
      <c r="C61" s="211" t="str">
        <f t="shared" si="73"/>
        <v>Force Documentation Senior Analyst</v>
      </c>
      <c r="D61" s="97" t="s">
        <v>11</v>
      </c>
      <c r="E61" s="97"/>
      <c r="F61" s="304">
        <f t="shared" si="61"/>
        <v>0.97916666666666663</v>
      </c>
      <c r="G61" s="305">
        <v>1880</v>
      </c>
      <c r="H61" s="83">
        <f>'Direct Labor Rate Schedule'!H18</f>
        <v>0</v>
      </c>
      <c r="I61" s="84">
        <f t="shared" si="84"/>
        <v>0</v>
      </c>
      <c r="J61" s="84">
        <f t="shared" si="85"/>
        <v>0</v>
      </c>
      <c r="K61" s="145">
        <f t="shared" si="86"/>
        <v>0</v>
      </c>
      <c r="L61" s="85">
        <f t="shared" si="87"/>
        <v>0</v>
      </c>
      <c r="M61" s="85">
        <f t="shared" si="88"/>
        <v>0</v>
      </c>
      <c r="N61" s="85">
        <f t="shared" si="89"/>
        <v>0</v>
      </c>
      <c r="O61" s="85">
        <f t="shared" si="90"/>
        <v>0</v>
      </c>
      <c r="P61" s="85">
        <f t="shared" si="91"/>
        <v>0</v>
      </c>
      <c r="Q61" s="86">
        <f t="shared" si="92"/>
        <v>0</v>
      </c>
      <c r="R61" s="102" t="str">
        <f t="shared" si="93"/>
        <v/>
      </c>
    </row>
    <row r="62" spans="1:18" s="82" customFormat="1">
      <c r="A62" s="303" t="str">
        <f t="shared" si="71"/>
        <v/>
      </c>
      <c r="B62" s="212">
        <f t="shared" si="72"/>
        <v>0</v>
      </c>
      <c r="C62" s="211">
        <f t="shared" si="73"/>
        <v>0</v>
      </c>
      <c r="D62" s="97" t="s">
        <v>11</v>
      </c>
      <c r="E62" s="97"/>
      <c r="F62" s="304">
        <f t="shared" si="61"/>
        <v>0</v>
      </c>
      <c r="G62" s="305">
        <v>0</v>
      </c>
      <c r="H62" s="83">
        <f>'Direct Labor Rate Schedule'!H19</f>
        <v>0</v>
      </c>
      <c r="I62" s="84">
        <f t="shared" si="84"/>
        <v>0</v>
      </c>
      <c r="J62" s="84">
        <f t="shared" si="85"/>
        <v>0</v>
      </c>
      <c r="K62" s="145">
        <f t="shared" si="86"/>
        <v>0</v>
      </c>
      <c r="L62" s="85">
        <f t="shared" si="87"/>
        <v>0</v>
      </c>
      <c r="M62" s="85">
        <f t="shared" si="88"/>
        <v>0</v>
      </c>
      <c r="N62" s="85">
        <f t="shared" si="89"/>
        <v>0</v>
      </c>
      <c r="O62" s="85">
        <f t="shared" si="90"/>
        <v>0</v>
      </c>
      <c r="P62" s="85">
        <f t="shared" si="91"/>
        <v>0</v>
      </c>
      <c r="Q62" s="86" t="str">
        <f t="shared" si="92"/>
        <v/>
      </c>
      <c r="R62" s="102" t="str">
        <f t="shared" si="93"/>
        <v/>
      </c>
    </row>
    <row r="63" spans="1:18" s="82" customFormat="1">
      <c r="A63" s="303" t="str">
        <f t="shared" si="71"/>
        <v/>
      </c>
      <c r="B63" s="212">
        <f t="shared" si="72"/>
        <v>0</v>
      </c>
      <c r="C63" s="211">
        <f t="shared" si="73"/>
        <v>0</v>
      </c>
      <c r="D63" s="97" t="s">
        <v>11</v>
      </c>
      <c r="E63" s="97"/>
      <c r="F63" s="304">
        <f t="shared" si="61"/>
        <v>0</v>
      </c>
      <c r="G63" s="305">
        <v>0</v>
      </c>
      <c r="H63" s="83">
        <f>'Direct Labor Rate Schedule'!H20</f>
        <v>0</v>
      </c>
      <c r="I63" s="84">
        <f t="shared" si="84"/>
        <v>0</v>
      </c>
      <c r="J63" s="84">
        <f t="shared" si="85"/>
        <v>0</v>
      </c>
      <c r="K63" s="145">
        <f t="shared" si="86"/>
        <v>0</v>
      </c>
      <c r="L63" s="85">
        <f t="shared" si="87"/>
        <v>0</v>
      </c>
      <c r="M63" s="85">
        <f t="shared" si="88"/>
        <v>0</v>
      </c>
      <c r="N63" s="85">
        <f t="shared" si="89"/>
        <v>0</v>
      </c>
      <c r="O63" s="85">
        <f t="shared" si="90"/>
        <v>0</v>
      </c>
      <c r="P63" s="85">
        <f t="shared" si="91"/>
        <v>0</v>
      </c>
      <c r="Q63" s="86" t="str">
        <f t="shared" si="92"/>
        <v/>
      </c>
      <c r="R63" s="102" t="str">
        <f t="shared" si="93"/>
        <v/>
      </c>
    </row>
    <row r="64" spans="1:18" s="82" customFormat="1">
      <c r="A64" s="303" t="str">
        <f t="shared" si="71"/>
        <v/>
      </c>
      <c r="B64" s="212">
        <f t="shared" si="72"/>
        <v>0</v>
      </c>
      <c r="C64" s="211">
        <f t="shared" si="73"/>
        <v>0</v>
      </c>
      <c r="D64" s="97" t="s">
        <v>11</v>
      </c>
      <c r="E64" s="97"/>
      <c r="F64" s="304">
        <f t="shared" si="61"/>
        <v>0</v>
      </c>
      <c r="G64" s="305">
        <v>0</v>
      </c>
      <c r="H64" s="83">
        <f>'Direct Labor Rate Schedule'!H21</f>
        <v>0</v>
      </c>
      <c r="I64" s="84">
        <f t="shared" si="84"/>
        <v>0</v>
      </c>
      <c r="J64" s="84">
        <f t="shared" si="85"/>
        <v>0</v>
      </c>
      <c r="K64" s="145">
        <f t="shared" si="86"/>
        <v>0</v>
      </c>
      <c r="L64" s="85">
        <f t="shared" si="87"/>
        <v>0</v>
      </c>
      <c r="M64" s="85">
        <f t="shared" si="88"/>
        <v>0</v>
      </c>
      <c r="N64" s="85">
        <f t="shared" si="89"/>
        <v>0</v>
      </c>
      <c r="O64" s="85">
        <f t="shared" si="90"/>
        <v>0</v>
      </c>
      <c r="P64" s="85">
        <f t="shared" si="91"/>
        <v>0</v>
      </c>
      <c r="Q64" s="86" t="str">
        <f t="shared" si="92"/>
        <v/>
      </c>
      <c r="R64" s="102" t="str">
        <f t="shared" si="93"/>
        <v/>
      </c>
    </row>
    <row r="65" spans="1:18" s="82" customFormat="1" ht="13.5" thickBot="1">
      <c r="A65" s="303" t="str">
        <f t="shared" si="71"/>
        <v/>
      </c>
      <c r="B65" s="212">
        <f t="shared" si="72"/>
        <v>0</v>
      </c>
      <c r="C65" s="211">
        <f t="shared" si="73"/>
        <v>0</v>
      </c>
      <c r="D65" s="97" t="s">
        <v>11</v>
      </c>
      <c r="E65" s="97"/>
      <c r="F65" s="304">
        <f t="shared" si="61"/>
        <v>0</v>
      </c>
      <c r="G65" s="305">
        <v>0</v>
      </c>
      <c r="H65" s="83">
        <f>'Direct Labor Rate Schedule'!H22</f>
        <v>0</v>
      </c>
      <c r="I65" s="84">
        <f t="shared" si="74"/>
        <v>0</v>
      </c>
      <c r="J65" s="84">
        <f t="shared" si="75"/>
        <v>0</v>
      </c>
      <c r="K65" s="145">
        <f t="shared" si="76"/>
        <v>0</v>
      </c>
      <c r="L65" s="85">
        <f t="shared" si="77"/>
        <v>0</v>
      </c>
      <c r="M65" s="85">
        <f t="shared" si="78"/>
        <v>0</v>
      </c>
      <c r="N65" s="85">
        <f t="shared" si="79"/>
        <v>0</v>
      </c>
      <c r="O65" s="85">
        <f t="shared" si="80"/>
        <v>0</v>
      </c>
      <c r="P65" s="85">
        <f t="shared" si="81"/>
        <v>0</v>
      </c>
      <c r="Q65" s="86" t="str">
        <f t="shared" si="82"/>
        <v/>
      </c>
      <c r="R65" s="102" t="str">
        <f t="shared" si="83"/>
        <v/>
      </c>
    </row>
    <row r="66" spans="1:18" s="82" customFormat="1" ht="14.25" thickTop="1" thickBot="1">
      <c r="A66" s="360" t="s">
        <v>85</v>
      </c>
      <c r="B66" s="361"/>
      <c r="C66" s="361"/>
      <c r="D66" s="361"/>
      <c r="E66" s="362"/>
      <c r="F66" s="146">
        <f>SUM(F54:F65)</f>
        <v>59.713541666666664</v>
      </c>
      <c r="G66" s="146">
        <f>SUM(G54:G65)</f>
        <v>114650</v>
      </c>
      <c r="H66" s="108">
        <f>SUMPRODUCT(H54:H65,$G54:$G65)</f>
        <v>0</v>
      </c>
      <c r="I66" s="108">
        <f>SUMPRODUCT(I54:I65,$G54:$G65)</f>
        <v>0</v>
      </c>
      <c r="J66" s="108">
        <f>SUMPRODUCT(J54:J65,$G54:$G65)</f>
        <v>0</v>
      </c>
      <c r="K66" s="108">
        <f>SUMPRODUCT(K54:K65,$G54:$G65)</f>
        <v>0</v>
      </c>
      <c r="L66" s="108">
        <f>SUM(L54:L65)</f>
        <v>0</v>
      </c>
      <c r="M66" s="108">
        <f>SUM(M54:M65)</f>
        <v>0</v>
      </c>
      <c r="N66" s="108">
        <f>SUM(N54:N65)</f>
        <v>0</v>
      </c>
      <c r="O66" s="108">
        <f>SUM(O54:O65)</f>
        <v>0</v>
      </c>
      <c r="P66" s="108">
        <f>SUM(P54:P65)</f>
        <v>0</v>
      </c>
      <c r="Q66" s="108">
        <f>SUMPRODUCT(Q54:Q65,$G54:$G65)</f>
        <v>0</v>
      </c>
      <c r="R66" s="109"/>
    </row>
    <row r="67" spans="1:18" s="82" customFormat="1" ht="14.25" thickTop="1" thickBot="1">
      <c r="A67" s="360" t="s">
        <v>86</v>
      </c>
      <c r="B67" s="361"/>
      <c r="C67" s="361"/>
      <c r="D67" s="361"/>
      <c r="E67" s="362"/>
      <c r="F67" s="116"/>
      <c r="G67" s="173">
        <f>G66/SUM(F54:F65)</f>
        <v>1920</v>
      </c>
      <c r="H67" s="110">
        <f>H66/$G66</f>
        <v>0</v>
      </c>
      <c r="I67" s="110">
        <f t="shared" ref="I67:J67" si="94">I66/$G66</f>
        <v>0</v>
      </c>
      <c r="J67" s="110">
        <f t="shared" si="94"/>
        <v>0</v>
      </c>
      <c r="K67" s="110">
        <f>K66/$G66</f>
        <v>0</v>
      </c>
      <c r="L67" s="110">
        <f>L66/$G66</f>
        <v>0</v>
      </c>
      <c r="M67" s="110">
        <f t="shared" ref="M67:P67" si="95">M66/$G66</f>
        <v>0</v>
      </c>
      <c r="N67" s="110">
        <f t="shared" si="95"/>
        <v>0</v>
      </c>
      <c r="O67" s="110">
        <f t="shared" si="95"/>
        <v>0</v>
      </c>
      <c r="P67" s="110">
        <f t="shared" si="95"/>
        <v>0</v>
      </c>
      <c r="Q67" s="110">
        <f>Q66/$G66</f>
        <v>0</v>
      </c>
      <c r="R67" s="115" t="e">
        <f>Q67/H67</f>
        <v>#DIV/0!</v>
      </c>
    </row>
    <row r="68" spans="1:18" s="82" customFormat="1" ht="13.5" thickTop="1">
      <c r="C68" s="16"/>
      <c r="D68" s="17"/>
      <c r="E68" s="9"/>
      <c r="F68" s="10"/>
      <c r="G68" s="10"/>
      <c r="H68" s="10"/>
      <c r="I68" s="9"/>
      <c r="J68" s="9"/>
      <c r="K68" s="14"/>
      <c r="L68" s="12"/>
      <c r="M68" s="12"/>
      <c r="N68" s="12"/>
      <c r="O68" s="12"/>
      <c r="P68" s="12"/>
      <c r="Q68" s="12"/>
    </row>
    <row r="69" spans="1:18">
      <c r="C69" s="23"/>
      <c r="D69" s="24"/>
      <c r="E69" s="18"/>
      <c r="F69" s="19"/>
      <c r="G69" s="356" t="s">
        <v>28</v>
      </c>
      <c r="H69" s="363"/>
      <c r="I69" s="366" t="s">
        <v>29</v>
      </c>
      <c r="J69" s="366"/>
      <c r="K69" s="367"/>
      <c r="L69" s="367"/>
      <c r="M69" s="367"/>
      <c r="N69" s="20"/>
      <c r="O69" s="21"/>
      <c r="P69" s="22"/>
      <c r="Q69" s="22"/>
    </row>
    <row r="70" spans="1:18">
      <c r="C70" s="35" t="s">
        <v>254</v>
      </c>
      <c r="D70" s="25"/>
      <c r="E70" s="26"/>
      <c r="F70" s="27"/>
      <c r="G70" s="364"/>
      <c r="H70" s="365"/>
      <c r="I70" s="91">
        <f>'Indirect Rate Summary'!C24</f>
        <v>0</v>
      </c>
      <c r="J70" s="91">
        <f>'Indirect Rate Summary'!D24</f>
        <v>0</v>
      </c>
      <c r="K70" s="28"/>
      <c r="L70" s="29"/>
      <c r="M70" s="95">
        <f>'Indirect Rate Summary'!E24</f>
        <v>0</v>
      </c>
      <c r="N70" s="30"/>
      <c r="O70" s="92">
        <f>'Indirect Rate Summary'!F24</f>
        <v>0</v>
      </c>
      <c r="P70" s="22"/>
      <c r="Q70" s="22"/>
    </row>
    <row r="71" spans="1:18" s="144" customFormat="1" ht="89.25">
      <c r="A71" s="79" t="str">
        <f t="shared" ref="A71:R71" si="96">+A51</f>
        <v>Location (Note 1)</v>
      </c>
      <c r="B71" s="79" t="str">
        <f t="shared" si="96"/>
        <v>Labor Type (Note 2)</v>
      </c>
      <c r="C71" s="79" t="str">
        <f t="shared" si="96"/>
        <v>Labor Categories (Note 3)</v>
      </c>
      <c r="D71" s="79" t="str">
        <f t="shared" si="96"/>
        <v>Effort To Be Performed By The Prime (P) or Subcontractor (S) (Note 4)</v>
      </c>
      <c r="E71" s="79" t="str">
        <f t="shared" si="96"/>
        <v>If Column D=S, Enter Name of Subcontractor(s) (Note 5)</v>
      </c>
      <c r="F71" s="80" t="str">
        <f t="shared" si="96"/>
        <v>FTEs (Note 6)</v>
      </c>
      <c r="G71" s="141" t="str">
        <f t="shared" si="96"/>
        <v>Total Productive Hours (Note 7)</v>
      </c>
      <c r="H71" s="142" t="str">
        <f t="shared" si="96"/>
        <v>Hourly Base Pay Rate (Note 8)</v>
      </c>
      <c r="I71" s="81" t="str">
        <f t="shared" si="96"/>
        <v>Fringe (Note 9)</v>
      </c>
      <c r="J71" s="81" t="str">
        <f t="shared" si="96"/>
        <v>Overhead (Note 10)</v>
      </c>
      <c r="K71" s="81" t="str">
        <f t="shared" si="96"/>
        <v xml:space="preserve"> Prime/Sub Hourly Rate Before Application Of  Prime G&amp;A &amp; Fee (IF Col C=S Enter Sub Rate) (Note 11)</v>
      </c>
      <c r="L71" s="81" t="str">
        <f t="shared" si="96"/>
        <v>Total Prime &amp; Sub Labor Before Prime G&amp;A &amp; Fee</v>
      </c>
      <c r="M71" s="81" t="str">
        <f t="shared" si="96"/>
        <v>G&amp;A (Note 12)</v>
      </c>
      <c r="N71" s="81" t="str">
        <f t="shared" si="96"/>
        <v>Total Cost</v>
      </c>
      <c r="O71" s="81" t="str">
        <f t="shared" si="96"/>
        <v>Fee</v>
      </c>
      <c r="P71" s="81" t="str">
        <f t="shared" si="96"/>
        <v>Total Price</v>
      </c>
      <c r="Q71" s="81" t="str">
        <f t="shared" si="96"/>
        <v xml:space="preserve">Proposal Fully Burdened Hourly Billing Rate </v>
      </c>
      <c r="R71" s="81" t="str">
        <f t="shared" si="96"/>
        <v>Wrap Rate</v>
      </c>
    </row>
    <row r="72" spans="1:18">
      <c r="A72" s="31" t="str">
        <f t="shared" ref="A72:R72" si="97">+A52</f>
        <v>a</v>
      </c>
      <c r="B72" s="31" t="str">
        <f t="shared" si="97"/>
        <v>b</v>
      </c>
      <c r="C72" s="31" t="str">
        <f t="shared" si="97"/>
        <v>c</v>
      </c>
      <c r="D72" s="31" t="str">
        <f t="shared" si="97"/>
        <v>d</v>
      </c>
      <c r="E72" s="31" t="str">
        <f t="shared" si="97"/>
        <v>e</v>
      </c>
      <c r="F72" s="31" t="str">
        <f t="shared" si="97"/>
        <v>f</v>
      </c>
      <c r="G72" s="36" t="str">
        <f t="shared" si="97"/>
        <v>g</v>
      </c>
      <c r="H72" s="31" t="str">
        <f t="shared" si="97"/>
        <v>h</v>
      </c>
      <c r="I72" s="32" t="str">
        <f t="shared" si="97"/>
        <v>i</v>
      </c>
      <c r="J72" s="32" t="str">
        <f t="shared" si="97"/>
        <v>j</v>
      </c>
      <c r="K72" s="32" t="str">
        <f t="shared" si="97"/>
        <v>k = h + i + j</v>
      </c>
      <c r="L72" s="32" t="str">
        <f t="shared" si="97"/>
        <v>l = g x k</v>
      </c>
      <c r="M72" s="32" t="str">
        <f t="shared" si="97"/>
        <v>m</v>
      </c>
      <c r="N72" s="32" t="str">
        <f t="shared" si="97"/>
        <v>n = l + o</v>
      </c>
      <c r="O72" s="32" t="str">
        <f t="shared" si="97"/>
        <v>o</v>
      </c>
      <c r="P72" s="32" t="str">
        <f t="shared" si="97"/>
        <v>p = n + o</v>
      </c>
      <c r="Q72" s="32" t="str">
        <f t="shared" si="97"/>
        <v>q = p/g</v>
      </c>
      <c r="R72" s="32" t="str">
        <f t="shared" si="97"/>
        <v>r = q/h</v>
      </c>
    </row>
    <row r="73" spans="1:18" s="82" customFormat="1">
      <c r="A73" s="168" t="str">
        <f>IF('Direct Labor Rate Schedule'!$A$10="","",'Direct Labor Rate Schedule'!$A$10)</f>
        <v/>
      </c>
      <c r="B73" s="196"/>
      <c r="C73" s="167"/>
      <c r="D73" s="159"/>
      <c r="E73" s="159"/>
      <c r="F73" s="160"/>
      <c r="G73" s="161"/>
      <c r="H73" s="162"/>
      <c r="I73" s="163"/>
      <c r="J73" s="163"/>
      <c r="K73" s="163"/>
      <c r="L73" s="164"/>
      <c r="M73" s="164"/>
      <c r="N73" s="164"/>
      <c r="O73" s="164"/>
      <c r="P73" s="164"/>
      <c r="Q73" s="165"/>
      <c r="R73" s="166"/>
    </row>
    <row r="74" spans="1:18">
      <c r="A74" s="303" t="str">
        <f>A54</f>
        <v/>
      </c>
      <c r="B74" s="212">
        <f>B54</f>
        <v>0</v>
      </c>
      <c r="C74" s="211" t="str">
        <f>C54</f>
        <v>Program Manager</v>
      </c>
      <c r="D74" s="97" t="s">
        <v>11</v>
      </c>
      <c r="E74" s="97"/>
      <c r="F74" s="304">
        <f t="shared" ref="F74:F85" si="98">G74/AnnualProductiveHours</f>
        <v>0.97916666666666663</v>
      </c>
      <c r="G74" s="305">
        <v>1880</v>
      </c>
      <c r="H74" s="83">
        <f>'Direct Labor Rate Schedule'!J11</f>
        <v>0</v>
      </c>
      <c r="I74" s="84">
        <f t="shared" ref="I74" si="99">ROUND((+H74*$I$70),2)</f>
        <v>0</v>
      </c>
      <c r="J74" s="84">
        <f t="shared" ref="J74" si="100">ROUND((+H74*$J$70),2)</f>
        <v>0</v>
      </c>
      <c r="K74" s="145">
        <f t="shared" ref="K74" si="101">+H74+SUM(I74:J74)</f>
        <v>0</v>
      </c>
      <c r="L74" s="85">
        <f t="shared" ref="L74" si="102">ROUND((+G74*K74),2)</f>
        <v>0</v>
      </c>
      <c r="M74" s="85">
        <f t="shared" ref="M74" si="103">ROUND((+L74*$M$70),2)</f>
        <v>0</v>
      </c>
      <c r="N74" s="85">
        <f t="shared" ref="N74" si="104">SUM(L74:M74)</f>
        <v>0</v>
      </c>
      <c r="O74" s="85">
        <f t="shared" ref="O74" si="105">ROUND((+N74*$O$70),2)</f>
        <v>0</v>
      </c>
      <c r="P74" s="85">
        <f t="shared" ref="P74" si="106">SUM(N74:O74)</f>
        <v>0</v>
      </c>
      <c r="Q74" s="86">
        <f t="shared" ref="Q74" si="107">IFERROR((+P74/G74),"")</f>
        <v>0</v>
      </c>
      <c r="R74" s="102" t="str">
        <f t="shared" ref="R74" si="108">IFERROR(Q74/H74-1,"")</f>
        <v/>
      </c>
    </row>
    <row r="75" spans="1:18">
      <c r="A75" s="303" t="str">
        <f t="shared" ref="A75:A85" si="109">A55</f>
        <v/>
      </c>
      <c r="B75" s="212">
        <f t="shared" ref="B75:C79" si="110">B55</f>
        <v>0</v>
      </c>
      <c r="C75" s="211" t="str">
        <f t="shared" si="110"/>
        <v>Senior Analyst</v>
      </c>
      <c r="D75" s="97" t="s">
        <v>11</v>
      </c>
      <c r="E75" s="97"/>
      <c r="F75" s="304">
        <f t="shared" si="98"/>
        <v>46.005208333333336</v>
      </c>
      <c r="G75" s="305">
        <v>88330</v>
      </c>
      <c r="H75" s="83">
        <f>'Direct Labor Rate Schedule'!J12</f>
        <v>0</v>
      </c>
      <c r="I75" s="84">
        <f t="shared" ref="I75:I79" si="111">ROUND((+H75*$I$70),2)</f>
        <v>0</v>
      </c>
      <c r="J75" s="84">
        <f t="shared" ref="J75:J79" si="112">ROUND((+H75*$J$70),2)</f>
        <v>0</v>
      </c>
      <c r="K75" s="145">
        <f t="shared" ref="K75:K79" si="113">+H75+SUM(I75:J75)</f>
        <v>0</v>
      </c>
      <c r="L75" s="85">
        <f t="shared" ref="L75:L79" si="114">ROUND((+G75*K75),2)</f>
        <v>0</v>
      </c>
      <c r="M75" s="85">
        <f t="shared" ref="M75:M79" si="115">ROUND((+L75*$M$70),2)</f>
        <v>0</v>
      </c>
      <c r="N75" s="85">
        <f t="shared" ref="N75:N79" si="116">SUM(L75:M75)</f>
        <v>0</v>
      </c>
      <c r="O75" s="85">
        <f t="shared" ref="O75:O79" si="117">ROUND((+N75*$O$70),2)</f>
        <v>0</v>
      </c>
      <c r="P75" s="85">
        <f t="shared" ref="P75:P79" si="118">SUM(N75:O75)</f>
        <v>0</v>
      </c>
      <c r="Q75" s="86">
        <f t="shared" ref="Q75:Q79" si="119">IFERROR((+P75/G75),"")</f>
        <v>0</v>
      </c>
      <c r="R75" s="102" t="str">
        <f t="shared" ref="R75:R79" si="120">IFERROR(Q75/H75-1,"")</f>
        <v/>
      </c>
    </row>
    <row r="76" spans="1:18">
      <c r="A76" s="303" t="str">
        <f t="shared" si="109"/>
        <v/>
      </c>
      <c r="B76" s="212">
        <f t="shared" si="110"/>
        <v>0</v>
      </c>
      <c r="C76" s="211" t="str">
        <f t="shared" si="110"/>
        <v>Analyst</v>
      </c>
      <c r="D76" s="97" t="s">
        <v>11</v>
      </c>
      <c r="E76" s="97"/>
      <c r="F76" s="304">
        <f t="shared" si="98"/>
        <v>2.9375</v>
      </c>
      <c r="G76" s="305">
        <v>5640</v>
      </c>
      <c r="H76" s="83">
        <f>'Direct Labor Rate Schedule'!J13</f>
        <v>0</v>
      </c>
      <c r="I76" s="84">
        <f t="shared" si="111"/>
        <v>0</v>
      </c>
      <c r="J76" s="84">
        <f t="shared" si="112"/>
        <v>0</v>
      </c>
      <c r="K76" s="145">
        <f t="shared" si="113"/>
        <v>0</v>
      </c>
      <c r="L76" s="85">
        <f t="shared" si="114"/>
        <v>0</v>
      </c>
      <c r="M76" s="85">
        <f t="shared" si="115"/>
        <v>0</v>
      </c>
      <c r="N76" s="85">
        <f t="shared" si="116"/>
        <v>0</v>
      </c>
      <c r="O76" s="85">
        <f t="shared" si="117"/>
        <v>0</v>
      </c>
      <c r="P76" s="85">
        <f t="shared" si="118"/>
        <v>0</v>
      </c>
      <c r="Q76" s="86">
        <f t="shared" si="119"/>
        <v>0</v>
      </c>
      <c r="R76" s="102" t="str">
        <f t="shared" si="120"/>
        <v/>
      </c>
    </row>
    <row r="77" spans="1:18">
      <c r="A77" s="303" t="str">
        <f t="shared" si="109"/>
        <v/>
      </c>
      <c r="B77" s="212">
        <f t="shared" si="110"/>
        <v>0</v>
      </c>
      <c r="C77" s="211" t="str">
        <f t="shared" si="110"/>
        <v>Junior Analyst</v>
      </c>
      <c r="D77" s="97" t="s">
        <v>11</v>
      </c>
      <c r="E77" s="97"/>
      <c r="F77" s="304">
        <f t="shared" si="98"/>
        <v>2.9375</v>
      </c>
      <c r="G77" s="305">
        <v>5640</v>
      </c>
      <c r="H77" s="83">
        <f>'Direct Labor Rate Schedule'!J14</f>
        <v>0</v>
      </c>
      <c r="I77" s="84">
        <f t="shared" si="111"/>
        <v>0</v>
      </c>
      <c r="J77" s="84">
        <f t="shared" si="112"/>
        <v>0</v>
      </c>
      <c r="K77" s="145">
        <f t="shared" si="113"/>
        <v>0</v>
      </c>
      <c r="L77" s="85">
        <f t="shared" si="114"/>
        <v>0</v>
      </c>
      <c r="M77" s="85">
        <f t="shared" si="115"/>
        <v>0</v>
      </c>
      <c r="N77" s="85">
        <f t="shared" si="116"/>
        <v>0</v>
      </c>
      <c r="O77" s="85">
        <f t="shared" si="117"/>
        <v>0</v>
      </c>
      <c r="P77" s="85">
        <f t="shared" si="118"/>
        <v>0</v>
      </c>
      <c r="Q77" s="86">
        <f t="shared" si="119"/>
        <v>0</v>
      </c>
      <c r="R77" s="102" t="str">
        <f t="shared" si="120"/>
        <v/>
      </c>
    </row>
    <row r="78" spans="1:18">
      <c r="A78" s="303" t="str">
        <f t="shared" si="109"/>
        <v/>
      </c>
      <c r="B78" s="212">
        <f t="shared" si="110"/>
        <v>0</v>
      </c>
      <c r="C78" s="211" t="str">
        <f t="shared" si="110"/>
        <v>Senior Operations Research Analyst</v>
      </c>
      <c r="D78" s="97" t="s">
        <v>11</v>
      </c>
      <c r="E78" s="97"/>
      <c r="F78" s="304">
        <f t="shared" si="98"/>
        <v>2.9375</v>
      </c>
      <c r="G78" s="305">
        <v>5640</v>
      </c>
      <c r="H78" s="83">
        <f>'Direct Labor Rate Schedule'!J15</f>
        <v>0</v>
      </c>
      <c r="I78" s="84">
        <f t="shared" si="111"/>
        <v>0</v>
      </c>
      <c r="J78" s="84">
        <f t="shared" si="112"/>
        <v>0</v>
      </c>
      <c r="K78" s="145">
        <f t="shared" si="113"/>
        <v>0</v>
      </c>
      <c r="L78" s="85">
        <f t="shared" si="114"/>
        <v>0</v>
      </c>
      <c r="M78" s="85">
        <f t="shared" si="115"/>
        <v>0</v>
      </c>
      <c r="N78" s="85">
        <f t="shared" si="116"/>
        <v>0</v>
      </c>
      <c r="O78" s="85">
        <f t="shared" si="117"/>
        <v>0</v>
      </c>
      <c r="P78" s="85">
        <f t="shared" si="118"/>
        <v>0</v>
      </c>
      <c r="Q78" s="86">
        <f t="shared" si="119"/>
        <v>0</v>
      </c>
      <c r="R78" s="102" t="str">
        <f t="shared" si="120"/>
        <v/>
      </c>
    </row>
    <row r="79" spans="1:18">
      <c r="A79" s="303" t="str">
        <f t="shared" si="109"/>
        <v/>
      </c>
      <c r="B79" s="212">
        <f t="shared" si="110"/>
        <v>0</v>
      </c>
      <c r="C79" s="211" t="str">
        <f t="shared" si="110"/>
        <v>Operations Research Analyst</v>
      </c>
      <c r="D79" s="97" t="s">
        <v>11</v>
      </c>
      <c r="E79" s="97"/>
      <c r="F79" s="304">
        <f t="shared" si="98"/>
        <v>1.9583333333333333</v>
      </c>
      <c r="G79" s="305">
        <v>3760</v>
      </c>
      <c r="H79" s="83">
        <f>'Direct Labor Rate Schedule'!J16</f>
        <v>0</v>
      </c>
      <c r="I79" s="84">
        <f t="shared" si="111"/>
        <v>0</v>
      </c>
      <c r="J79" s="84">
        <f t="shared" si="112"/>
        <v>0</v>
      </c>
      <c r="K79" s="145">
        <f t="shared" si="113"/>
        <v>0</v>
      </c>
      <c r="L79" s="85">
        <f t="shared" si="114"/>
        <v>0</v>
      </c>
      <c r="M79" s="85">
        <f t="shared" si="115"/>
        <v>0</v>
      </c>
      <c r="N79" s="85">
        <f t="shared" si="116"/>
        <v>0</v>
      </c>
      <c r="O79" s="85">
        <f t="shared" si="117"/>
        <v>0</v>
      </c>
      <c r="P79" s="85">
        <f t="shared" si="118"/>
        <v>0</v>
      </c>
      <c r="Q79" s="86">
        <f t="shared" si="119"/>
        <v>0</v>
      </c>
      <c r="R79" s="102" t="str">
        <f t="shared" si="120"/>
        <v/>
      </c>
    </row>
    <row r="80" spans="1:18">
      <c r="A80" s="303" t="str">
        <f t="shared" si="109"/>
        <v/>
      </c>
      <c r="B80" s="212">
        <f t="shared" ref="B80:C80" si="121">B60</f>
        <v>0</v>
      </c>
      <c r="C80" s="211" t="str">
        <f t="shared" si="121"/>
        <v>Graphics Design Senior Analyst</v>
      </c>
      <c r="D80" s="97" t="s">
        <v>11</v>
      </c>
      <c r="E80" s="97"/>
      <c r="F80" s="304">
        <f t="shared" si="98"/>
        <v>0.97916666666666663</v>
      </c>
      <c r="G80" s="305">
        <v>1880</v>
      </c>
      <c r="H80" s="83">
        <f>'Direct Labor Rate Schedule'!J17</f>
        <v>0</v>
      </c>
      <c r="I80" s="84">
        <f t="shared" ref="I80:I85" si="122">ROUND((+H80*$I$70),2)</f>
        <v>0</v>
      </c>
      <c r="J80" s="84">
        <f t="shared" ref="J80:J85" si="123">ROUND((+H80*$J$70),2)</f>
        <v>0</v>
      </c>
      <c r="K80" s="145">
        <f t="shared" ref="K80:K85" si="124">+H80+SUM(I80:J80)</f>
        <v>0</v>
      </c>
      <c r="L80" s="85">
        <f t="shared" ref="L80:L85" si="125">ROUND((+G80*K80),2)</f>
        <v>0</v>
      </c>
      <c r="M80" s="85">
        <f t="shared" ref="M80:M85" si="126">ROUND((+L80*$M$70),2)</f>
        <v>0</v>
      </c>
      <c r="N80" s="85">
        <f t="shared" ref="N80:N85" si="127">SUM(L80:M80)</f>
        <v>0</v>
      </c>
      <c r="O80" s="85">
        <f t="shared" ref="O80:O85" si="128">ROUND((+N80*$O$70),2)</f>
        <v>0</v>
      </c>
      <c r="P80" s="85">
        <f t="shared" ref="P80:P85" si="129">SUM(N80:O80)</f>
        <v>0</v>
      </c>
      <c r="Q80" s="86">
        <f t="shared" ref="Q80:Q85" si="130">IFERROR((+P80/G80),"")</f>
        <v>0</v>
      </c>
      <c r="R80" s="102" t="str">
        <f t="shared" ref="R80:R85" si="131">IFERROR(Q80/H80-1,"")</f>
        <v/>
      </c>
    </row>
    <row r="81" spans="1:18">
      <c r="A81" s="303" t="str">
        <f t="shared" si="109"/>
        <v/>
      </c>
      <c r="B81" s="212">
        <f t="shared" ref="B81:C81" si="132">B61</f>
        <v>0</v>
      </c>
      <c r="C81" s="211" t="str">
        <f t="shared" si="132"/>
        <v>Force Documentation Senior Analyst</v>
      </c>
      <c r="D81" s="97" t="s">
        <v>11</v>
      </c>
      <c r="E81" s="97"/>
      <c r="F81" s="304">
        <f t="shared" si="98"/>
        <v>0.97916666666666663</v>
      </c>
      <c r="G81" s="305">
        <v>1880</v>
      </c>
      <c r="H81" s="83">
        <f>'Direct Labor Rate Schedule'!J18</f>
        <v>0</v>
      </c>
      <c r="I81" s="84">
        <f t="shared" si="122"/>
        <v>0</v>
      </c>
      <c r="J81" s="84">
        <f t="shared" si="123"/>
        <v>0</v>
      </c>
      <c r="K81" s="145">
        <f t="shared" si="124"/>
        <v>0</v>
      </c>
      <c r="L81" s="85">
        <f t="shared" si="125"/>
        <v>0</v>
      </c>
      <c r="M81" s="85">
        <f t="shared" si="126"/>
        <v>0</v>
      </c>
      <c r="N81" s="85">
        <f t="shared" si="127"/>
        <v>0</v>
      </c>
      <c r="O81" s="85">
        <f t="shared" si="128"/>
        <v>0</v>
      </c>
      <c r="P81" s="85">
        <f t="shared" si="129"/>
        <v>0</v>
      </c>
      <c r="Q81" s="86">
        <f t="shared" si="130"/>
        <v>0</v>
      </c>
      <c r="R81" s="102" t="str">
        <f t="shared" si="131"/>
        <v/>
      </c>
    </row>
    <row r="82" spans="1:18">
      <c r="A82" s="303" t="str">
        <f t="shared" si="109"/>
        <v/>
      </c>
      <c r="B82" s="212">
        <f t="shared" ref="B82:C82" si="133">B62</f>
        <v>0</v>
      </c>
      <c r="C82" s="211">
        <f t="shared" si="133"/>
        <v>0</v>
      </c>
      <c r="D82" s="97" t="s">
        <v>11</v>
      </c>
      <c r="E82" s="97"/>
      <c r="F82" s="304">
        <f t="shared" si="98"/>
        <v>0</v>
      </c>
      <c r="G82" s="305">
        <v>0</v>
      </c>
      <c r="H82" s="83">
        <f>'Direct Labor Rate Schedule'!J19</f>
        <v>0</v>
      </c>
      <c r="I82" s="84">
        <f t="shared" si="122"/>
        <v>0</v>
      </c>
      <c r="J82" s="84">
        <f t="shared" si="123"/>
        <v>0</v>
      </c>
      <c r="K82" s="145">
        <f t="shared" si="124"/>
        <v>0</v>
      </c>
      <c r="L82" s="85">
        <f t="shared" si="125"/>
        <v>0</v>
      </c>
      <c r="M82" s="85">
        <f t="shared" si="126"/>
        <v>0</v>
      </c>
      <c r="N82" s="85">
        <f t="shared" si="127"/>
        <v>0</v>
      </c>
      <c r="O82" s="85">
        <f t="shared" si="128"/>
        <v>0</v>
      </c>
      <c r="P82" s="85">
        <f t="shared" si="129"/>
        <v>0</v>
      </c>
      <c r="Q82" s="86" t="str">
        <f t="shared" si="130"/>
        <v/>
      </c>
      <c r="R82" s="102" t="str">
        <f t="shared" si="131"/>
        <v/>
      </c>
    </row>
    <row r="83" spans="1:18">
      <c r="A83" s="303" t="str">
        <f t="shared" si="109"/>
        <v/>
      </c>
      <c r="B83" s="212">
        <f t="shared" ref="B83:C83" si="134">B63</f>
        <v>0</v>
      </c>
      <c r="C83" s="211">
        <f t="shared" si="134"/>
        <v>0</v>
      </c>
      <c r="D83" s="97" t="s">
        <v>11</v>
      </c>
      <c r="E83" s="97"/>
      <c r="F83" s="304">
        <f t="shared" si="98"/>
        <v>0</v>
      </c>
      <c r="G83" s="305">
        <v>0</v>
      </c>
      <c r="H83" s="83">
        <f>'Direct Labor Rate Schedule'!J20</f>
        <v>0</v>
      </c>
      <c r="I83" s="84">
        <f t="shared" si="122"/>
        <v>0</v>
      </c>
      <c r="J83" s="84">
        <f t="shared" si="123"/>
        <v>0</v>
      </c>
      <c r="K83" s="145">
        <f t="shared" si="124"/>
        <v>0</v>
      </c>
      <c r="L83" s="85">
        <f t="shared" si="125"/>
        <v>0</v>
      </c>
      <c r="M83" s="85">
        <f t="shared" si="126"/>
        <v>0</v>
      </c>
      <c r="N83" s="85">
        <f t="shared" si="127"/>
        <v>0</v>
      </c>
      <c r="O83" s="85">
        <f t="shared" si="128"/>
        <v>0</v>
      </c>
      <c r="P83" s="85">
        <f t="shared" si="129"/>
        <v>0</v>
      </c>
      <c r="Q83" s="86" t="str">
        <f t="shared" si="130"/>
        <v/>
      </c>
      <c r="R83" s="102" t="str">
        <f t="shared" si="131"/>
        <v/>
      </c>
    </row>
    <row r="84" spans="1:18">
      <c r="A84" s="303" t="str">
        <f t="shared" si="109"/>
        <v/>
      </c>
      <c r="B84" s="212">
        <f t="shared" ref="B84:C84" si="135">B64</f>
        <v>0</v>
      </c>
      <c r="C84" s="211">
        <f t="shared" si="135"/>
        <v>0</v>
      </c>
      <c r="D84" s="97" t="s">
        <v>11</v>
      </c>
      <c r="E84" s="97"/>
      <c r="F84" s="304">
        <f t="shared" si="98"/>
        <v>0</v>
      </c>
      <c r="G84" s="305">
        <v>0</v>
      </c>
      <c r="H84" s="83">
        <f>'Direct Labor Rate Schedule'!J21</f>
        <v>0</v>
      </c>
      <c r="I84" s="84">
        <f t="shared" si="122"/>
        <v>0</v>
      </c>
      <c r="J84" s="84">
        <f t="shared" si="123"/>
        <v>0</v>
      </c>
      <c r="K84" s="145">
        <f t="shared" si="124"/>
        <v>0</v>
      </c>
      <c r="L84" s="85">
        <f t="shared" si="125"/>
        <v>0</v>
      </c>
      <c r="M84" s="85">
        <f t="shared" si="126"/>
        <v>0</v>
      </c>
      <c r="N84" s="85">
        <f t="shared" si="127"/>
        <v>0</v>
      </c>
      <c r="O84" s="85">
        <f t="shared" si="128"/>
        <v>0</v>
      </c>
      <c r="P84" s="85">
        <f t="shared" si="129"/>
        <v>0</v>
      </c>
      <c r="Q84" s="86" t="str">
        <f t="shared" si="130"/>
        <v/>
      </c>
      <c r="R84" s="102" t="str">
        <f t="shared" si="131"/>
        <v/>
      </c>
    </row>
    <row r="85" spans="1:18" ht="13.5" thickBot="1">
      <c r="A85" s="303" t="str">
        <f t="shared" si="109"/>
        <v/>
      </c>
      <c r="B85" s="212">
        <f t="shared" ref="B85:C85" si="136">B65</f>
        <v>0</v>
      </c>
      <c r="C85" s="211">
        <f t="shared" si="136"/>
        <v>0</v>
      </c>
      <c r="D85" s="97" t="s">
        <v>11</v>
      </c>
      <c r="E85" s="97"/>
      <c r="F85" s="304">
        <f t="shared" si="98"/>
        <v>0</v>
      </c>
      <c r="G85" s="305">
        <v>0</v>
      </c>
      <c r="H85" s="83">
        <f>'Direct Labor Rate Schedule'!J22</f>
        <v>0</v>
      </c>
      <c r="I85" s="84">
        <f t="shared" si="122"/>
        <v>0</v>
      </c>
      <c r="J85" s="84">
        <f t="shared" si="123"/>
        <v>0</v>
      </c>
      <c r="K85" s="145">
        <f t="shared" si="124"/>
        <v>0</v>
      </c>
      <c r="L85" s="85">
        <f t="shared" si="125"/>
        <v>0</v>
      </c>
      <c r="M85" s="85">
        <f t="shared" si="126"/>
        <v>0</v>
      </c>
      <c r="N85" s="85">
        <f t="shared" si="127"/>
        <v>0</v>
      </c>
      <c r="O85" s="85">
        <f t="shared" si="128"/>
        <v>0</v>
      </c>
      <c r="P85" s="85">
        <f t="shared" si="129"/>
        <v>0</v>
      </c>
      <c r="Q85" s="86" t="str">
        <f t="shared" si="130"/>
        <v/>
      </c>
      <c r="R85" s="102" t="str">
        <f t="shared" si="131"/>
        <v/>
      </c>
    </row>
    <row r="86" spans="1:18" s="82" customFormat="1" ht="14.25" thickTop="1" thickBot="1">
      <c r="A86" s="360" t="s">
        <v>85</v>
      </c>
      <c r="B86" s="361"/>
      <c r="C86" s="361"/>
      <c r="D86" s="361"/>
      <c r="E86" s="362"/>
      <c r="F86" s="146">
        <f>SUM(F74:F85)</f>
        <v>59.713541666666664</v>
      </c>
      <c r="G86" s="146">
        <f>SUM(G74:G85)</f>
        <v>114650</v>
      </c>
      <c r="H86" s="108">
        <f>SUMPRODUCT(H74:H85,$G74:$G85)</f>
        <v>0</v>
      </c>
      <c r="I86" s="108">
        <f>SUMPRODUCT(I74:I85,$G74:$G85)</f>
        <v>0</v>
      </c>
      <c r="J86" s="108">
        <f>SUMPRODUCT(J74:J85,$G74:$G85)</f>
        <v>0</v>
      </c>
      <c r="K86" s="108">
        <f>SUMPRODUCT(K74:K85,$G74:$G85)</f>
        <v>0</v>
      </c>
      <c r="L86" s="108">
        <f>SUM(L74:L85)</f>
        <v>0</v>
      </c>
      <c r="M86" s="108">
        <f>SUM(M74:M85)</f>
        <v>0</v>
      </c>
      <c r="N86" s="108">
        <f>SUM(N74:N85)</f>
        <v>0</v>
      </c>
      <c r="O86" s="108">
        <f>SUM(O74:O85)</f>
        <v>0</v>
      </c>
      <c r="P86" s="108">
        <f>SUM(P74:P85)</f>
        <v>0</v>
      </c>
      <c r="Q86" s="108">
        <f>SUMPRODUCT(Q74:Q85,$G74:$G85)</f>
        <v>0</v>
      </c>
      <c r="R86" s="109"/>
    </row>
    <row r="87" spans="1:18" s="82" customFormat="1" ht="14.25" thickTop="1" thickBot="1">
      <c r="A87" s="360" t="s">
        <v>86</v>
      </c>
      <c r="B87" s="361"/>
      <c r="C87" s="361"/>
      <c r="D87" s="361"/>
      <c r="E87" s="362"/>
      <c r="F87" s="116"/>
      <c r="G87" s="173">
        <f>G86/SUM(F74:F85)</f>
        <v>1920</v>
      </c>
      <c r="H87" s="110">
        <f>H86/$G86</f>
        <v>0</v>
      </c>
      <c r="I87" s="110">
        <f t="shared" ref="I87:J87" si="137">I86/$G86</f>
        <v>0</v>
      </c>
      <c r="J87" s="110">
        <f t="shared" si="137"/>
        <v>0</v>
      </c>
      <c r="K87" s="110">
        <f>K86/$G86</f>
        <v>0</v>
      </c>
      <c r="L87" s="110">
        <f>L86/$G86</f>
        <v>0</v>
      </c>
      <c r="M87" s="110">
        <f t="shared" ref="M87:P87" si="138">M86/$G86</f>
        <v>0</v>
      </c>
      <c r="N87" s="110">
        <f t="shared" si="138"/>
        <v>0</v>
      </c>
      <c r="O87" s="110">
        <f t="shared" si="138"/>
        <v>0</v>
      </c>
      <c r="P87" s="110">
        <f t="shared" si="138"/>
        <v>0</v>
      </c>
      <c r="Q87" s="110">
        <f>Q86/$G86</f>
        <v>0</v>
      </c>
      <c r="R87" s="115" t="e">
        <f>Q87/H87</f>
        <v>#DIV/0!</v>
      </c>
    </row>
    <row r="88" spans="1:18" ht="13.5" thickTop="1"/>
    <row r="89" spans="1:18">
      <c r="C89" s="23"/>
      <c r="D89" s="24"/>
      <c r="E89" s="18"/>
      <c r="F89" s="19"/>
      <c r="G89" s="356" t="s">
        <v>28</v>
      </c>
      <c r="H89" s="363"/>
      <c r="I89" s="366" t="s">
        <v>29</v>
      </c>
      <c r="J89" s="366"/>
      <c r="K89" s="367"/>
      <c r="L89" s="367"/>
      <c r="M89" s="367"/>
      <c r="N89" s="20"/>
      <c r="O89" s="21"/>
      <c r="P89" s="22"/>
      <c r="Q89" s="22"/>
    </row>
    <row r="90" spans="1:18">
      <c r="C90" s="35" t="s">
        <v>255</v>
      </c>
      <c r="D90" s="25"/>
      <c r="E90" s="26"/>
      <c r="F90" s="27"/>
      <c r="G90" s="364"/>
      <c r="H90" s="365"/>
      <c r="I90" s="91">
        <f>'Indirect Rate Summary'!C31</f>
        <v>0</v>
      </c>
      <c r="J90" s="28">
        <f>'Indirect Rate Summary'!D31</f>
        <v>0</v>
      </c>
      <c r="K90" s="28"/>
      <c r="L90" s="29"/>
      <c r="M90" s="95">
        <f>'Indirect Rate Summary'!E31</f>
        <v>0</v>
      </c>
      <c r="N90" s="30"/>
      <c r="O90" s="92">
        <f>'Indirect Rate Summary'!F31</f>
        <v>0</v>
      </c>
      <c r="P90" s="22"/>
      <c r="Q90" s="22"/>
    </row>
    <row r="91" spans="1:18" s="144" customFormat="1" ht="89.25">
      <c r="A91" s="79" t="str">
        <f t="shared" ref="A91:R91" si="139">+A71</f>
        <v>Location (Note 1)</v>
      </c>
      <c r="B91" s="79" t="str">
        <f t="shared" si="139"/>
        <v>Labor Type (Note 2)</v>
      </c>
      <c r="C91" s="79" t="str">
        <f t="shared" si="139"/>
        <v>Labor Categories (Note 3)</v>
      </c>
      <c r="D91" s="79" t="str">
        <f t="shared" si="139"/>
        <v>Effort To Be Performed By The Prime (P) or Subcontractor (S) (Note 4)</v>
      </c>
      <c r="E91" s="79" t="str">
        <f t="shared" si="139"/>
        <v>If Column D=S, Enter Name of Subcontractor(s) (Note 5)</v>
      </c>
      <c r="F91" s="80" t="str">
        <f t="shared" si="139"/>
        <v>FTEs (Note 6)</v>
      </c>
      <c r="G91" s="141" t="str">
        <f t="shared" si="139"/>
        <v>Total Productive Hours (Note 7)</v>
      </c>
      <c r="H91" s="142" t="str">
        <f t="shared" si="139"/>
        <v>Hourly Base Pay Rate (Note 8)</v>
      </c>
      <c r="I91" s="81" t="str">
        <f t="shared" si="139"/>
        <v>Fringe (Note 9)</v>
      </c>
      <c r="J91" s="81" t="str">
        <f t="shared" si="139"/>
        <v>Overhead (Note 10)</v>
      </c>
      <c r="K91" s="81" t="str">
        <f t="shared" si="139"/>
        <v xml:space="preserve"> Prime/Sub Hourly Rate Before Application Of  Prime G&amp;A &amp; Fee (IF Col C=S Enter Sub Rate) (Note 11)</v>
      </c>
      <c r="L91" s="81" t="str">
        <f t="shared" si="139"/>
        <v>Total Prime &amp; Sub Labor Before Prime G&amp;A &amp; Fee</v>
      </c>
      <c r="M91" s="81" t="str">
        <f t="shared" si="139"/>
        <v>G&amp;A (Note 12)</v>
      </c>
      <c r="N91" s="81" t="str">
        <f t="shared" si="139"/>
        <v>Total Cost</v>
      </c>
      <c r="O91" s="81" t="str">
        <f t="shared" si="139"/>
        <v>Fee</v>
      </c>
      <c r="P91" s="81" t="str">
        <f t="shared" si="139"/>
        <v>Total Price</v>
      </c>
      <c r="Q91" s="81" t="str">
        <f t="shared" si="139"/>
        <v xml:space="preserve">Proposal Fully Burdened Hourly Billing Rate </v>
      </c>
      <c r="R91" s="81" t="str">
        <f t="shared" si="139"/>
        <v>Wrap Rate</v>
      </c>
    </row>
    <row r="92" spans="1:18" ht="13.5" thickBot="1">
      <c r="A92" s="31" t="str">
        <f t="shared" ref="A92:R92" si="140">+A72</f>
        <v>a</v>
      </c>
      <c r="B92" s="31" t="str">
        <f t="shared" si="140"/>
        <v>b</v>
      </c>
      <c r="C92" s="31" t="str">
        <f t="shared" si="140"/>
        <v>c</v>
      </c>
      <c r="D92" s="31" t="str">
        <f t="shared" si="140"/>
        <v>d</v>
      </c>
      <c r="E92" s="31" t="str">
        <f t="shared" si="140"/>
        <v>e</v>
      </c>
      <c r="F92" s="31" t="str">
        <f t="shared" si="140"/>
        <v>f</v>
      </c>
      <c r="G92" s="36" t="str">
        <f t="shared" si="140"/>
        <v>g</v>
      </c>
      <c r="H92" s="31" t="str">
        <f t="shared" si="140"/>
        <v>h</v>
      </c>
      <c r="I92" s="32" t="str">
        <f t="shared" si="140"/>
        <v>i</v>
      </c>
      <c r="J92" s="32" t="str">
        <f t="shared" si="140"/>
        <v>j</v>
      </c>
      <c r="K92" s="32" t="str">
        <f t="shared" si="140"/>
        <v>k = h + i + j</v>
      </c>
      <c r="L92" s="32" t="str">
        <f t="shared" si="140"/>
        <v>l = g x k</v>
      </c>
      <c r="M92" s="32" t="str">
        <f t="shared" si="140"/>
        <v>m</v>
      </c>
      <c r="N92" s="32" t="str">
        <f t="shared" si="140"/>
        <v>n = l + o</v>
      </c>
      <c r="O92" s="32" t="str">
        <f t="shared" si="140"/>
        <v>o</v>
      </c>
      <c r="P92" s="32" t="str">
        <f t="shared" si="140"/>
        <v>p = n + o</v>
      </c>
      <c r="Q92" s="32" t="str">
        <f t="shared" si="140"/>
        <v>q = p/g</v>
      </c>
      <c r="R92" s="32" t="str">
        <f t="shared" si="140"/>
        <v>r = q/h</v>
      </c>
    </row>
    <row r="93" spans="1:18">
      <c r="A93" s="168" t="str">
        <f>IF('Direct Labor Rate Schedule'!$A$10="","",'Direct Labor Rate Schedule'!$A$10)</f>
        <v/>
      </c>
      <c r="B93" s="196"/>
      <c r="C93" s="167"/>
      <c r="D93" s="167"/>
      <c r="E93" s="167"/>
      <c r="F93" s="167"/>
      <c r="G93" s="167"/>
      <c r="H93" s="167"/>
      <c r="I93" s="167"/>
      <c r="J93" s="167"/>
      <c r="K93" s="167"/>
      <c r="L93" s="167"/>
      <c r="M93" s="167"/>
      <c r="N93" s="167"/>
      <c r="O93" s="167"/>
      <c r="P93" s="167"/>
      <c r="Q93" s="167"/>
      <c r="R93" s="171"/>
    </row>
    <row r="94" spans="1:18">
      <c r="A94" s="303" t="str">
        <f>A74</f>
        <v/>
      </c>
      <c r="B94" s="212">
        <f>B74</f>
        <v>0</v>
      </c>
      <c r="C94" s="211" t="str">
        <f>C74</f>
        <v>Program Manager</v>
      </c>
      <c r="D94" s="97" t="s">
        <v>11</v>
      </c>
      <c r="E94" s="97"/>
      <c r="F94" s="304">
        <f t="shared" ref="F94:F105" si="141">G94/AnnualProductiveHours</f>
        <v>0.97916666666666663</v>
      </c>
      <c r="G94" s="305">
        <v>1880</v>
      </c>
      <c r="H94" s="83">
        <f>'Direct Labor Rate Schedule'!L11</f>
        <v>0</v>
      </c>
      <c r="I94" s="84">
        <f t="shared" ref="I94" si="142">ROUND((+H94*$I$90),2)</f>
        <v>0</v>
      </c>
      <c r="J94" s="84">
        <f t="shared" ref="J94" si="143">ROUND((+H94*$J$90),2)</f>
        <v>0</v>
      </c>
      <c r="K94" s="145">
        <f t="shared" ref="K94" si="144">+H94+SUM(I94:J94)</f>
        <v>0</v>
      </c>
      <c r="L94" s="85">
        <f t="shared" ref="L94" si="145">ROUND((+G94*K94),2)</f>
        <v>0</v>
      </c>
      <c r="M94" s="85">
        <f t="shared" ref="M94" si="146">ROUND((+L94*$M$90),2)</f>
        <v>0</v>
      </c>
      <c r="N94" s="85">
        <f t="shared" ref="N94" si="147">SUM(L94:M94)</f>
        <v>0</v>
      </c>
      <c r="O94" s="85">
        <f t="shared" ref="O94" si="148">ROUND((+N94*$O$90),2)</f>
        <v>0</v>
      </c>
      <c r="P94" s="85">
        <f t="shared" ref="P94" si="149">SUM(N94:O94)</f>
        <v>0</v>
      </c>
      <c r="Q94" s="86">
        <f t="shared" ref="Q94" si="150">IFERROR((+P94/G94),"")</f>
        <v>0</v>
      </c>
      <c r="R94" s="102" t="str">
        <f t="shared" ref="R94" si="151">IFERROR(Q94/H94-1,"")</f>
        <v/>
      </c>
    </row>
    <row r="95" spans="1:18">
      <c r="A95" s="303" t="str">
        <f t="shared" ref="A95:A105" si="152">A75</f>
        <v/>
      </c>
      <c r="B95" s="212">
        <f t="shared" ref="B95:C99" si="153">B75</f>
        <v>0</v>
      </c>
      <c r="C95" s="211" t="str">
        <f t="shared" si="153"/>
        <v>Senior Analyst</v>
      </c>
      <c r="D95" s="97" t="s">
        <v>11</v>
      </c>
      <c r="E95" s="97"/>
      <c r="F95" s="304">
        <f t="shared" si="141"/>
        <v>46.005208333333336</v>
      </c>
      <c r="G95" s="305">
        <v>88330</v>
      </c>
      <c r="H95" s="83">
        <f>'Direct Labor Rate Schedule'!L12</f>
        <v>0</v>
      </c>
      <c r="I95" s="84">
        <f t="shared" ref="I95:I105" si="154">ROUND((+H95*$I$90),2)</f>
        <v>0</v>
      </c>
      <c r="J95" s="84">
        <f t="shared" ref="J95:J105" si="155">ROUND((+H95*$J$90),2)</f>
        <v>0</v>
      </c>
      <c r="K95" s="145">
        <f t="shared" ref="K95:K105" si="156">+H95+SUM(I95:J95)</f>
        <v>0</v>
      </c>
      <c r="L95" s="85">
        <f t="shared" ref="L95:L105" si="157">ROUND((+G95*K95),2)</f>
        <v>0</v>
      </c>
      <c r="M95" s="85">
        <f t="shared" ref="M95:M105" si="158">ROUND((+L95*$M$90),2)</f>
        <v>0</v>
      </c>
      <c r="N95" s="85">
        <f t="shared" ref="N95:N105" si="159">SUM(L95:M95)</f>
        <v>0</v>
      </c>
      <c r="O95" s="85">
        <f t="shared" ref="O95:O105" si="160">ROUND((+N95*$O$90),2)</f>
        <v>0</v>
      </c>
      <c r="P95" s="85">
        <f t="shared" ref="P95:P105" si="161">SUM(N95:O95)</f>
        <v>0</v>
      </c>
      <c r="Q95" s="86">
        <f t="shared" ref="Q95:Q105" si="162">IFERROR((+P95/G95),"")</f>
        <v>0</v>
      </c>
      <c r="R95" s="102" t="str">
        <f t="shared" ref="R95:R105" si="163">IFERROR(Q95/H95-1,"")</f>
        <v/>
      </c>
    </row>
    <row r="96" spans="1:18">
      <c r="A96" s="303" t="str">
        <f t="shared" si="152"/>
        <v/>
      </c>
      <c r="B96" s="212">
        <f t="shared" si="153"/>
        <v>0</v>
      </c>
      <c r="C96" s="211" t="str">
        <f t="shared" si="153"/>
        <v>Analyst</v>
      </c>
      <c r="D96" s="97" t="s">
        <v>11</v>
      </c>
      <c r="E96" s="97"/>
      <c r="F96" s="304">
        <f t="shared" si="141"/>
        <v>2.9375</v>
      </c>
      <c r="G96" s="305">
        <v>5640</v>
      </c>
      <c r="H96" s="83">
        <f>'Direct Labor Rate Schedule'!L13</f>
        <v>0</v>
      </c>
      <c r="I96" s="84">
        <f t="shared" si="154"/>
        <v>0</v>
      </c>
      <c r="J96" s="84">
        <f t="shared" si="155"/>
        <v>0</v>
      </c>
      <c r="K96" s="145">
        <f t="shared" si="156"/>
        <v>0</v>
      </c>
      <c r="L96" s="85">
        <f t="shared" si="157"/>
        <v>0</v>
      </c>
      <c r="M96" s="85">
        <f t="shared" si="158"/>
        <v>0</v>
      </c>
      <c r="N96" s="85">
        <f t="shared" si="159"/>
        <v>0</v>
      </c>
      <c r="O96" s="85">
        <f t="shared" si="160"/>
        <v>0</v>
      </c>
      <c r="P96" s="85">
        <f t="shared" si="161"/>
        <v>0</v>
      </c>
      <c r="Q96" s="86">
        <f t="shared" si="162"/>
        <v>0</v>
      </c>
      <c r="R96" s="102" t="str">
        <f t="shared" si="163"/>
        <v/>
      </c>
    </row>
    <row r="97" spans="1:18">
      <c r="A97" s="303" t="str">
        <f t="shared" si="152"/>
        <v/>
      </c>
      <c r="B97" s="212">
        <f t="shared" si="153"/>
        <v>0</v>
      </c>
      <c r="C97" s="211" t="str">
        <f t="shared" si="153"/>
        <v>Junior Analyst</v>
      </c>
      <c r="D97" s="97" t="s">
        <v>11</v>
      </c>
      <c r="E97" s="97"/>
      <c r="F97" s="304">
        <f t="shared" si="141"/>
        <v>2.9375</v>
      </c>
      <c r="G97" s="305">
        <v>5640</v>
      </c>
      <c r="H97" s="83">
        <f>'Direct Labor Rate Schedule'!L14</f>
        <v>0</v>
      </c>
      <c r="I97" s="84">
        <f t="shared" si="154"/>
        <v>0</v>
      </c>
      <c r="J97" s="84">
        <f t="shared" si="155"/>
        <v>0</v>
      </c>
      <c r="K97" s="145">
        <f t="shared" si="156"/>
        <v>0</v>
      </c>
      <c r="L97" s="85">
        <f t="shared" si="157"/>
        <v>0</v>
      </c>
      <c r="M97" s="85">
        <f t="shared" si="158"/>
        <v>0</v>
      </c>
      <c r="N97" s="85">
        <f t="shared" si="159"/>
        <v>0</v>
      </c>
      <c r="O97" s="85">
        <f t="shared" si="160"/>
        <v>0</v>
      </c>
      <c r="P97" s="85">
        <f t="shared" si="161"/>
        <v>0</v>
      </c>
      <c r="Q97" s="86">
        <f t="shared" si="162"/>
        <v>0</v>
      </c>
      <c r="R97" s="102" t="str">
        <f t="shared" si="163"/>
        <v/>
      </c>
    </row>
    <row r="98" spans="1:18">
      <c r="A98" s="303" t="str">
        <f t="shared" si="152"/>
        <v/>
      </c>
      <c r="B98" s="212">
        <f t="shared" si="153"/>
        <v>0</v>
      </c>
      <c r="C98" s="211" t="str">
        <f t="shared" si="153"/>
        <v>Senior Operations Research Analyst</v>
      </c>
      <c r="D98" s="97" t="s">
        <v>11</v>
      </c>
      <c r="E98" s="97"/>
      <c r="F98" s="304">
        <f t="shared" si="141"/>
        <v>2.9375</v>
      </c>
      <c r="G98" s="305">
        <v>5640</v>
      </c>
      <c r="H98" s="83">
        <f>'Direct Labor Rate Schedule'!L15</f>
        <v>0</v>
      </c>
      <c r="I98" s="84">
        <f t="shared" si="154"/>
        <v>0</v>
      </c>
      <c r="J98" s="84">
        <f t="shared" si="155"/>
        <v>0</v>
      </c>
      <c r="K98" s="145">
        <f t="shared" si="156"/>
        <v>0</v>
      </c>
      <c r="L98" s="85">
        <f t="shared" si="157"/>
        <v>0</v>
      </c>
      <c r="M98" s="85">
        <f t="shared" si="158"/>
        <v>0</v>
      </c>
      <c r="N98" s="85">
        <f t="shared" si="159"/>
        <v>0</v>
      </c>
      <c r="O98" s="85">
        <f t="shared" si="160"/>
        <v>0</v>
      </c>
      <c r="P98" s="85">
        <f t="shared" si="161"/>
        <v>0</v>
      </c>
      <c r="Q98" s="86">
        <f t="shared" si="162"/>
        <v>0</v>
      </c>
      <c r="R98" s="102" t="str">
        <f t="shared" si="163"/>
        <v/>
      </c>
    </row>
    <row r="99" spans="1:18">
      <c r="A99" s="303" t="str">
        <f t="shared" si="152"/>
        <v/>
      </c>
      <c r="B99" s="212">
        <f t="shared" si="153"/>
        <v>0</v>
      </c>
      <c r="C99" s="211" t="str">
        <f t="shared" si="153"/>
        <v>Operations Research Analyst</v>
      </c>
      <c r="D99" s="97" t="s">
        <v>11</v>
      </c>
      <c r="E99" s="97"/>
      <c r="F99" s="304">
        <f t="shared" si="141"/>
        <v>1.9583333333333333</v>
      </c>
      <c r="G99" s="305">
        <v>3760</v>
      </c>
      <c r="H99" s="83">
        <f>'Direct Labor Rate Schedule'!L16</f>
        <v>0</v>
      </c>
      <c r="I99" s="84">
        <f t="shared" si="154"/>
        <v>0</v>
      </c>
      <c r="J99" s="84">
        <f t="shared" si="155"/>
        <v>0</v>
      </c>
      <c r="K99" s="145">
        <f t="shared" si="156"/>
        <v>0</v>
      </c>
      <c r="L99" s="85">
        <f t="shared" si="157"/>
        <v>0</v>
      </c>
      <c r="M99" s="85">
        <f t="shared" si="158"/>
        <v>0</v>
      </c>
      <c r="N99" s="85">
        <f t="shared" si="159"/>
        <v>0</v>
      </c>
      <c r="O99" s="85">
        <f t="shared" si="160"/>
        <v>0</v>
      </c>
      <c r="P99" s="85">
        <f t="shared" si="161"/>
        <v>0</v>
      </c>
      <c r="Q99" s="86">
        <f t="shared" si="162"/>
        <v>0</v>
      </c>
      <c r="R99" s="102" t="str">
        <f t="shared" si="163"/>
        <v/>
      </c>
    </row>
    <row r="100" spans="1:18">
      <c r="A100" s="303" t="str">
        <f t="shared" si="152"/>
        <v/>
      </c>
      <c r="B100" s="212">
        <f t="shared" ref="B100:C100" si="164">B80</f>
        <v>0</v>
      </c>
      <c r="C100" s="211" t="str">
        <f t="shared" si="164"/>
        <v>Graphics Design Senior Analyst</v>
      </c>
      <c r="D100" s="97" t="s">
        <v>11</v>
      </c>
      <c r="E100" s="97"/>
      <c r="F100" s="304">
        <f t="shared" si="141"/>
        <v>0.97916666666666663</v>
      </c>
      <c r="G100" s="305">
        <v>1880</v>
      </c>
      <c r="H100" s="83">
        <f>'Direct Labor Rate Schedule'!L17</f>
        <v>0</v>
      </c>
      <c r="I100" s="84">
        <f t="shared" ref="I100:I104" si="165">ROUND((+H100*$I$90),2)</f>
        <v>0</v>
      </c>
      <c r="J100" s="84">
        <f t="shared" ref="J100:J104" si="166">ROUND((+H100*$J$90),2)</f>
        <v>0</v>
      </c>
      <c r="K100" s="145">
        <f t="shared" ref="K100:K104" si="167">+H100+SUM(I100:J100)</f>
        <v>0</v>
      </c>
      <c r="L100" s="85">
        <f t="shared" ref="L100:L104" si="168">ROUND((+G100*K100),2)</f>
        <v>0</v>
      </c>
      <c r="M100" s="85">
        <f t="shared" ref="M100:M104" si="169">ROUND((+L100*$M$90),2)</f>
        <v>0</v>
      </c>
      <c r="N100" s="85">
        <f t="shared" ref="N100:N104" si="170">SUM(L100:M100)</f>
        <v>0</v>
      </c>
      <c r="O100" s="85">
        <f t="shared" ref="O100:O104" si="171">ROUND((+N100*$O$90),2)</f>
        <v>0</v>
      </c>
      <c r="P100" s="85">
        <f t="shared" ref="P100:P104" si="172">SUM(N100:O100)</f>
        <v>0</v>
      </c>
      <c r="Q100" s="86">
        <f t="shared" ref="Q100:Q104" si="173">IFERROR((+P100/G100),"")</f>
        <v>0</v>
      </c>
      <c r="R100" s="102" t="str">
        <f t="shared" ref="R100:R104" si="174">IFERROR(Q100/H100-1,"")</f>
        <v/>
      </c>
    </row>
    <row r="101" spans="1:18">
      <c r="A101" s="303" t="str">
        <f t="shared" si="152"/>
        <v/>
      </c>
      <c r="B101" s="212">
        <f t="shared" ref="B101:C101" si="175">B81</f>
        <v>0</v>
      </c>
      <c r="C101" s="211" t="str">
        <f t="shared" si="175"/>
        <v>Force Documentation Senior Analyst</v>
      </c>
      <c r="D101" s="97" t="s">
        <v>11</v>
      </c>
      <c r="E101" s="97"/>
      <c r="F101" s="304">
        <f t="shared" si="141"/>
        <v>0.97916666666666663</v>
      </c>
      <c r="G101" s="305">
        <v>1880</v>
      </c>
      <c r="H101" s="83">
        <f>'Direct Labor Rate Schedule'!L18</f>
        <v>0</v>
      </c>
      <c r="I101" s="84">
        <f t="shared" si="165"/>
        <v>0</v>
      </c>
      <c r="J101" s="84">
        <f t="shared" si="166"/>
        <v>0</v>
      </c>
      <c r="K101" s="145">
        <f t="shared" si="167"/>
        <v>0</v>
      </c>
      <c r="L101" s="85">
        <f t="shared" si="168"/>
        <v>0</v>
      </c>
      <c r="M101" s="85">
        <f t="shared" si="169"/>
        <v>0</v>
      </c>
      <c r="N101" s="85">
        <f t="shared" si="170"/>
        <v>0</v>
      </c>
      <c r="O101" s="85">
        <f t="shared" si="171"/>
        <v>0</v>
      </c>
      <c r="P101" s="85">
        <f t="shared" si="172"/>
        <v>0</v>
      </c>
      <c r="Q101" s="86">
        <f t="shared" si="173"/>
        <v>0</v>
      </c>
      <c r="R101" s="102" t="str">
        <f t="shared" si="174"/>
        <v/>
      </c>
    </row>
    <row r="102" spans="1:18">
      <c r="A102" s="303" t="str">
        <f t="shared" si="152"/>
        <v/>
      </c>
      <c r="B102" s="212">
        <f t="shared" ref="B102:C102" si="176">B82</f>
        <v>0</v>
      </c>
      <c r="C102" s="211">
        <f t="shared" si="176"/>
        <v>0</v>
      </c>
      <c r="D102" s="97" t="s">
        <v>11</v>
      </c>
      <c r="E102" s="97"/>
      <c r="F102" s="304">
        <f t="shared" si="141"/>
        <v>0</v>
      </c>
      <c r="G102" s="305">
        <v>0</v>
      </c>
      <c r="H102" s="83">
        <f>'Direct Labor Rate Schedule'!L19</f>
        <v>0</v>
      </c>
      <c r="I102" s="84">
        <f t="shared" si="165"/>
        <v>0</v>
      </c>
      <c r="J102" s="84">
        <f t="shared" si="166"/>
        <v>0</v>
      </c>
      <c r="K102" s="145">
        <f t="shared" si="167"/>
        <v>0</v>
      </c>
      <c r="L102" s="85">
        <f t="shared" si="168"/>
        <v>0</v>
      </c>
      <c r="M102" s="85">
        <f t="shared" si="169"/>
        <v>0</v>
      </c>
      <c r="N102" s="85">
        <f t="shared" si="170"/>
        <v>0</v>
      </c>
      <c r="O102" s="85">
        <f t="shared" si="171"/>
        <v>0</v>
      </c>
      <c r="P102" s="85">
        <f t="shared" si="172"/>
        <v>0</v>
      </c>
      <c r="Q102" s="86" t="str">
        <f t="shared" si="173"/>
        <v/>
      </c>
      <c r="R102" s="102" t="str">
        <f t="shared" si="174"/>
        <v/>
      </c>
    </row>
    <row r="103" spans="1:18">
      <c r="A103" s="303" t="str">
        <f t="shared" si="152"/>
        <v/>
      </c>
      <c r="B103" s="212">
        <f t="shared" ref="B103:C103" si="177">B83</f>
        <v>0</v>
      </c>
      <c r="C103" s="211">
        <f t="shared" si="177"/>
        <v>0</v>
      </c>
      <c r="D103" s="97" t="s">
        <v>11</v>
      </c>
      <c r="E103" s="97"/>
      <c r="F103" s="304">
        <f t="shared" si="141"/>
        <v>0</v>
      </c>
      <c r="G103" s="305">
        <v>0</v>
      </c>
      <c r="H103" s="83">
        <f>'Direct Labor Rate Schedule'!L20</f>
        <v>0</v>
      </c>
      <c r="I103" s="84">
        <f t="shared" si="165"/>
        <v>0</v>
      </c>
      <c r="J103" s="84">
        <f t="shared" si="166"/>
        <v>0</v>
      </c>
      <c r="K103" s="145">
        <f t="shared" si="167"/>
        <v>0</v>
      </c>
      <c r="L103" s="85">
        <f t="shared" si="168"/>
        <v>0</v>
      </c>
      <c r="M103" s="85">
        <f t="shared" si="169"/>
        <v>0</v>
      </c>
      <c r="N103" s="85">
        <f t="shared" si="170"/>
        <v>0</v>
      </c>
      <c r="O103" s="85">
        <f t="shared" si="171"/>
        <v>0</v>
      </c>
      <c r="P103" s="85">
        <f t="shared" si="172"/>
        <v>0</v>
      </c>
      <c r="Q103" s="86" t="str">
        <f t="shared" si="173"/>
        <v/>
      </c>
      <c r="R103" s="102" t="str">
        <f t="shared" si="174"/>
        <v/>
      </c>
    </row>
    <row r="104" spans="1:18">
      <c r="A104" s="303" t="str">
        <f t="shared" si="152"/>
        <v/>
      </c>
      <c r="B104" s="212">
        <f t="shared" ref="B104:C104" si="178">B84</f>
        <v>0</v>
      </c>
      <c r="C104" s="211">
        <f t="shared" si="178"/>
        <v>0</v>
      </c>
      <c r="D104" s="97" t="s">
        <v>11</v>
      </c>
      <c r="E104" s="97"/>
      <c r="F104" s="304">
        <f t="shared" si="141"/>
        <v>0</v>
      </c>
      <c r="G104" s="305">
        <v>0</v>
      </c>
      <c r="H104" s="83">
        <f>'Direct Labor Rate Schedule'!L21</f>
        <v>0</v>
      </c>
      <c r="I104" s="84">
        <f t="shared" si="165"/>
        <v>0</v>
      </c>
      <c r="J104" s="84">
        <f t="shared" si="166"/>
        <v>0</v>
      </c>
      <c r="K104" s="145">
        <f t="shared" si="167"/>
        <v>0</v>
      </c>
      <c r="L104" s="85">
        <f t="shared" si="168"/>
        <v>0</v>
      </c>
      <c r="M104" s="85">
        <f t="shared" si="169"/>
        <v>0</v>
      </c>
      <c r="N104" s="85">
        <f t="shared" si="170"/>
        <v>0</v>
      </c>
      <c r="O104" s="85">
        <f t="shared" si="171"/>
        <v>0</v>
      </c>
      <c r="P104" s="85">
        <f t="shared" si="172"/>
        <v>0</v>
      </c>
      <c r="Q104" s="86" t="str">
        <f t="shared" si="173"/>
        <v/>
      </c>
      <c r="R104" s="102" t="str">
        <f t="shared" si="174"/>
        <v/>
      </c>
    </row>
    <row r="105" spans="1:18" ht="13.5" thickBot="1">
      <c r="A105" s="303" t="str">
        <f t="shared" si="152"/>
        <v/>
      </c>
      <c r="B105" s="212">
        <f t="shared" ref="B105:C105" si="179">B85</f>
        <v>0</v>
      </c>
      <c r="C105" s="211">
        <f t="shared" si="179"/>
        <v>0</v>
      </c>
      <c r="D105" s="97" t="s">
        <v>11</v>
      </c>
      <c r="E105" s="97"/>
      <c r="F105" s="304">
        <f t="shared" si="141"/>
        <v>0</v>
      </c>
      <c r="G105" s="305">
        <v>0</v>
      </c>
      <c r="H105" s="83">
        <f>'Direct Labor Rate Schedule'!L22</f>
        <v>0</v>
      </c>
      <c r="I105" s="84">
        <f t="shared" si="154"/>
        <v>0</v>
      </c>
      <c r="J105" s="84">
        <f t="shared" si="155"/>
        <v>0</v>
      </c>
      <c r="K105" s="145">
        <f t="shared" si="156"/>
        <v>0</v>
      </c>
      <c r="L105" s="85">
        <f t="shared" si="157"/>
        <v>0</v>
      </c>
      <c r="M105" s="85">
        <f t="shared" si="158"/>
        <v>0</v>
      </c>
      <c r="N105" s="85">
        <f t="shared" si="159"/>
        <v>0</v>
      </c>
      <c r="O105" s="85">
        <f t="shared" si="160"/>
        <v>0</v>
      </c>
      <c r="P105" s="85">
        <f t="shared" si="161"/>
        <v>0</v>
      </c>
      <c r="Q105" s="86" t="str">
        <f t="shared" si="162"/>
        <v/>
      </c>
      <c r="R105" s="102" t="str">
        <f t="shared" si="163"/>
        <v/>
      </c>
    </row>
    <row r="106" spans="1:18" s="82" customFormat="1" ht="14.25" thickTop="1" thickBot="1">
      <c r="A106" s="360" t="s">
        <v>85</v>
      </c>
      <c r="B106" s="361"/>
      <c r="C106" s="361"/>
      <c r="D106" s="361"/>
      <c r="E106" s="362"/>
      <c r="F106" s="146">
        <f>SUM(F94:F105)</f>
        <v>59.713541666666664</v>
      </c>
      <c r="G106" s="146">
        <f>SUM(G94:G105)</f>
        <v>114650</v>
      </c>
      <c r="H106" s="108">
        <f>SUMPRODUCT(H94:H105,$G94:$G105)</f>
        <v>0</v>
      </c>
      <c r="I106" s="108">
        <f>SUMPRODUCT(I94:I105,$G94:$G105)</f>
        <v>0</v>
      </c>
      <c r="J106" s="108">
        <f>SUMPRODUCT(J94:J105,$G94:$G105)</f>
        <v>0</v>
      </c>
      <c r="K106" s="108">
        <f>SUMPRODUCT(K94:K105,$G94:$G105)</f>
        <v>0</v>
      </c>
      <c r="L106" s="108">
        <f>SUM(L94:L105)</f>
        <v>0</v>
      </c>
      <c r="M106" s="108">
        <f>SUM(M94:M105)</f>
        <v>0</v>
      </c>
      <c r="N106" s="108">
        <f>SUM(N94:N105)</f>
        <v>0</v>
      </c>
      <c r="O106" s="108">
        <f>SUM(O94:O105)</f>
        <v>0</v>
      </c>
      <c r="P106" s="108">
        <f>SUM(P94:P105)</f>
        <v>0</v>
      </c>
      <c r="Q106" s="108">
        <f>SUMPRODUCT(Q94:Q105,$G94:$G105)</f>
        <v>0</v>
      </c>
      <c r="R106" s="109"/>
    </row>
    <row r="107" spans="1:18" s="82" customFormat="1" ht="14.25" thickTop="1" thickBot="1">
      <c r="A107" s="360" t="s">
        <v>86</v>
      </c>
      <c r="B107" s="361"/>
      <c r="C107" s="361"/>
      <c r="D107" s="361"/>
      <c r="E107" s="362"/>
      <c r="F107" s="116"/>
      <c r="G107" s="173">
        <f>G106/SUM(F94:F105)</f>
        <v>1920</v>
      </c>
      <c r="H107" s="110">
        <f>H106/$G106</f>
        <v>0</v>
      </c>
      <c r="I107" s="110">
        <f t="shared" ref="I107:J107" si="180">I106/$G106</f>
        <v>0</v>
      </c>
      <c r="J107" s="110">
        <f t="shared" si="180"/>
        <v>0</v>
      </c>
      <c r="K107" s="110">
        <f>K106/$G106</f>
        <v>0</v>
      </c>
      <c r="L107" s="110">
        <f>L106/$G106</f>
        <v>0</v>
      </c>
      <c r="M107" s="110">
        <f t="shared" ref="M107:P107" si="181">M106/$G106</f>
        <v>0</v>
      </c>
      <c r="N107" s="110">
        <f t="shared" si="181"/>
        <v>0</v>
      </c>
      <c r="O107" s="110">
        <f t="shared" si="181"/>
        <v>0</v>
      </c>
      <c r="P107" s="110">
        <f t="shared" si="181"/>
        <v>0</v>
      </c>
      <c r="Q107" s="110">
        <f>Q106/$G106</f>
        <v>0</v>
      </c>
      <c r="R107" s="115" t="e">
        <f>Q107/H107</f>
        <v>#DIV/0!</v>
      </c>
    </row>
    <row r="108" spans="1:18" ht="13.5" thickTop="1">
      <c r="C108" s="87"/>
      <c r="D108" s="33"/>
      <c r="F108" s="34"/>
      <c r="G108" s="34"/>
      <c r="H108" s="65"/>
      <c r="I108" s="65"/>
      <c r="J108" s="65"/>
      <c r="K108" s="88"/>
      <c r="L108" s="88"/>
      <c r="M108" s="88"/>
      <c r="N108" s="88"/>
      <c r="O108" s="88"/>
      <c r="P108" s="88"/>
    </row>
    <row r="109" spans="1:18">
      <c r="C109" s="23"/>
      <c r="D109" s="24"/>
      <c r="E109" s="18"/>
      <c r="F109" s="19"/>
      <c r="G109" s="356" t="s">
        <v>28</v>
      </c>
      <c r="H109" s="363"/>
      <c r="I109" s="366" t="s">
        <v>29</v>
      </c>
      <c r="J109" s="366"/>
      <c r="K109" s="367"/>
      <c r="L109" s="367"/>
      <c r="M109" s="367"/>
      <c r="N109" s="20"/>
      <c r="O109" s="21"/>
      <c r="P109" s="22"/>
      <c r="Q109" s="22"/>
    </row>
    <row r="110" spans="1:18">
      <c r="C110" s="35" t="s">
        <v>256</v>
      </c>
      <c r="D110" s="25"/>
      <c r="E110" s="26"/>
      <c r="F110" s="27"/>
      <c r="G110" s="364"/>
      <c r="H110" s="365"/>
      <c r="I110" s="91">
        <f>'Indirect Rate Summary'!C38</f>
        <v>0</v>
      </c>
      <c r="J110" s="28">
        <f>'Indirect Rate Summary'!D38</f>
        <v>0</v>
      </c>
      <c r="K110" s="28"/>
      <c r="L110" s="29"/>
      <c r="M110" s="95">
        <f>'Indirect Rate Summary'!E38</f>
        <v>0</v>
      </c>
      <c r="N110" s="30"/>
      <c r="O110" s="92">
        <f>'Indirect Rate Summary'!F38</f>
        <v>0</v>
      </c>
      <c r="P110" s="22"/>
      <c r="Q110" s="22"/>
    </row>
    <row r="111" spans="1:18" s="144" customFormat="1" ht="89.25">
      <c r="A111" s="79" t="str">
        <f t="shared" ref="A111:R111" si="182">+A91</f>
        <v>Location (Note 1)</v>
      </c>
      <c r="B111" s="79" t="str">
        <f t="shared" si="182"/>
        <v>Labor Type (Note 2)</v>
      </c>
      <c r="C111" s="79" t="str">
        <f t="shared" si="182"/>
        <v>Labor Categories (Note 3)</v>
      </c>
      <c r="D111" s="79" t="str">
        <f t="shared" si="182"/>
        <v>Effort To Be Performed By The Prime (P) or Subcontractor (S) (Note 4)</v>
      </c>
      <c r="E111" s="79" t="str">
        <f t="shared" si="182"/>
        <v>If Column D=S, Enter Name of Subcontractor(s) (Note 5)</v>
      </c>
      <c r="F111" s="80" t="str">
        <f t="shared" si="182"/>
        <v>FTEs (Note 6)</v>
      </c>
      <c r="G111" s="141" t="str">
        <f t="shared" si="182"/>
        <v>Total Productive Hours (Note 7)</v>
      </c>
      <c r="H111" s="142" t="str">
        <f t="shared" si="182"/>
        <v>Hourly Base Pay Rate (Note 8)</v>
      </c>
      <c r="I111" s="81" t="str">
        <f t="shared" si="182"/>
        <v>Fringe (Note 9)</v>
      </c>
      <c r="J111" s="81" t="str">
        <f t="shared" si="182"/>
        <v>Overhead (Note 10)</v>
      </c>
      <c r="K111" s="81" t="str">
        <f t="shared" si="182"/>
        <v xml:space="preserve"> Prime/Sub Hourly Rate Before Application Of  Prime G&amp;A &amp; Fee (IF Col C=S Enter Sub Rate) (Note 11)</v>
      </c>
      <c r="L111" s="81" t="str">
        <f t="shared" si="182"/>
        <v>Total Prime &amp; Sub Labor Before Prime G&amp;A &amp; Fee</v>
      </c>
      <c r="M111" s="81" t="str">
        <f t="shared" si="182"/>
        <v>G&amp;A (Note 12)</v>
      </c>
      <c r="N111" s="81" t="str">
        <f t="shared" si="182"/>
        <v>Total Cost</v>
      </c>
      <c r="O111" s="81" t="str">
        <f t="shared" si="182"/>
        <v>Fee</v>
      </c>
      <c r="P111" s="81" t="str">
        <f t="shared" si="182"/>
        <v>Total Price</v>
      </c>
      <c r="Q111" s="81" t="str">
        <f t="shared" si="182"/>
        <v xml:space="preserve">Proposal Fully Burdened Hourly Billing Rate </v>
      </c>
      <c r="R111" s="81" t="str">
        <f t="shared" si="182"/>
        <v>Wrap Rate</v>
      </c>
    </row>
    <row r="112" spans="1:18" ht="13.5" thickBot="1">
      <c r="A112" s="31" t="str">
        <f t="shared" ref="A112:R112" si="183">+A92</f>
        <v>a</v>
      </c>
      <c r="B112" s="31" t="str">
        <f t="shared" si="183"/>
        <v>b</v>
      </c>
      <c r="C112" s="31" t="str">
        <f t="shared" si="183"/>
        <v>c</v>
      </c>
      <c r="D112" s="31" t="str">
        <f t="shared" si="183"/>
        <v>d</v>
      </c>
      <c r="E112" s="31" t="str">
        <f t="shared" si="183"/>
        <v>e</v>
      </c>
      <c r="F112" s="31" t="str">
        <f t="shared" si="183"/>
        <v>f</v>
      </c>
      <c r="G112" s="36" t="str">
        <f t="shared" si="183"/>
        <v>g</v>
      </c>
      <c r="H112" s="31" t="str">
        <f t="shared" si="183"/>
        <v>h</v>
      </c>
      <c r="I112" s="32" t="str">
        <f t="shared" si="183"/>
        <v>i</v>
      </c>
      <c r="J112" s="32" t="str">
        <f t="shared" si="183"/>
        <v>j</v>
      </c>
      <c r="K112" s="32" t="str">
        <f t="shared" si="183"/>
        <v>k = h + i + j</v>
      </c>
      <c r="L112" s="32" t="str">
        <f t="shared" si="183"/>
        <v>l = g x k</v>
      </c>
      <c r="M112" s="32" t="str">
        <f t="shared" si="183"/>
        <v>m</v>
      </c>
      <c r="N112" s="32" t="str">
        <f t="shared" si="183"/>
        <v>n = l + o</v>
      </c>
      <c r="O112" s="32" t="str">
        <f t="shared" si="183"/>
        <v>o</v>
      </c>
      <c r="P112" s="32" t="str">
        <f t="shared" si="183"/>
        <v>p = n + o</v>
      </c>
      <c r="Q112" s="32" t="str">
        <f t="shared" si="183"/>
        <v>q = p/g</v>
      </c>
      <c r="R112" s="32" t="str">
        <f t="shared" si="183"/>
        <v>r = q/h</v>
      </c>
    </row>
    <row r="113" spans="1:18">
      <c r="A113" s="168" t="str">
        <f>IF('Direct Labor Rate Schedule'!$A$10="","",'Direct Labor Rate Schedule'!$A$10)</f>
        <v/>
      </c>
      <c r="B113" s="170"/>
      <c r="C113" s="148"/>
      <c r="D113" s="149"/>
      <c r="E113" s="149"/>
      <c r="F113" s="172"/>
      <c r="G113" s="151"/>
      <c r="H113" s="152"/>
      <c r="I113" s="153"/>
      <c r="J113" s="153"/>
      <c r="K113" s="154"/>
      <c r="L113" s="155"/>
      <c r="M113" s="155"/>
      <c r="N113" s="155"/>
      <c r="O113" s="155"/>
      <c r="P113" s="155"/>
      <c r="Q113" s="157"/>
      <c r="R113" s="158"/>
    </row>
    <row r="114" spans="1:18">
      <c r="A114" s="303" t="str">
        <f>A94</f>
        <v/>
      </c>
      <c r="B114" s="212">
        <f>B94</f>
        <v>0</v>
      </c>
      <c r="C114" s="211" t="str">
        <f>C94</f>
        <v>Program Manager</v>
      </c>
      <c r="D114" s="97" t="s">
        <v>11</v>
      </c>
      <c r="E114" s="97"/>
      <c r="F114" s="304">
        <f t="shared" ref="F114:F125" si="184">G114/AnnualProductiveHours</f>
        <v>0.97916666666666663</v>
      </c>
      <c r="G114" s="305">
        <v>1880</v>
      </c>
      <c r="H114" s="83">
        <f>'Direct Labor Rate Schedule'!N11</f>
        <v>0</v>
      </c>
      <c r="I114" s="84">
        <f t="shared" ref="I114" si="185">ROUND((+H114*$I$110),2)</f>
        <v>0</v>
      </c>
      <c r="J114" s="84">
        <f t="shared" ref="J114" si="186">ROUND((+H114*$J$110),2)</f>
        <v>0</v>
      </c>
      <c r="K114" s="145">
        <f t="shared" ref="K114" si="187">+H114+SUM(I114:J114)</f>
        <v>0</v>
      </c>
      <c r="L114" s="85">
        <f t="shared" ref="L114" si="188">ROUND((+G114*K114),2)</f>
        <v>0</v>
      </c>
      <c r="M114" s="85">
        <f t="shared" ref="M114" si="189">ROUND((+L114*$M$110),2)</f>
        <v>0</v>
      </c>
      <c r="N114" s="85">
        <f t="shared" ref="N114" si="190">SUM(L114:M114)</f>
        <v>0</v>
      </c>
      <c r="O114" s="85">
        <f t="shared" ref="O114" si="191">ROUND((+N114*$O$110),2)</f>
        <v>0</v>
      </c>
      <c r="P114" s="85">
        <f t="shared" ref="P114" si="192">SUM(N114:O114)</f>
        <v>0</v>
      </c>
      <c r="Q114" s="86">
        <f t="shared" ref="Q114" si="193">IFERROR((+P114/G114),"")</f>
        <v>0</v>
      </c>
      <c r="R114" s="102" t="str">
        <f t="shared" ref="R114" si="194">IFERROR(Q114/H114-1,"")</f>
        <v/>
      </c>
    </row>
    <row r="115" spans="1:18">
      <c r="A115" s="303" t="str">
        <f t="shared" ref="A115:A125" si="195">A95</f>
        <v/>
      </c>
      <c r="B115" s="212">
        <f t="shared" ref="B115:C119" si="196">B95</f>
        <v>0</v>
      </c>
      <c r="C115" s="211" t="str">
        <f t="shared" si="196"/>
        <v>Senior Analyst</v>
      </c>
      <c r="D115" s="97" t="s">
        <v>11</v>
      </c>
      <c r="E115" s="97"/>
      <c r="F115" s="304">
        <f t="shared" si="184"/>
        <v>46.005208333333336</v>
      </c>
      <c r="G115" s="305">
        <v>88330</v>
      </c>
      <c r="H115" s="83">
        <f>'Direct Labor Rate Schedule'!N12</f>
        <v>0</v>
      </c>
      <c r="I115" s="84">
        <f t="shared" ref="I115:I119" si="197">ROUND((+H115*$I$110),2)</f>
        <v>0</v>
      </c>
      <c r="J115" s="84">
        <f t="shared" ref="J115:J119" si="198">ROUND((+H115*$J$110),2)</f>
        <v>0</v>
      </c>
      <c r="K115" s="145">
        <f t="shared" ref="K115:K119" si="199">+H115+SUM(I115:J115)</f>
        <v>0</v>
      </c>
      <c r="L115" s="85">
        <f t="shared" ref="L115:L119" si="200">ROUND((+G115*K115),2)</f>
        <v>0</v>
      </c>
      <c r="M115" s="85">
        <f t="shared" ref="M115:M119" si="201">ROUND((+L115*$M$110),2)</f>
        <v>0</v>
      </c>
      <c r="N115" s="85">
        <f t="shared" ref="N115:N119" si="202">SUM(L115:M115)</f>
        <v>0</v>
      </c>
      <c r="O115" s="85">
        <f t="shared" ref="O115:O119" si="203">ROUND((+N115*$O$110),2)</f>
        <v>0</v>
      </c>
      <c r="P115" s="85">
        <f t="shared" ref="P115:P119" si="204">SUM(N115:O115)</f>
        <v>0</v>
      </c>
      <c r="Q115" s="86">
        <f t="shared" ref="Q115:Q119" si="205">IFERROR((+P115/G115),"")</f>
        <v>0</v>
      </c>
      <c r="R115" s="102" t="str">
        <f t="shared" ref="R115:R119" si="206">IFERROR(Q115/H115-1,"")</f>
        <v/>
      </c>
    </row>
    <row r="116" spans="1:18">
      <c r="A116" s="303" t="str">
        <f t="shared" si="195"/>
        <v/>
      </c>
      <c r="B116" s="212">
        <f t="shared" si="196"/>
        <v>0</v>
      </c>
      <c r="C116" s="211" t="str">
        <f t="shared" si="196"/>
        <v>Analyst</v>
      </c>
      <c r="D116" s="97" t="s">
        <v>11</v>
      </c>
      <c r="E116" s="97"/>
      <c r="F116" s="304">
        <f t="shared" si="184"/>
        <v>2.9375</v>
      </c>
      <c r="G116" s="305">
        <v>5640</v>
      </c>
      <c r="H116" s="83">
        <f>'Direct Labor Rate Schedule'!N13</f>
        <v>0</v>
      </c>
      <c r="I116" s="84">
        <f t="shared" si="197"/>
        <v>0</v>
      </c>
      <c r="J116" s="84">
        <f t="shared" si="198"/>
        <v>0</v>
      </c>
      <c r="K116" s="145">
        <f t="shared" si="199"/>
        <v>0</v>
      </c>
      <c r="L116" s="85">
        <f t="shared" si="200"/>
        <v>0</v>
      </c>
      <c r="M116" s="85">
        <f t="shared" si="201"/>
        <v>0</v>
      </c>
      <c r="N116" s="85">
        <f t="shared" si="202"/>
        <v>0</v>
      </c>
      <c r="O116" s="85">
        <f t="shared" si="203"/>
        <v>0</v>
      </c>
      <c r="P116" s="85">
        <f t="shared" si="204"/>
        <v>0</v>
      </c>
      <c r="Q116" s="86">
        <f t="shared" si="205"/>
        <v>0</v>
      </c>
      <c r="R116" s="102" t="str">
        <f t="shared" si="206"/>
        <v/>
      </c>
    </row>
    <row r="117" spans="1:18">
      <c r="A117" s="303" t="str">
        <f t="shared" si="195"/>
        <v/>
      </c>
      <c r="B117" s="212">
        <f t="shared" si="196"/>
        <v>0</v>
      </c>
      <c r="C117" s="211" t="str">
        <f t="shared" si="196"/>
        <v>Junior Analyst</v>
      </c>
      <c r="D117" s="97" t="s">
        <v>11</v>
      </c>
      <c r="E117" s="97"/>
      <c r="F117" s="304">
        <f t="shared" si="184"/>
        <v>2.9375</v>
      </c>
      <c r="G117" s="305">
        <v>5640</v>
      </c>
      <c r="H117" s="83">
        <f>'Direct Labor Rate Schedule'!N14</f>
        <v>0</v>
      </c>
      <c r="I117" s="84">
        <f t="shared" si="197"/>
        <v>0</v>
      </c>
      <c r="J117" s="84">
        <f t="shared" si="198"/>
        <v>0</v>
      </c>
      <c r="K117" s="145">
        <f t="shared" si="199"/>
        <v>0</v>
      </c>
      <c r="L117" s="85">
        <f t="shared" si="200"/>
        <v>0</v>
      </c>
      <c r="M117" s="85">
        <f t="shared" si="201"/>
        <v>0</v>
      </c>
      <c r="N117" s="85">
        <f t="shared" si="202"/>
        <v>0</v>
      </c>
      <c r="O117" s="85">
        <f t="shared" si="203"/>
        <v>0</v>
      </c>
      <c r="P117" s="85">
        <f t="shared" si="204"/>
        <v>0</v>
      </c>
      <c r="Q117" s="86">
        <f t="shared" si="205"/>
        <v>0</v>
      </c>
      <c r="R117" s="102" t="str">
        <f t="shared" si="206"/>
        <v/>
      </c>
    </row>
    <row r="118" spans="1:18">
      <c r="A118" s="303" t="str">
        <f t="shared" si="195"/>
        <v/>
      </c>
      <c r="B118" s="212">
        <f t="shared" si="196"/>
        <v>0</v>
      </c>
      <c r="C118" s="211" t="str">
        <f t="shared" si="196"/>
        <v>Senior Operations Research Analyst</v>
      </c>
      <c r="D118" s="97" t="s">
        <v>11</v>
      </c>
      <c r="E118" s="97"/>
      <c r="F118" s="304">
        <f t="shared" si="184"/>
        <v>2.9375</v>
      </c>
      <c r="G118" s="305">
        <v>5640</v>
      </c>
      <c r="H118" s="83">
        <f>'Direct Labor Rate Schedule'!N15</f>
        <v>0</v>
      </c>
      <c r="I118" s="84">
        <f t="shared" si="197"/>
        <v>0</v>
      </c>
      <c r="J118" s="84">
        <f t="shared" si="198"/>
        <v>0</v>
      </c>
      <c r="K118" s="145">
        <f t="shared" si="199"/>
        <v>0</v>
      </c>
      <c r="L118" s="85">
        <f t="shared" si="200"/>
        <v>0</v>
      </c>
      <c r="M118" s="85">
        <f t="shared" si="201"/>
        <v>0</v>
      </c>
      <c r="N118" s="85">
        <f t="shared" si="202"/>
        <v>0</v>
      </c>
      <c r="O118" s="85">
        <f t="shared" si="203"/>
        <v>0</v>
      </c>
      <c r="P118" s="85">
        <f t="shared" si="204"/>
        <v>0</v>
      </c>
      <c r="Q118" s="86">
        <f t="shared" si="205"/>
        <v>0</v>
      </c>
      <c r="R118" s="102" t="str">
        <f t="shared" si="206"/>
        <v/>
      </c>
    </row>
    <row r="119" spans="1:18">
      <c r="A119" s="303" t="str">
        <f t="shared" si="195"/>
        <v/>
      </c>
      <c r="B119" s="212">
        <f t="shared" si="196"/>
        <v>0</v>
      </c>
      <c r="C119" s="211" t="str">
        <f t="shared" si="196"/>
        <v>Operations Research Analyst</v>
      </c>
      <c r="D119" s="97" t="s">
        <v>11</v>
      </c>
      <c r="E119" s="97"/>
      <c r="F119" s="304">
        <f t="shared" si="184"/>
        <v>1.9583333333333333</v>
      </c>
      <c r="G119" s="305">
        <v>3760</v>
      </c>
      <c r="H119" s="83">
        <f>'Direct Labor Rate Schedule'!N16</f>
        <v>0</v>
      </c>
      <c r="I119" s="84">
        <f t="shared" si="197"/>
        <v>0</v>
      </c>
      <c r="J119" s="84">
        <f t="shared" si="198"/>
        <v>0</v>
      </c>
      <c r="K119" s="145">
        <f t="shared" si="199"/>
        <v>0</v>
      </c>
      <c r="L119" s="85">
        <f t="shared" si="200"/>
        <v>0</v>
      </c>
      <c r="M119" s="85">
        <f t="shared" si="201"/>
        <v>0</v>
      </c>
      <c r="N119" s="85">
        <f t="shared" si="202"/>
        <v>0</v>
      </c>
      <c r="O119" s="85">
        <f t="shared" si="203"/>
        <v>0</v>
      </c>
      <c r="P119" s="85">
        <f t="shared" si="204"/>
        <v>0</v>
      </c>
      <c r="Q119" s="86">
        <f t="shared" si="205"/>
        <v>0</v>
      </c>
      <c r="R119" s="102" t="str">
        <f t="shared" si="206"/>
        <v/>
      </c>
    </row>
    <row r="120" spans="1:18">
      <c r="A120" s="303" t="str">
        <f t="shared" si="195"/>
        <v/>
      </c>
      <c r="B120" s="212">
        <f t="shared" ref="B120:C120" si="207">B100</f>
        <v>0</v>
      </c>
      <c r="C120" s="211" t="str">
        <f t="shared" si="207"/>
        <v>Graphics Design Senior Analyst</v>
      </c>
      <c r="D120" s="97" t="s">
        <v>11</v>
      </c>
      <c r="E120" s="97"/>
      <c r="F120" s="304">
        <f t="shared" si="184"/>
        <v>0.97916666666666663</v>
      </c>
      <c r="G120" s="305">
        <v>1880</v>
      </c>
      <c r="H120" s="83">
        <f>'Direct Labor Rate Schedule'!N17</f>
        <v>0</v>
      </c>
      <c r="I120" s="84">
        <f t="shared" ref="I120:I125" si="208">ROUND((+H120*$I$110),2)</f>
        <v>0</v>
      </c>
      <c r="J120" s="84">
        <f t="shared" ref="J120:J125" si="209">ROUND((+H120*$J$110),2)</f>
        <v>0</v>
      </c>
      <c r="K120" s="145">
        <f t="shared" ref="K120:K125" si="210">+H120+SUM(I120:J120)</f>
        <v>0</v>
      </c>
      <c r="L120" s="85">
        <f t="shared" ref="L120:L125" si="211">ROUND((+G120*K120),2)</f>
        <v>0</v>
      </c>
      <c r="M120" s="85">
        <f t="shared" ref="M120:M125" si="212">ROUND((+L120*$M$110),2)</f>
        <v>0</v>
      </c>
      <c r="N120" s="85">
        <f t="shared" ref="N120:N125" si="213">SUM(L120:M120)</f>
        <v>0</v>
      </c>
      <c r="O120" s="85">
        <f t="shared" ref="O120:O125" si="214">ROUND((+N120*$O$110),2)</f>
        <v>0</v>
      </c>
      <c r="P120" s="85">
        <f t="shared" ref="P120:P125" si="215">SUM(N120:O120)</f>
        <v>0</v>
      </c>
      <c r="Q120" s="86">
        <f t="shared" ref="Q120:Q125" si="216">IFERROR((+P120/G120),"")</f>
        <v>0</v>
      </c>
      <c r="R120" s="102" t="str">
        <f t="shared" ref="R120:R125" si="217">IFERROR(Q120/H120-1,"")</f>
        <v/>
      </c>
    </row>
    <row r="121" spans="1:18">
      <c r="A121" s="303" t="str">
        <f t="shared" si="195"/>
        <v/>
      </c>
      <c r="B121" s="212">
        <f t="shared" ref="B121:C121" si="218">B101</f>
        <v>0</v>
      </c>
      <c r="C121" s="211" t="str">
        <f t="shared" si="218"/>
        <v>Force Documentation Senior Analyst</v>
      </c>
      <c r="D121" s="97" t="s">
        <v>11</v>
      </c>
      <c r="E121" s="97"/>
      <c r="F121" s="304">
        <f t="shared" si="184"/>
        <v>0.97916666666666663</v>
      </c>
      <c r="G121" s="305">
        <v>1880</v>
      </c>
      <c r="H121" s="83">
        <f>'Direct Labor Rate Schedule'!N18</f>
        <v>0</v>
      </c>
      <c r="I121" s="84">
        <f t="shared" si="208"/>
        <v>0</v>
      </c>
      <c r="J121" s="84">
        <f t="shared" si="209"/>
        <v>0</v>
      </c>
      <c r="K121" s="145">
        <f t="shared" si="210"/>
        <v>0</v>
      </c>
      <c r="L121" s="85">
        <f t="shared" si="211"/>
        <v>0</v>
      </c>
      <c r="M121" s="85">
        <f t="shared" si="212"/>
        <v>0</v>
      </c>
      <c r="N121" s="85">
        <f t="shared" si="213"/>
        <v>0</v>
      </c>
      <c r="O121" s="85">
        <f t="shared" si="214"/>
        <v>0</v>
      </c>
      <c r="P121" s="85">
        <f t="shared" si="215"/>
        <v>0</v>
      </c>
      <c r="Q121" s="86">
        <f t="shared" si="216"/>
        <v>0</v>
      </c>
      <c r="R121" s="102" t="str">
        <f t="shared" si="217"/>
        <v/>
      </c>
    </row>
    <row r="122" spans="1:18">
      <c r="A122" s="303" t="str">
        <f t="shared" si="195"/>
        <v/>
      </c>
      <c r="B122" s="212">
        <f t="shared" ref="B122:C122" si="219">B102</f>
        <v>0</v>
      </c>
      <c r="C122" s="211">
        <f t="shared" si="219"/>
        <v>0</v>
      </c>
      <c r="D122" s="97" t="s">
        <v>11</v>
      </c>
      <c r="E122" s="97"/>
      <c r="F122" s="304">
        <f t="shared" si="184"/>
        <v>0</v>
      </c>
      <c r="G122" s="305">
        <v>0</v>
      </c>
      <c r="H122" s="83">
        <f>'Direct Labor Rate Schedule'!N19</f>
        <v>0</v>
      </c>
      <c r="I122" s="84">
        <f t="shared" si="208"/>
        <v>0</v>
      </c>
      <c r="J122" s="84">
        <f t="shared" si="209"/>
        <v>0</v>
      </c>
      <c r="K122" s="145">
        <f t="shared" si="210"/>
        <v>0</v>
      </c>
      <c r="L122" s="85">
        <f t="shared" si="211"/>
        <v>0</v>
      </c>
      <c r="M122" s="85">
        <f t="shared" si="212"/>
        <v>0</v>
      </c>
      <c r="N122" s="85">
        <f t="shared" si="213"/>
        <v>0</v>
      </c>
      <c r="O122" s="85">
        <f t="shared" si="214"/>
        <v>0</v>
      </c>
      <c r="P122" s="85">
        <f t="shared" si="215"/>
        <v>0</v>
      </c>
      <c r="Q122" s="86" t="str">
        <f t="shared" si="216"/>
        <v/>
      </c>
      <c r="R122" s="102" t="str">
        <f t="shared" si="217"/>
        <v/>
      </c>
    </row>
    <row r="123" spans="1:18">
      <c r="A123" s="303" t="str">
        <f t="shared" si="195"/>
        <v/>
      </c>
      <c r="B123" s="212">
        <f t="shared" ref="B123:C123" si="220">B103</f>
        <v>0</v>
      </c>
      <c r="C123" s="211">
        <f t="shared" si="220"/>
        <v>0</v>
      </c>
      <c r="D123" s="97" t="s">
        <v>11</v>
      </c>
      <c r="E123" s="97"/>
      <c r="F123" s="304">
        <f t="shared" si="184"/>
        <v>0</v>
      </c>
      <c r="G123" s="305">
        <v>0</v>
      </c>
      <c r="H123" s="83">
        <f>'Direct Labor Rate Schedule'!N20</f>
        <v>0</v>
      </c>
      <c r="I123" s="84">
        <f t="shared" si="208"/>
        <v>0</v>
      </c>
      <c r="J123" s="84">
        <f t="shared" si="209"/>
        <v>0</v>
      </c>
      <c r="K123" s="145">
        <f t="shared" si="210"/>
        <v>0</v>
      </c>
      <c r="L123" s="85">
        <f t="shared" si="211"/>
        <v>0</v>
      </c>
      <c r="M123" s="85">
        <f t="shared" si="212"/>
        <v>0</v>
      </c>
      <c r="N123" s="85">
        <f t="shared" si="213"/>
        <v>0</v>
      </c>
      <c r="O123" s="85">
        <f t="shared" si="214"/>
        <v>0</v>
      </c>
      <c r="P123" s="85">
        <f t="shared" si="215"/>
        <v>0</v>
      </c>
      <c r="Q123" s="86" t="str">
        <f t="shared" si="216"/>
        <v/>
      </c>
      <c r="R123" s="102" t="str">
        <f t="shared" si="217"/>
        <v/>
      </c>
    </row>
    <row r="124" spans="1:18">
      <c r="A124" s="303" t="str">
        <f t="shared" si="195"/>
        <v/>
      </c>
      <c r="B124" s="212">
        <f t="shared" ref="B124:C124" si="221">B104</f>
        <v>0</v>
      </c>
      <c r="C124" s="211">
        <f t="shared" si="221"/>
        <v>0</v>
      </c>
      <c r="D124" s="97" t="s">
        <v>11</v>
      </c>
      <c r="E124" s="97"/>
      <c r="F124" s="304">
        <f t="shared" si="184"/>
        <v>0</v>
      </c>
      <c r="G124" s="305">
        <v>0</v>
      </c>
      <c r="H124" s="83">
        <f>'Direct Labor Rate Schedule'!N21</f>
        <v>0</v>
      </c>
      <c r="I124" s="84">
        <f t="shared" si="208"/>
        <v>0</v>
      </c>
      <c r="J124" s="84">
        <f t="shared" si="209"/>
        <v>0</v>
      </c>
      <c r="K124" s="145">
        <f t="shared" si="210"/>
        <v>0</v>
      </c>
      <c r="L124" s="85">
        <f t="shared" si="211"/>
        <v>0</v>
      </c>
      <c r="M124" s="85">
        <f t="shared" si="212"/>
        <v>0</v>
      </c>
      <c r="N124" s="85">
        <f t="shared" si="213"/>
        <v>0</v>
      </c>
      <c r="O124" s="85">
        <f t="shared" si="214"/>
        <v>0</v>
      </c>
      <c r="P124" s="85">
        <f t="shared" si="215"/>
        <v>0</v>
      </c>
      <c r="Q124" s="86" t="str">
        <f t="shared" si="216"/>
        <v/>
      </c>
      <c r="R124" s="102" t="str">
        <f t="shared" si="217"/>
        <v/>
      </c>
    </row>
    <row r="125" spans="1:18" ht="13.5" thickBot="1">
      <c r="A125" s="303" t="str">
        <f t="shared" si="195"/>
        <v/>
      </c>
      <c r="B125" s="212">
        <f t="shared" ref="B125:C125" si="222">B105</f>
        <v>0</v>
      </c>
      <c r="C125" s="211">
        <f t="shared" si="222"/>
        <v>0</v>
      </c>
      <c r="D125" s="97" t="s">
        <v>11</v>
      </c>
      <c r="E125" s="97"/>
      <c r="F125" s="304">
        <f t="shared" si="184"/>
        <v>0</v>
      </c>
      <c r="G125" s="305">
        <v>0</v>
      </c>
      <c r="H125" s="83">
        <f>'Direct Labor Rate Schedule'!N22</f>
        <v>0</v>
      </c>
      <c r="I125" s="84">
        <f t="shared" si="208"/>
        <v>0</v>
      </c>
      <c r="J125" s="84">
        <f t="shared" si="209"/>
        <v>0</v>
      </c>
      <c r="K125" s="145">
        <f t="shared" si="210"/>
        <v>0</v>
      </c>
      <c r="L125" s="85">
        <f t="shared" si="211"/>
        <v>0</v>
      </c>
      <c r="M125" s="85">
        <f t="shared" si="212"/>
        <v>0</v>
      </c>
      <c r="N125" s="85">
        <f t="shared" si="213"/>
        <v>0</v>
      </c>
      <c r="O125" s="85">
        <f t="shared" si="214"/>
        <v>0</v>
      </c>
      <c r="P125" s="85">
        <f t="shared" si="215"/>
        <v>0</v>
      </c>
      <c r="Q125" s="86" t="str">
        <f t="shared" si="216"/>
        <v/>
      </c>
      <c r="R125" s="102" t="str">
        <f t="shared" si="217"/>
        <v/>
      </c>
    </row>
    <row r="126" spans="1:18" s="82" customFormat="1" ht="14.25" thickTop="1" thickBot="1">
      <c r="A126" s="360" t="s">
        <v>85</v>
      </c>
      <c r="B126" s="361"/>
      <c r="C126" s="361"/>
      <c r="D126" s="361"/>
      <c r="E126" s="362"/>
      <c r="F126" s="146">
        <f>SUM(F114:F125)</f>
        <v>59.713541666666664</v>
      </c>
      <c r="G126" s="146">
        <f>SUM(G114:G125)</f>
        <v>114650</v>
      </c>
      <c r="H126" s="108">
        <f>SUMPRODUCT(H114:H125,$G114:$G125)</f>
        <v>0</v>
      </c>
      <c r="I126" s="108">
        <f>SUMPRODUCT(I114:I125,$G114:$G125)</f>
        <v>0</v>
      </c>
      <c r="J126" s="108">
        <f>SUMPRODUCT(J114:J125,$G114:$G125)</f>
        <v>0</v>
      </c>
      <c r="K126" s="108">
        <f>SUMPRODUCT(K114:K125,$G114:$G125)</f>
        <v>0</v>
      </c>
      <c r="L126" s="108">
        <f>SUM(L114:L125)</f>
        <v>0</v>
      </c>
      <c r="M126" s="108">
        <f>SUM(M114:M125)</f>
        <v>0</v>
      </c>
      <c r="N126" s="108">
        <f>SUM(N114:N125)</f>
        <v>0</v>
      </c>
      <c r="O126" s="108">
        <f>SUM(O114:O125)</f>
        <v>0</v>
      </c>
      <c r="P126" s="108">
        <f>SUM(P114:P125)</f>
        <v>0</v>
      </c>
      <c r="Q126" s="108">
        <f>SUMPRODUCT(Q114:Q125,$G114:$G125)</f>
        <v>0</v>
      </c>
      <c r="R126" s="109"/>
    </row>
    <row r="127" spans="1:18" s="82" customFormat="1" ht="14.25" thickTop="1" thickBot="1">
      <c r="A127" s="360" t="s">
        <v>86</v>
      </c>
      <c r="B127" s="361"/>
      <c r="C127" s="361"/>
      <c r="D127" s="361"/>
      <c r="E127" s="362"/>
      <c r="F127" s="116"/>
      <c r="G127" s="173">
        <f>G126/SUM(F114:F125)</f>
        <v>1920</v>
      </c>
      <c r="H127" s="110">
        <f>H126/$G126</f>
        <v>0</v>
      </c>
      <c r="I127" s="110">
        <f t="shared" ref="I127:J127" si="223">I126/$G126</f>
        <v>0</v>
      </c>
      <c r="J127" s="110">
        <f t="shared" si="223"/>
        <v>0</v>
      </c>
      <c r="K127" s="110">
        <f>K126/$G126</f>
        <v>0</v>
      </c>
      <c r="L127" s="110">
        <f>L126/$G126</f>
        <v>0</v>
      </c>
      <c r="M127" s="110">
        <f t="shared" ref="M127:P127" si="224">M126/$G126</f>
        <v>0</v>
      </c>
      <c r="N127" s="110">
        <f t="shared" si="224"/>
        <v>0</v>
      </c>
      <c r="O127" s="110">
        <f t="shared" si="224"/>
        <v>0</v>
      </c>
      <c r="P127" s="110">
        <f t="shared" si="224"/>
        <v>0</v>
      </c>
      <c r="Q127" s="110">
        <f>Q126/$G126</f>
        <v>0</v>
      </c>
      <c r="R127" s="115" t="e">
        <f>Q127/H127</f>
        <v>#DIV/0!</v>
      </c>
    </row>
    <row r="128" spans="1:18" customFormat="1" ht="14.25" thickTop="1" thickBot="1"/>
    <row r="129" spans="1:21" ht="13.5" thickBot="1">
      <c r="A129" s="368" t="s">
        <v>85</v>
      </c>
      <c r="B129" s="369"/>
      <c r="C129" s="369"/>
      <c r="D129" s="369"/>
      <c r="E129" s="370"/>
      <c r="F129" s="117"/>
      <c r="G129" s="111">
        <f t="shared" ref="G129:Q129" si="225">G126+G106+G86+G66+G46+G26</f>
        <v>571096</v>
      </c>
      <c r="H129" s="112">
        <f t="shared" si="225"/>
        <v>0</v>
      </c>
      <c r="I129" s="112">
        <f t="shared" si="225"/>
        <v>0</v>
      </c>
      <c r="J129" s="112">
        <f t="shared" si="225"/>
        <v>0</v>
      </c>
      <c r="K129" s="112">
        <f t="shared" si="225"/>
        <v>0</v>
      </c>
      <c r="L129" s="112">
        <f t="shared" si="225"/>
        <v>0</v>
      </c>
      <c r="M129" s="112">
        <f t="shared" si="225"/>
        <v>0</v>
      </c>
      <c r="N129" s="112">
        <f t="shared" si="225"/>
        <v>0</v>
      </c>
      <c r="O129" s="112">
        <f t="shared" si="225"/>
        <v>0</v>
      </c>
      <c r="P129" s="112">
        <f t="shared" si="225"/>
        <v>0</v>
      </c>
      <c r="Q129" s="112">
        <f t="shared" si="225"/>
        <v>0</v>
      </c>
      <c r="R129" s="113"/>
      <c r="T129"/>
      <c r="U129"/>
    </row>
    <row r="130" spans="1:21" ht="13.5" thickBot="1">
      <c r="A130" s="368" t="s">
        <v>86</v>
      </c>
      <c r="B130" s="369"/>
      <c r="C130" s="369"/>
      <c r="D130" s="369"/>
      <c r="E130" s="370"/>
      <c r="F130" s="117"/>
      <c r="G130" s="118"/>
      <c r="H130" s="114">
        <f>H129/$G$129</f>
        <v>0</v>
      </c>
      <c r="I130" s="114">
        <f t="shared" ref="I130:Q130" si="226">I129/$G$129</f>
        <v>0</v>
      </c>
      <c r="J130" s="114">
        <f t="shared" si="226"/>
        <v>0</v>
      </c>
      <c r="K130" s="114">
        <f t="shared" si="226"/>
        <v>0</v>
      </c>
      <c r="L130" s="114">
        <f t="shared" si="226"/>
        <v>0</v>
      </c>
      <c r="M130" s="114">
        <f t="shared" si="226"/>
        <v>0</v>
      </c>
      <c r="N130" s="114">
        <f t="shared" si="226"/>
        <v>0</v>
      </c>
      <c r="O130" s="114">
        <f t="shared" si="226"/>
        <v>0</v>
      </c>
      <c r="P130" s="114">
        <f t="shared" si="226"/>
        <v>0</v>
      </c>
      <c r="Q130" s="114">
        <f t="shared" si="226"/>
        <v>0</v>
      </c>
      <c r="R130" s="115" t="e">
        <f>Q130/H130</f>
        <v>#DIV/0!</v>
      </c>
      <c r="T130"/>
      <c r="U130"/>
    </row>
  </sheetData>
  <mergeCells count="26">
    <mergeCell ref="A130:E130"/>
    <mergeCell ref="A126:E126"/>
    <mergeCell ref="A127:E127"/>
    <mergeCell ref="A129:E129"/>
    <mergeCell ref="A67:E67"/>
    <mergeCell ref="A86:E86"/>
    <mergeCell ref="A87:E87"/>
    <mergeCell ref="A106:E106"/>
    <mergeCell ref="A107:E107"/>
    <mergeCell ref="G109:H110"/>
    <mergeCell ref="I109:M109"/>
    <mergeCell ref="I29:M29"/>
    <mergeCell ref="I49:M49"/>
    <mergeCell ref="G29:H30"/>
    <mergeCell ref="G49:H50"/>
    <mergeCell ref="A47:E47"/>
    <mergeCell ref="A66:E66"/>
    <mergeCell ref="G69:H70"/>
    <mergeCell ref="I69:M69"/>
    <mergeCell ref="G89:H90"/>
    <mergeCell ref="I89:M89"/>
    <mergeCell ref="I9:M9"/>
    <mergeCell ref="G9:H10"/>
    <mergeCell ref="A26:E26"/>
    <mergeCell ref="A27:E27"/>
    <mergeCell ref="A46:E46"/>
  </mergeCells>
  <phoneticPr fontId="78" type="noConversion"/>
  <conditionalFormatting sqref="K13:K25">
    <cfRule type="expression" dxfId="7" priority="4">
      <formula>D13="S"</formula>
    </cfRule>
  </conditionalFormatting>
  <conditionalFormatting sqref="K34:K45 K54:K65 K74:K85 K94:K105">
    <cfRule type="expression" dxfId="6" priority="7">
      <formula>D34="S"</formula>
    </cfRule>
  </conditionalFormatting>
  <conditionalFormatting sqref="K113:K125">
    <cfRule type="expression" dxfId="5" priority="3">
      <formula>D113="S"</formula>
    </cfRule>
  </conditionalFormatting>
  <printOptions gridLines="1"/>
  <pageMargins left="0.25" right="0.25" top="0.5" bottom="0.5" header="0" footer="0"/>
  <pageSetup paperSize="5" scale="59" fitToHeight="110" orientation="landscape" r:id="rId1"/>
  <headerFooter scaleWithDoc="0" alignWithMargins="0"/>
  <rowBreaks count="5" manualBreakCount="5">
    <brk id="28" min="2" max="17" man="1"/>
    <brk id="48" min="2" max="17" man="1"/>
    <brk id="68" min="2" max="17" man="1"/>
    <brk id="88" min="2" max="17" man="1"/>
    <brk id="108" min="2" max="17" man="1"/>
  </rowBreaks>
  <ignoredErrors>
    <ignoredError sqref="O114:O125 O94:O105 O74:O85 O54:O65 O34:O45 O14:O25" 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D19AB-1FF3-4C9E-AF26-3C5E711F4EA7}">
  <sheetPr>
    <tabColor theme="6" tint="0.39997558519241921"/>
  </sheetPr>
  <dimension ref="A1:U130"/>
  <sheetViews>
    <sheetView workbookViewId="0"/>
  </sheetViews>
  <sheetFormatPr defaultColWidth="9.140625" defaultRowHeight="12.75"/>
  <cols>
    <col min="1" max="1" width="18.28515625" style="12" customWidth="1"/>
    <col min="2" max="2" width="12.85546875" style="105" customWidth="1"/>
    <col min="3" max="3" width="39.5703125" style="16" customWidth="1"/>
    <col min="4" max="4" width="15.7109375" style="13" customWidth="1"/>
    <col min="5" max="5" width="15.7109375" style="9" customWidth="1"/>
    <col min="6" max="6" width="7.140625" style="10" bestFit="1" customWidth="1"/>
    <col min="7" max="7" width="13.85546875" style="10" bestFit="1" customWidth="1"/>
    <col min="8" max="8" width="15.7109375" style="10" customWidth="1"/>
    <col min="9" max="9" width="15.7109375" style="9" customWidth="1"/>
    <col min="10" max="10" width="16" style="9" bestFit="1" customWidth="1"/>
    <col min="11" max="11" width="15.7109375" style="9" bestFit="1" customWidth="1"/>
    <col min="12" max="12" width="16.7109375" style="12" customWidth="1"/>
    <col min="13" max="13" width="13.5703125" style="12" bestFit="1" customWidth="1"/>
    <col min="14" max="14" width="15.7109375" style="12" customWidth="1"/>
    <col min="15" max="15" width="13.5703125" style="12" bestFit="1" customWidth="1"/>
    <col min="16" max="17" width="15.7109375" style="12" customWidth="1"/>
    <col min="18" max="18" width="9.42578125" style="12" bestFit="1" customWidth="1"/>
    <col min="19" max="19" width="10.5703125" style="12" bestFit="1" customWidth="1"/>
    <col min="20" max="20" width="9.140625" style="12"/>
    <col min="21" max="21" width="9.85546875" style="12" bestFit="1" customWidth="1"/>
    <col min="22" max="16384" width="9.140625" style="12"/>
  </cols>
  <sheetData>
    <row r="1" spans="1:19">
      <c r="A1" s="94" t="s">
        <v>22</v>
      </c>
      <c r="B1" s="194"/>
      <c r="D1" s="8"/>
      <c r="K1" s="11"/>
    </row>
    <row r="2" spans="1:19">
      <c r="A2" s="46" t="str">
        <f>"Solicitation Number: "&amp;Instructions!H9&amp;""</f>
        <v>Solicitation Number: W91CRB-25-R-0002</v>
      </c>
      <c r="B2" s="332"/>
      <c r="K2" s="14"/>
    </row>
    <row r="3" spans="1:19">
      <c r="A3" s="46" t="str">
        <f>"Name of Action: "&amp;Instructions!H10</f>
        <v>Name of Action: Force Development</v>
      </c>
      <c r="B3" s="332"/>
      <c r="K3" s="14"/>
    </row>
    <row r="4" spans="1:19">
      <c r="A4" s="94" t="str">
        <f>"Prime Contractor/Subcontractor Name/Division: "&amp;Instructions!H15</f>
        <v xml:space="preserve">Prime Contractor/Subcontractor Name/Division: </v>
      </c>
      <c r="B4" s="194"/>
      <c r="K4" s="14"/>
    </row>
    <row r="5" spans="1:19">
      <c r="A5" s="94" t="str">
        <f>"Period of Performance: "&amp;Instructions!H11</f>
        <v xml:space="preserve">Period of Performance: </v>
      </c>
      <c r="B5" s="194"/>
      <c r="D5" s="12"/>
      <c r="K5" s="15"/>
    </row>
    <row r="6" spans="1:19">
      <c r="A6" s="94" t="str">
        <f>"Date of Proposal:"&amp;IF(ISBLANK(Instructions!H18)," TBD",(TEXT(Instructions!H18," mm/dd/yyyy")))</f>
        <v>Date of Proposal: TBD</v>
      </c>
      <c r="B6" s="194"/>
      <c r="D6" s="12"/>
      <c r="K6" s="15"/>
    </row>
    <row r="7" spans="1:19">
      <c r="A7" s="94" t="str">
        <f>"Annual Productive Hours: "&amp;AnnualProductiveHours</f>
        <v>Annual Productive Hours: 1920</v>
      </c>
      <c r="B7" s="194"/>
      <c r="D7" s="17"/>
      <c r="K7" s="14"/>
    </row>
    <row r="8" spans="1:19" s="22" customFormat="1">
      <c r="E8" s="18"/>
      <c r="F8" s="19"/>
      <c r="G8" s="19"/>
      <c r="H8" s="19"/>
      <c r="I8" s="20"/>
      <c r="J8" s="20"/>
      <c r="K8" s="18"/>
      <c r="L8" s="20"/>
      <c r="M8" s="21"/>
      <c r="N8" s="20"/>
      <c r="O8" s="21"/>
    </row>
    <row r="9" spans="1:19" s="22" customFormat="1">
      <c r="C9" s="23"/>
      <c r="D9" s="24"/>
      <c r="E9" s="18"/>
      <c r="F9" s="19"/>
      <c r="G9" s="356" t="s">
        <v>1</v>
      </c>
      <c r="H9" s="357"/>
      <c r="I9" s="353" t="s">
        <v>29</v>
      </c>
      <c r="J9" s="354"/>
      <c r="K9" s="354"/>
      <c r="L9" s="354"/>
      <c r="M9" s="355"/>
      <c r="N9" s="20"/>
      <c r="O9" s="21"/>
    </row>
    <row r="10" spans="1:19" s="22" customFormat="1">
      <c r="C10" s="35" t="s">
        <v>257</v>
      </c>
      <c r="D10" s="25"/>
      <c r="E10" s="26"/>
      <c r="F10" s="27"/>
      <c r="G10" s="358"/>
      <c r="H10" s="359"/>
      <c r="I10" s="91">
        <f>'Indirect Rate Summary'!C10</f>
        <v>0</v>
      </c>
      <c r="J10" s="28">
        <f>'Indirect Rate Summary'!D10</f>
        <v>0</v>
      </c>
      <c r="K10" s="28"/>
      <c r="L10" s="29"/>
      <c r="M10" s="95">
        <f>'Indirect Rate Summary'!E10</f>
        <v>0</v>
      </c>
      <c r="N10" s="30"/>
      <c r="O10" s="333">
        <f>'Indirect Rate Summary'!F10</f>
        <v>0</v>
      </c>
    </row>
    <row r="11" spans="1:19" s="143" customFormat="1" ht="89.25">
      <c r="A11" s="79" t="s">
        <v>89</v>
      </c>
      <c r="B11" s="79" t="s">
        <v>90</v>
      </c>
      <c r="C11" s="79" t="s">
        <v>91</v>
      </c>
      <c r="D11" s="79" t="s">
        <v>92</v>
      </c>
      <c r="E11" s="79" t="s">
        <v>93</v>
      </c>
      <c r="F11" s="80" t="s">
        <v>94</v>
      </c>
      <c r="G11" s="141" t="s">
        <v>95</v>
      </c>
      <c r="H11" s="142" t="s">
        <v>96</v>
      </c>
      <c r="I11" s="81" t="s">
        <v>97</v>
      </c>
      <c r="J11" s="81" t="s">
        <v>98</v>
      </c>
      <c r="K11" s="81" t="s">
        <v>99</v>
      </c>
      <c r="L11" s="81" t="s">
        <v>36</v>
      </c>
      <c r="M11" s="81" t="s">
        <v>100</v>
      </c>
      <c r="N11" s="81" t="s">
        <v>24</v>
      </c>
      <c r="O11" s="81" t="s">
        <v>30</v>
      </c>
      <c r="P11" s="81" t="s">
        <v>27</v>
      </c>
      <c r="Q11" s="81" t="s">
        <v>37</v>
      </c>
      <c r="R11" s="81" t="s">
        <v>80</v>
      </c>
    </row>
    <row r="12" spans="1:19" s="82" customFormat="1" ht="13.5" thickBot="1">
      <c r="A12" s="31" t="s">
        <v>8</v>
      </c>
      <c r="B12" s="31" t="s">
        <v>9</v>
      </c>
      <c r="C12" s="31" t="s">
        <v>10</v>
      </c>
      <c r="D12" s="31" t="s">
        <v>32</v>
      </c>
      <c r="E12" s="31" t="s">
        <v>33</v>
      </c>
      <c r="F12" s="31" t="s">
        <v>34</v>
      </c>
      <c r="G12" s="36" t="s">
        <v>39</v>
      </c>
      <c r="H12" s="31" t="s">
        <v>35</v>
      </c>
      <c r="I12" s="32" t="s">
        <v>38</v>
      </c>
      <c r="J12" s="32" t="s">
        <v>67</v>
      </c>
      <c r="K12" s="32" t="s">
        <v>102</v>
      </c>
      <c r="L12" s="32" t="s">
        <v>103</v>
      </c>
      <c r="M12" s="32" t="s">
        <v>104</v>
      </c>
      <c r="N12" s="32" t="s">
        <v>105</v>
      </c>
      <c r="O12" s="32" t="s">
        <v>106</v>
      </c>
      <c r="P12" s="32" t="s">
        <v>107</v>
      </c>
      <c r="Q12" s="32" t="s">
        <v>108</v>
      </c>
      <c r="R12" s="32" t="s">
        <v>81</v>
      </c>
    </row>
    <row r="13" spans="1:19" s="82" customFormat="1">
      <c r="A13" s="168" t="str">
        <f>IF('Direct Labor Rate Schedule'!$A$10="","",'Direct Labor Rate Schedule'!$A$10)</f>
        <v/>
      </c>
      <c r="B13" s="195"/>
      <c r="C13" s="169"/>
      <c r="D13" s="149"/>
      <c r="E13" s="149"/>
      <c r="F13" s="150"/>
      <c r="G13" s="151"/>
      <c r="H13" s="152"/>
      <c r="I13" s="153"/>
      <c r="J13" s="153"/>
      <c r="K13" s="154"/>
      <c r="L13" s="155"/>
      <c r="M13" s="155"/>
      <c r="N13" s="156"/>
      <c r="O13" s="155"/>
      <c r="P13" s="155"/>
      <c r="Q13" s="157"/>
      <c r="R13" s="158"/>
    </row>
    <row r="14" spans="1:19" s="82" customFormat="1">
      <c r="A14" s="299" t="str">
        <f>IF('Direct Labor Rate Schedule'!B18="","",'Direct Labor Rate Schedule'!B11)</f>
        <v/>
      </c>
      <c r="B14" s="300">
        <f>'Direct Labor Rate Schedule'!C11</f>
        <v>0</v>
      </c>
      <c r="C14" s="299" t="str">
        <f>'Direct Labor Rate Schedule'!A11</f>
        <v>Program Manager</v>
      </c>
      <c r="D14" s="97" t="s">
        <v>11</v>
      </c>
      <c r="E14" s="97"/>
      <c r="F14" s="304">
        <f t="shared" ref="F14:F25" si="0">(G14/AnnualProductiveHours)</f>
        <v>0</v>
      </c>
      <c r="G14" s="305">
        <v>0</v>
      </c>
      <c r="H14" s="301">
        <f>'Direct Labor Rate Schedule'!F11</f>
        <v>0</v>
      </c>
      <c r="I14" s="84">
        <f t="shared" ref="I14:I25" si="1">ROUND((+H14*$I$10),2)</f>
        <v>0</v>
      </c>
      <c r="J14" s="84">
        <f t="shared" ref="J14:J25" si="2">ROUND((+H14*$J$10),2)</f>
        <v>0</v>
      </c>
      <c r="K14" s="145">
        <f t="shared" ref="K14:K25" si="3">+H14+SUM(I14:J14)</f>
        <v>0</v>
      </c>
      <c r="L14" s="85">
        <f t="shared" ref="L14:L25" si="4">ROUND((+G14*K14),2)</f>
        <v>0</v>
      </c>
      <c r="M14" s="85">
        <f>ROUND((+L14*$M$10),2)</f>
        <v>0</v>
      </c>
      <c r="N14" s="103">
        <f>SUM(L14:M14)</f>
        <v>0</v>
      </c>
      <c r="O14" s="85">
        <f>ROUND((+N14*$O$10),2)</f>
        <v>0</v>
      </c>
      <c r="P14" s="85">
        <f>SUM(N14:O14)</f>
        <v>0</v>
      </c>
      <c r="Q14" s="86" t="str">
        <f>IFERROR((+P14/G14),"")</f>
        <v/>
      </c>
      <c r="R14" s="102" t="str">
        <f>IFERROR(Q14/H14-1,"")</f>
        <v/>
      </c>
      <c r="S14" s="104"/>
    </row>
    <row r="15" spans="1:19" s="82" customFormat="1">
      <c r="A15" s="299" t="str">
        <f>IF('Direct Labor Rate Schedule'!B19="","",'Direct Labor Rate Schedule'!B12)</f>
        <v/>
      </c>
      <c r="B15" s="300">
        <f>'Direct Labor Rate Schedule'!C12</f>
        <v>0</v>
      </c>
      <c r="C15" s="299" t="str">
        <f>'Direct Labor Rate Schedule'!A12</f>
        <v>Senior Analyst</v>
      </c>
      <c r="D15" s="97" t="s">
        <v>11</v>
      </c>
      <c r="E15" s="97"/>
      <c r="F15" s="304">
        <f t="shared" si="0"/>
        <v>0.97916666666666663</v>
      </c>
      <c r="G15" s="305">
        <v>1880</v>
      </c>
      <c r="H15" s="301">
        <f>'Direct Labor Rate Schedule'!F12</f>
        <v>0</v>
      </c>
      <c r="I15" s="84">
        <f t="shared" si="1"/>
        <v>0</v>
      </c>
      <c r="J15" s="84">
        <f t="shared" si="2"/>
        <v>0</v>
      </c>
      <c r="K15" s="145">
        <f t="shared" si="3"/>
        <v>0</v>
      </c>
      <c r="L15" s="85">
        <f t="shared" si="4"/>
        <v>0</v>
      </c>
      <c r="M15" s="85">
        <f t="shared" ref="M15:M25" si="5">ROUND((+L15*$M$10),2)</f>
        <v>0</v>
      </c>
      <c r="N15" s="103">
        <f t="shared" ref="N15:N25" si="6">SUM(L15:M15)</f>
        <v>0</v>
      </c>
      <c r="O15" s="85">
        <f t="shared" ref="O15:O25" si="7">ROUND((+N15*$O$10),2)</f>
        <v>0</v>
      </c>
      <c r="P15" s="85">
        <f t="shared" ref="P15:P25" si="8">SUM(N15:O15)</f>
        <v>0</v>
      </c>
      <c r="Q15" s="86">
        <f t="shared" ref="Q15:Q25" si="9">IFERROR((+P15/G15),"")</f>
        <v>0</v>
      </c>
      <c r="R15" s="102" t="str">
        <f t="shared" ref="R15:R25" si="10">IFERROR(Q15/H15-1,"")</f>
        <v/>
      </c>
      <c r="S15" s="104"/>
    </row>
    <row r="16" spans="1:19" s="82" customFormat="1">
      <c r="A16" s="299" t="str">
        <f>IF('Direct Labor Rate Schedule'!B20="","",'Direct Labor Rate Schedule'!B13)</f>
        <v/>
      </c>
      <c r="B16" s="300">
        <f>'Direct Labor Rate Schedule'!C13</f>
        <v>0</v>
      </c>
      <c r="C16" s="299" t="str">
        <f>'Direct Labor Rate Schedule'!A13</f>
        <v>Analyst</v>
      </c>
      <c r="D16" s="97" t="s">
        <v>11</v>
      </c>
      <c r="E16" s="97"/>
      <c r="F16" s="304">
        <f t="shared" si="0"/>
        <v>0.97916666666666663</v>
      </c>
      <c r="G16" s="305">
        <v>1880</v>
      </c>
      <c r="H16" s="301">
        <f>'Direct Labor Rate Schedule'!F13</f>
        <v>0</v>
      </c>
      <c r="I16" s="84">
        <f t="shared" si="1"/>
        <v>0</v>
      </c>
      <c r="J16" s="84">
        <f t="shared" si="2"/>
        <v>0</v>
      </c>
      <c r="K16" s="145">
        <f t="shared" si="3"/>
        <v>0</v>
      </c>
      <c r="L16" s="85">
        <f t="shared" si="4"/>
        <v>0</v>
      </c>
      <c r="M16" s="85">
        <f t="shared" si="5"/>
        <v>0</v>
      </c>
      <c r="N16" s="103">
        <f t="shared" si="6"/>
        <v>0</v>
      </c>
      <c r="O16" s="85">
        <f t="shared" si="7"/>
        <v>0</v>
      </c>
      <c r="P16" s="85">
        <f t="shared" si="8"/>
        <v>0</v>
      </c>
      <c r="Q16" s="86">
        <f t="shared" si="9"/>
        <v>0</v>
      </c>
      <c r="R16" s="102" t="str">
        <f t="shared" si="10"/>
        <v/>
      </c>
      <c r="S16" s="104"/>
    </row>
    <row r="17" spans="1:19" s="82" customFormat="1">
      <c r="A17" s="299" t="str">
        <f>IF('Direct Labor Rate Schedule'!B21="","",'Direct Labor Rate Schedule'!B14)</f>
        <v/>
      </c>
      <c r="B17" s="300">
        <f>'Direct Labor Rate Schedule'!C14</f>
        <v>0</v>
      </c>
      <c r="C17" s="299" t="str">
        <f>'Direct Labor Rate Schedule'!A14</f>
        <v>Junior Analyst</v>
      </c>
      <c r="D17" s="97" t="s">
        <v>11</v>
      </c>
      <c r="E17" s="97"/>
      <c r="F17" s="304">
        <f t="shared" si="0"/>
        <v>0</v>
      </c>
      <c r="G17" s="305">
        <v>0</v>
      </c>
      <c r="H17" s="301">
        <f>'Direct Labor Rate Schedule'!F14</f>
        <v>0</v>
      </c>
      <c r="I17" s="84">
        <f t="shared" si="1"/>
        <v>0</v>
      </c>
      <c r="J17" s="84">
        <f t="shared" si="2"/>
        <v>0</v>
      </c>
      <c r="K17" s="145">
        <f t="shared" si="3"/>
        <v>0</v>
      </c>
      <c r="L17" s="85">
        <f t="shared" si="4"/>
        <v>0</v>
      </c>
      <c r="M17" s="85">
        <f t="shared" si="5"/>
        <v>0</v>
      </c>
      <c r="N17" s="103">
        <f t="shared" si="6"/>
        <v>0</v>
      </c>
      <c r="O17" s="85">
        <f t="shared" si="7"/>
        <v>0</v>
      </c>
      <c r="P17" s="85">
        <f t="shared" si="8"/>
        <v>0</v>
      </c>
      <c r="Q17" s="86" t="str">
        <f t="shared" si="9"/>
        <v/>
      </c>
      <c r="R17" s="102" t="str">
        <f t="shared" si="10"/>
        <v/>
      </c>
      <c r="S17" s="104"/>
    </row>
    <row r="18" spans="1:19" s="82" customFormat="1">
      <c r="A18" s="299" t="str">
        <f>IF('Direct Labor Rate Schedule'!B22="","",'Direct Labor Rate Schedule'!B15)</f>
        <v/>
      </c>
      <c r="B18" s="300">
        <f>'Direct Labor Rate Schedule'!C15</f>
        <v>0</v>
      </c>
      <c r="C18" s="299" t="str">
        <f>'Direct Labor Rate Schedule'!A15</f>
        <v>Senior Operations Research Analyst</v>
      </c>
      <c r="D18" s="97" t="s">
        <v>11</v>
      </c>
      <c r="E18" s="97"/>
      <c r="F18" s="304">
        <f t="shared" si="0"/>
        <v>0.97916666666666663</v>
      </c>
      <c r="G18" s="305">
        <v>1880</v>
      </c>
      <c r="H18" s="301">
        <f>'Direct Labor Rate Schedule'!F15</f>
        <v>0</v>
      </c>
      <c r="I18" s="84">
        <f t="shared" si="1"/>
        <v>0</v>
      </c>
      <c r="J18" s="84">
        <f t="shared" si="2"/>
        <v>0</v>
      </c>
      <c r="K18" s="145">
        <f t="shared" si="3"/>
        <v>0</v>
      </c>
      <c r="L18" s="85">
        <f t="shared" si="4"/>
        <v>0</v>
      </c>
      <c r="M18" s="85">
        <f t="shared" si="5"/>
        <v>0</v>
      </c>
      <c r="N18" s="103">
        <f t="shared" si="6"/>
        <v>0</v>
      </c>
      <c r="O18" s="85">
        <f t="shared" si="7"/>
        <v>0</v>
      </c>
      <c r="P18" s="85">
        <f t="shared" si="8"/>
        <v>0</v>
      </c>
      <c r="Q18" s="86">
        <f t="shared" si="9"/>
        <v>0</v>
      </c>
      <c r="R18" s="102" t="str">
        <f t="shared" si="10"/>
        <v/>
      </c>
      <c r="S18" s="104"/>
    </row>
    <row r="19" spans="1:19" s="82" customFormat="1">
      <c r="A19" s="299" t="str">
        <f>IF('Direct Labor Rate Schedule'!B23="","",'Direct Labor Rate Schedule'!B16)</f>
        <v/>
      </c>
      <c r="B19" s="300">
        <f>'Direct Labor Rate Schedule'!C16</f>
        <v>0</v>
      </c>
      <c r="C19" s="299" t="str">
        <f>'Direct Labor Rate Schedule'!A16</f>
        <v>Operations Research Analyst</v>
      </c>
      <c r="D19" s="97" t="s">
        <v>11</v>
      </c>
      <c r="E19" s="97"/>
      <c r="F19" s="304">
        <f t="shared" si="0"/>
        <v>0.97916666666666663</v>
      </c>
      <c r="G19" s="305">
        <v>1880</v>
      </c>
      <c r="H19" s="301">
        <f>'Direct Labor Rate Schedule'!F16</f>
        <v>0</v>
      </c>
      <c r="I19" s="84">
        <f t="shared" si="1"/>
        <v>0</v>
      </c>
      <c r="J19" s="84">
        <f t="shared" si="2"/>
        <v>0</v>
      </c>
      <c r="K19" s="145">
        <f t="shared" si="3"/>
        <v>0</v>
      </c>
      <c r="L19" s="85">
        <f t="shared" si="4"/>
        <v>0</v>
      </c>
      <c r="M19" s="85">
        <f t="shared" si="5"/>
        <v>0</v>
      </c>
      <c r="N19" s="103">
        <f t="shared" si="6"/>
        <v>0</v>
      </c>
      <c r="O19" s="85">
        <f t="shared" si="7"/>
        <v>0</v>
      </c>
      <c r="P19" s="85">
        <f t="shared" si="8"/>
        <v>0</v>
      </c>
      <c r="Q19" s="86">
        <f t="shared" si="9"/>
        <v>0</v>
      </c>
      <c r="R19" s="102" t="str">
        <f t="shared" si="10"/>
        <v/>
      </c>
      <c r="S19" s="104"/>
    </row>
    <row r="20" spans="1:19" s="82" customFormat="1">
      <c r="A20" s="299" t="str">
        <f>IF('Direct Labor Rate Schedule'!B24="","",'Direct Labor Rate Schedule'!B17)</f>
        <v/>
      </c>
      <c r="B20" s="300">
        <f>'Direct Labor Rate Schedule'!C17</f>
        <v>0</v>
      </c>
      <c r="C20" s="299" t="str">
        <f>'Direct Labor Rate Schedule'!A17</f>
        <v>Graphics Design Senior Analyst</v>
      </c>
      <c r="D20" s="97" t="s">
        <v>11</v>
      </c>
      <c r="E20" s="97"/>
      <c r="F20" s="304">
        <f t="shared" si="0"/>
        <v>0</v>
      </c>
      <c r="G20" s="305">
        <v>0</v>
      </c>
      <c r="H20" s="301">
        <f>'Direct Labor Rate Schedule'!F17</f>
        <v>0</v>
      </c>
      <c r="I20" s="84">
        <f t="shared" si="1"/>
        <v>0</v>
      </c>
      <c r="J20" s="84">
        <f t="shared" si="2"/>
        <v>0</v>
      </c>
      <c r="K20" s="145">
        <f t="shared" si="3"/>
        <v>0</v>
      </c>
      <c r="L20" s="85">
        <f t="shared" si="4"/>
        <v>0</v>
      </c>
      <c r="M20" s="85">
        <f t="shared" si="5"/>
        <v>0</v>
      </c>
      <c r="N20" s="103">
        <f t="shared" si="6"/>
        <v>0</v>
      </c>
      <c r="O20" s="85">
        <f t="shared" si="7"/>
        <v>0</v>
      </c>
      <c r="P20" s="85">
        <f t="shared" si="8"/>
        <v>0</v>
      </c>
      <c r="Q20" s="86" t="str">
        <f t="shared" si="9"/>
        <v/>
      </c>
      <c r="R20" s="102" t="str">
        <f t="shared" si="10"/>
        <v/>
      </c>
      <c r="S20" s="104"/>
    </row>
    <row r="21" spans="1:19" s="82" customFormat="1">
      <c r="A21" s="299" t="str">
        <f>IF('Direct Labor Rate Schedule'!B25="","",'Direct Labor Rate Schedule'!B18)</f>
        <v/>
      </c>
      <c r="B21" s="300">
        <f>'Direct Labor Rate Schedule'!C18</f>
        <v>0</v>
      </c>
      <c r="C21" s="299" t="str">
        <f>'Direct Labor Rate Schedule'!A18</f>
        <v>Force Documentation Senior Analyst</v>
      </c>
      <c r="D21" s="97" t="s">
        <v>11</v>
      </c>
      <c r="E21" s="97"/>
      <c r="F21" s="304">
        <f t="shared" si="0"/>
        <v>0</v>
      </c>
      <c r="G21" s="305">
        <v>0</v>
      </c>
      <c r="H21" s="301">
        <f>'Direct Labor Rate Schedule'!F18</f>
        <v>0</v>
      </c>
      <c r="I21" s="84">
        <f t="shared" si="1"/>
        <v>0</v>
      </c>
      <c r="J21" s="84">
        <f t="shared" si="2"/>
        <v>0</v>
      </c>
      <c r="K21" s="145">
        <f t="shared" si="3"/>
        <v>0</v>
      </c>
      <c r="L21" s="85">
        <f t="shared" si="4"/>
        <v>0</v>
      </c>
      <c r="M21" s="85">
        <f t="shared" si="5"/>
        <v>0</v>
      </c>
      <c r="N21" s="103">
        <f t="shared" si="6"/>
        <v>0</v>
      </c>
      <c r="O21" s="85">
        <f t="shared" si="7"/>
        <v>0</v>
      </c>
      <c r="P21" s="85">
        <f t="shared" si="8"/>
        <v>0</v>
      </c>
      <c r="Q21" s="86" t="str">
        <f t="shared" si="9"/>
        <v/>
      </c>
      <c r="R21" s="102" t="str">
        <f t="shared" si="10"/>
        <v/>
      </c>
      <c r="S21" s="104"/>
    </row>
    <row r="22" spans="1:19" s="82" customFormat="1">
      <c r="A22" s="299" t="str">
        <f>IF('Direct Labor Rate Schedule'!B26="","",'Direct Labor Rate Schedule'!B19)</f>
        <v/>
      </c>
      <c r="B22" s="300">
        <f>'Direct Labor Rate Schedule'!C19</f>
        <v>0</v>
      </c>
      <c r="C22" s="299">
        <f>'Direct Labor Rate Schedule'!A19</f>
        <v>0</v>
      </c>
      <c r="D22" s="97" t="s">
        <v>11</v>
      </c>
      <c r="E22" s="97"/>
      <c r="F22" s="304">
        <f t="shared" si="0"/>
        <v>0</v>
      </c>
      <c r="G22" s="305">
        <v>0</v>
      </c>
      <c r="H22" s="301">
        <f>'Direct Labor Rate Schedule'!F19</f>
        <v>0</v>
      </c>
      <c r="I22" s="84">
        <f t="shared" si="1"/>
        <v>0</v>
      </c>
      <c r="J22" s="84">
        <f t="shared" si="2"/>
        <v>0</v>
      </c>
      <c r="K22" s="145">
        <f t="shared" si="3"/>
        <v>0</v>
      </c>
      <c r="L22" s="85">
        <f t="shared" si="4"/>
        <v>0</v>
      </c>
      <c r="M22" s="85">
        <f t="shared" si="5"/>
        <v>0</v>
      </c>
      <c r="N22" s="103">
        <f t="shared" si="6"/>
        <v>0</v>
      </c>
      <c r="O22" s="85">
        <f t="shared" si="7"/>
        <v>0</v>
      </c>
      <c r="P22" s="85">
        <f t="shared" si="8"/>
        <v>0</v>
      </c>
      <c r="Q22" s="86" t="str">
        <f t="shared" si="9"/>
        <v/>
      </c>
      <c r="R22" s="102" t="str">
        <f t="shared" si="10"/>
        <v/>
      </c>
      <c r="S22" s="104"/>
    </row>
    <row r="23" spans="1:19" s="82" customFormat="1">
      <c r="A23" s="299" t="str">
        <f>IF('Direct Labor Rate Schedule'!B27="","",'Direct Labor Rate Schedule'!B20)</f>
        <v/>
      </c>
      <c r="B23" s="300">
        <f>'Direct Labor Rate Schedule'!C20</f>
        <v>0</v>
      </c>
      <c r="C23" s="299">
        <f>'Direct Labor Rate Schedule'!A20</f>
        <v>0</v>
      </c>
      <c r="D23" s="97" t="s">
        <v>11</v>
      </c>
      <c r="E23" s="97"/>
      <c r="F23" s="304">
        <f t="shared" si="0"/>
        <v>0</v>
      </c>
      <c r="G23" s="305">
        <v>0</v>
      </c>
      <c r="H23" s="301">
        <f>'Direct Labor Rate Schedule'!F20</f>
        <v>0</v>
      </c>
      <c r="I23" s="84">
        <f t="shared" si="1"/>
        <v>0</v>
      </c>
      <c r="J23" s="84">
        <f t="shared" si="2"/>
        <v>0</v>
      </c>
      <c r="K23" s="145">
        <f t="shared" si="3"/>
        <v>0</v>
      </c>
      <c r="L23" s="85">
        <f t="shared" si="4"/>
        <v>0</v>
      </c>
      <c r="M23" s="85">
        <f t="shared" si="5"/>
        <v>0</v>
      </c>
      <c r="N23" s="103">
        <f t="shared" si="6"/>
        <v>0</v>
      </c>
      <c r="O23" s="85">
        <f t="shared" si="7"/>
        <v>0</v>
      </c>
      <c r="P23" s="85">
        <f t="shared" si="8"/>
        <v>0</v>
      </c>
      <c r="Q23" s="86" t="str">
        <f t="shared" si="9"/>
        <v/>
      </c>
      <c r="R23" s="102" t="str">
        <f t="shared" si="10"/>
        <v/>
      </c>
      <c r="S23" s="104"/>
    </row>
    <row r="24" spans="1:19" s="82" customFormat="1">
      <c r="A24" s="299" t="str">
        <f>IF('Direct Labor Rate Schedule'!B28="","",'Direct Labor Rate Schedule'!B21)</f>
        <v/>
      </c>
      <c r="B24" s="300">
        <f>'Direct Labor Rate Schedule'!C21</f>
        <v>0</v>
      </c>
      <c r="C24" s="299">
        <f>'Direct Labor Rate Schedule'!A21</f>
        <v>0</v>
      </c>
      <c r="D24" s="97" t="s">
        <v>11</v>
      </c>
      <c r="E24" s="97"/>
      <c r="F24" s="304">
        <f t="shared" si="0"/>
        <v>0</v>
      </c>
      <c r="G24" s="305">
        <v>0</v>
      </c>
      <c r="H24" s="301">
        <f>'Direct Labor Rate Schedule'!F21</f>
        <v>0</v>
      </c>
      <c r="I24" s="84">
        <f t="shared" si="1"/>
        <v>0</v>
      </c>
      <c r="J24" s="84">
        <f t="shared" si="2"/>
        <v>0</v>
      </c>
      <c r="K24" s="145">
        <f t="shared" si="3"/>
        <v>0</v>
      </c>
      <c r="L24" s="85">
        <f t="shared" si="4"/>
        <v>0</v>
      </c>
      <c r="M24" s="85">
        <f t="shared" si="5"/>
        <v>0</v>
      </c>
      <c r="N24" s="103">
        <f t="shared" si="6"/>
        <v>0</v>
      </c>
      <c r="O24" s="85">
        <f t="shared" si="7"/>
        <v>0</v>
      </c>
      <c r="P24" s="85">
        <f t="shared" si="8"/>
        <v>0</v>
      </c>
      <c r="Q24" s="86" t="str">
        <f t="shared" si="9"/>
        <v/>
      </c>
      <c r="R24" s="102" t="str">
        <f t="shared" si="10"/>
        <v/>
      </c>
      <c r="S24" s="104"/>
    </row>
    <row r="25" spans="1:19" s="82" customFormat="1" ht="13.5" thickBot="1">
      <c r="A25" s="299" t="str">
        <f>IF('Direct Labor Rate Schedule'!B29="","",'Direct Labor Rate Schedule'!B22)</f>
        <v/>
      </c>
      <c r="B25" s="300">
        <f>'Direct Labor Rate Schedule'!C22</f>
        <v>0</v>
      </c>
      <c r="C25" s="299">
        <f>'Direct Labor Rate Schedule'!A22</f>
        <v>0</v>
      </c>
      <c r="D25" s="97" t="s">
        <v>11</v>
      </c>
      <c r="E25" s="97"/>
      <c r="F25" s="304">
        <f t="shared" si="0"/>
        <v>0</v>
      </c>
      <c r="G25" s="305">
        <v>0</v>
      </c>
      <c r="H25" s="301">
        <f>'Direct Labor Rate Schedule'!F22</f>
        <v>0</v>
      </c>
      <c r="I25" s="84">
        <f t="shared" si="1"/>
        <v>0</v>
      </c>
      <c r="J25" s="84">
        <f t="shared" si="2"/>
        <v>0</v>
      </c>
      <c r="K25" s="145">
        <f t="shared" si="3"/>
        <v>0</v>
      </c>
      <c r="L25" s="85">
        <f t="shared" si="4"/>
        <v>0</v>
      </c>
      <c r="M25" s="85">
        <f t="shared" si="5"/>
        <v>0</v>
      </c>
      <c r="N25" s="103">
        <f t="shared" si="6"/>
        <v>0</v>
      </c>
      <c r="O25" s="85">
        <f t="shared" si="7"/>
        <v>0</v>
      </c>
      <c r="P25" s="85">
        <f t="shared" si="8"/>
        <v>0</v>
      </c>
      <c r="Q25" s="86" t="str">
        <f t="shared" si="9"/>
        <v/>
      </c>
      <c r="R25" s="102" t="str">
        <f t="shared" si="10"/>
        <v/>
      </c>
      <c r="S25" s="104"/>
    </row>
    <row r="26" spans="1:19" s="82" customFormat="1" ht="14.25" thickTop="1" thickBot="1">
      <c r="A26" s="360" t="s">
        <v>85</v>
      </c>
      <c r="B26" s="361"/>
      <c r="C26" s="361"/>
      <c r="D26" s="361"/>
      <c r="E26" s="362"/>
      <c r="F26" s="146">
        <f>SUM(F14:F25)</f>
        <v>3.9166666666666665</v>
      </c>
      <c r="G26" s="146">
        <f>SUM(G14:G25)</f>
        <v>7520</v>
      </c>
      <c r="H26" s="108">
        <f>SUMPRODUCT(H14:H25,$G14:$G25)</f>
        <v>0</v>
      </c>
      <c r="I26" s="108">
        <f>SUMPRODUCT(I14:I25,$G14:$G25)</f>
        <v>0</v>
      </c>
      <c r="J26" s="108">
        <f>SUMPRODUCT(J14:J25,$G14:$G25)</f>
        <v>0</v>
      </c>
      <c r="K26" s="108">
        <f>SUMPRODUCT(K14:K25,$G14:$G25)</f>
        <v>0</v>
      </c>
      <c r="L26" s="108">
        <f>SUM(L14:L25)</f>
        <v>0</v>
      </c>
      <c r="M26" s="108">
        <f>SUM(M14:M25)</f>
        <v>0</v>
      </c>
      <c r="N26" s="108">
        <f>SUM(N14:N25)</f>
        <v>0</v>
      </c>
      <c r="O26" s="108">
        <f>SUM(O14:O25)</f>
        <v>0</v>
      </c>
      <c r="P26" s="108">
        <f>SUM(P14:P25)</f>
        <v>0</v>
      </c>
      <c r="Q26" s="108">
        <f>SUMPRODUCT(Q14:Q25,$G14:$G25)</f>
        <v>0</v>
      </c>
      <c r="R26" s="109"/>
    </row>
    <row r="27" spans="1:19" s="82" customFormat="1" ht="14.25" thickTop="1" thickBot="1">
      <c r="A27" s="360" t="s">
        <v>86</v>
      </c>
      <c r="B27" s="361"/>
      <c r="C27" s="361"/>
      <c r="D27" s="361"/>
      <c r="E27" s="362"/>
      <c r="F27" s="116"/>
      <c r="G27" s="173">
        <f>G26/SUM(F14:F25)</f>
        <v>1920</v>
      </c>
      <c r="H27" s="110">
        <f>H26/$G26</f>
        <v>0</v>
      </c>
      <c r="I27" s="110">
        <f t="shared" ref="I27:J27" si="11">I26/$G26</f>
        <v>0</v>
      </c>
      <c r="J27" s="110">
        <f t="shared" si="11"/>
        <v>0</v>
      </c>
      <c r="K27" s="110">
        <f>K26/$G26</f>
        <v>0</v>
      </c>
      <c r="L27" s="110">
        <f>L26/$G26</f>
        <v>0</v>
      </c>
      <c r="M27" s="110">
        <f t="shared" ref="M27:P27" si="12">M26/$G26</f>
        <v>0</v>
      </c>
      <c r="N27" s="110">
        <f t="shared" si="12"/>
        <v>0</v>
      </c>
      <c r="O27" s="110">
        <f t="shared" si="12"/>
        <v>0</v>
      </c>
      <c r="P27" s="110">
        <f t="shared" si="12"/>
        <v>0</v>
      </c>
      <c r="Q27" s="110">
        <f>Q26/$G26</f>
        <v>0</v>
      </c>
      <c r="R27" s="115" t="e">
        <f>Q27/H27</f>
        <v>#DIV/0!</v>
      </c>
    </row>
    <row r="28" spans="1:19" s="82" customFormat="1" ht="13.5" thickTop="1">
      <c r="C28" s="16"/>
      <c r="D28" s="17"/>
      <c r="E28" s="9"/>
      <c r="F28" s="10"/>
      <c r="G28" s="10"/>
      <c r="H28" s="10"/>
      <c r="I28" s="9"/>
      <c r="J28" s="9"/>
      <c r="K28" s="14"/>
      <c r="L28" s="12"/>
      <c r="M28" s="12"/>
      <c r="N28" s="12"/>
      <c r="O28" s="12"/>
      <c r="P28" s="12"/>
      <c r="Q28" s="12"/>
    </row>
    <row r="29" spans="1:19" s="82" customFormat="1" hidden="1">
      <c r="C29" s="23"/>
      <c r="D29" s="24"/>
      <c r="E29" s="18"/>
      <c r="F29" s="19"/>
      <c r="G29" s="356" t="s">
        <v>28</v>
      </c>
      <c r="H29" s="363"/>
      <c r="I29" s="366" t="s">
        <v>29</v>
      </c>
      <c r="J29" s="366"/>
      <c r="K29" s="367"/>
      <c r="L29" s="367"/>
      <c r="M29" s="367"/>
      <c r="N29" s="20"/>
      <c r="O29" s="21"/>
      <c r="P29" s="22"/>
      <c r="Q29" s="22"/>
    </row>
    <row r="30" spans="1:19" s="82" customFormat="1" hidden="1">
      <c r="C30" s="35"/>
      <c r="D30" s="25"/>
      <c r="E30" s="26"/>
      <c r="F30" s="27"/>
      <c r="G30" s="364"/>
      <c r="H30" s="365"/>
      <c r="I30" s="91">
        <f>'Indirect Rate Summary'!C10</f>
        <v>0</v>
      </c>
      <c r="J30" s="28">
        <f>'Indirect Rate Summary'!D10</f>
        <v>0</v>
      </c>
      <c r="K30" s="28"/>
      <c r="L30" s="29"/>
      <c r="M30" s="95">
        <f>'Indirect Rate Summary'!E10</f>
        <v>0</v>
      </c>
      <c r="N30" s="30"/>
      <c r="O30" s="333">
        <f>'Indirect Rate Summary'!F10</f>
        <v>0</v>
      </c>
      <c r="P30" s="22"/>
      <c r="Q30" s="22"/>
    </row>
    <row r="31" spans="1:19" s="144" customFormat="1" ht="89.25" hidden="1">
      <c r="A31" s="79" t="str">
        <f t="shared" ref="A31:R32" si="13">+A11</f>
        <v>Location (Note 1)</v>
      </c>
      <c r="B31" s="79" t="str">
        <f t="shared" si="13"/>
        <v>Labor Type (Note 2)</v>
      </c>
      <c r="C31" s="79" t="str">
        <f t="shared" si="13"/>
        <v>Labor Categories (Note 3)</v>
      </c>
      <c r="D31" s="79" t="str">
        <f t="shared" si="13"/>
        <v>Effort To Be Performed By The Prime (P) or Subcontractor (S) (Note 4)</v>
      </c>
      <c r="E31" s="79" t="str">
        <f t="shared" si="13"/>
        <v>If Column D=S, Enter Name of Subcontractor(s) (Note 5)</v>
      </c>
      <c r="F31" s="80" t="str">
        <f t="shared" si="13"/>
        <v>FTEs (Note 6)</v>
      </c>
      <c r="G31" s="141" t="str">
        <f t="shared" si="13"/>
        <v>Total Productive Hours (Note 7)</v>
      </c>
      <c r="H31" s="142" t="str">
        <f t="shared" si="13"/>
        <v>Hourly Base Pay Rate (Note 8)</v>
      </c>
      <c r="I31" s="81" t="str">
        <f t="shared" si="13"/>
        <v>Fringe (Note 9)</v>
      </c>
      <c r="J31" s="81" t="str">
        <f t="shared" si="13"/>
        <v>Overhead (Note 10)</v>
      </c>
      <c r="K31" s="81" t="str">
        <f t="shared" si="13"/>
        <v xml:space="preserve"> Prime/Sub Hourly Rate Before Application Of  Prime G&amp;A &amp; Fee (IF Col C=S Enter Sub Rate) (Note 11)</v>
      </c>
      <c r="L31" s="81" t="str">
        <f t="shared" si="13"/>
        <v>Total Prime &amp; Sub Labor Before Prime G&amp;A &amp; Fee</v>
      </c>
      <c r="M31" s="81" t="str">
        <f t="shared" si="13"/>
        <v>G&amp;A (Note 12)</v>
      </c>
      <c r="N31" s="81" t="str">
        <f t="shared" si="13"/>
        <v>Total Cost</v>
      </c>
      <c r="O31" s="81" t="str">
        <f t="shared" si="13"/>
        <v>Fee</v>
      </c>
      <c r="P31" s="81" t="str">
        <f t="shared" si="13"/>
        <v>Total Price</v>
      </c>
      <c r="Q31" s="81" t="str">
        <f t="shared" si="13"/>
        <v xml:space="preserve">Proposal Fully Burdened Hourly Billing Rate </v>
      </c>
      <c r="R31" s="81" t="str">
        <f t="shared" si="13"/>
        <v>Wrap Rate</v>
      </c>
    </row>
    <row r="32" spans="1:19" s="82" customFormat="1" ht="13.5" hidden="1" thickBot="1">
      <c r="A32" s="31" t="str">
        <f t="shared" si="13"/>
        <v>a</v>
      </c>
      <c r="B32" s="31" t="str">
        <f t="shared" si="13"/>
        <v>b</v>
      </c>
      <c r="C32" s="31" t="str">
        <f t="shared" si="13"/>
        <v>c</v>
      </c>
      <c r="D32" s="31" t="str">
        <f t="shared" si="13"/>
        <v>d</v>
      </c>
      <c r="E32" s="31" t="str">
        <f t="shared" si="13"/>
        <v>e</v>
      </c>
      <c r="F32" s="31" t="str">
        <f t="shared" si="13"/>
        <v>f</v>
      </c>
      <c r="G32" s="36" t="str">
        <f t="shared" si="13"/>
        <v>g</v>
      </c>
      <c r="H32" s="31" t="str">
        <f t="shared" si="13"/>
        <v>h</v>
      </c>
      <c r="I32" s="32" t="str">
        <f t="shared" si="13"/>
        <v>i</v>
      </c>
      <c r="J32" s="32" t="str">
        <f t="shared" si="13"/>
        <v>j</v>
      </c>
      <c r="K32" s="32" t="str">
        <f t="shared" si="13"/>
        <v>k = h + i + j</v>
      </c>
      <c r="L32" s="32" t="str">
        <f t="shared" si="13"/>
        <v>l = g x k</v>
      </c>
      <c r="M32" s="32" t="str">
        <f t="shared" si="13"/>
        <v>m</v>
      </c>
      <c r="N32" s="32" t="str">
        <f t="shared" si="13"/>
        <v>n = l + o</v>
      </c>
      <c r="O32" s="32" t="str">
        <f t="shared" si="13"/>
        <v>o</v>
      </c>
      <c r="P32" s="32" t="str">
        <f t="shared" si="13"/>
        <v>p = n + o</v>
      </c>
      <c r="Q32" s="32" t="str">
        <f t="shared" si="13"/>
        <v>q = p/g</v>
      </c>
      <c r="R32" s="32" t="str">
        <f t="shared" si="13"/>
        <v>r = q/h</v>
      </c>
    </row>
    <row r="33" spans="1:18" s="82" customFormat="1" hidden="1">
      <c r="A33" s="168" t="str">
        <f>IF('Direct Labor Rate Schedule'!$A$10="","",'Direct Labor Rate Schedule'!$A$10)</f>
        <v/>
      </c>
      <c r="B33" s="196"/>
      <c r="C33" s="167"/>
      <c r="D33" s="159"/>
      <c r="E33" s="159"/>
      <c r="F33" s="160"/>
      <c r="G33" s="161"/>
      <c r="H33" s="162"/>
      <c r="I33" s="163"/>
      <c r="J33" s="163"/>
      <c r="K33" s="163"/>
      <c r="L33" s="164"/>
      <c r="M33" s="164"/>
      <c r="N33" s="164"/>
      <c r="O33" s="164"/>
      <c r="P33" s="164"/>
      <c r="Q33" s="165"/>
      <c r="R33" s="166"/>
    </row>
    <row r="34" spans="1:18" s="82" customFormat="1" hidden="1">
      <c r="A34" s="303" t="str">
        <f t="shared" ref="A34:C45" si="14">A14</f>
        <v/>
      </c>
      <c r="B34" s="212">
        <f t="shared" si="14"/>
        <v>0</v>
      </c>
      <c r="C34" s="211" t="str">
        <f t="shared" si="14"/>
        <v>Program Manager</v>
      </c>
      <c r="D34" s="97" t="s">
        <v>11</v>
      </c>
      <c r="E34" s="97"/>
      <c r="F34" s="304">
        <f t="shared" ref="F34:F45" si="15">(G34/AnnualProductiveHours)*(12/11)</f>
        <v>0</v>
      </c>
      <c r="G34" s="305"/>
      <c r="H34" s="83">
        <f>'Direct Labor Rate Schedule'!F11</f>
        <v>0</v>
      </c>
      <c r="I34" s="84">
        <f>ROUND((+H34*$I$30),2)</f>
        <v>0</v>
      </c>
      <c r="J34" s="84">
        <f>ROUND((+H34*$J$30),2)</f>
        <v>0</v>
      </c>
      <c r="K34" s="145">
        <f t="shared" ref="K34" si="16">+H34+SUM(I34:J34)</f>
        <v>0</v>
      </c>
      <c r="L34" s="85">
        <f t="shared" ref="L34:L45" si="17">ROUND((+G34*K34),2)</f>
        <v>0</v>
      </c>
      <c r="M34" s="85">
        <f>ROUND((+L34*$M$30),2)</f>
        <v>0</v>
      </c>
      <c r="N34" s="85">
        <f t="shared" ref="N34:N45" si="18">SUM(L34:M34)</f>
        <v>0</v>
      </c>
      <c r="O34" s="85">
        <f>ROUND((+N34*$O$30),2)</f>
        <v>0</v>
      </c>
      <c r="P34" s="85">
        <f t="shared" ref="P34:P45" si="19">SUM(N34:O34)</f>
        <v>0</v>
      </c>
      <c r="Q34" s="86" t="str">
        <f t="shared" ref="Q34:Q45" si="20">IFERROR((+P34/G34),"")</f>
        <v/>
      </c>
      <c r="R34" s="102" t="str">
        <f t="shared" ref="R34:R45" si="21">IFERROR(Q34/H34-1,"")</f>
        <v/>
      </c>
    </row>
    <row r="35" spans="1:18" s="82" customFormat="1" hidden="1">
      <c r="A35" s="303" t="str">
        <f t="shared" si="14"/>
        <v/>
      </c>
      <c r="B35" s="212">
        <f t="shared" si="14"/>
        <v>0</v>
      </c>
      <c r="C35" s="211" t="str">
        <f t="shared" si="14"/>
        <v>Senior Analyst</v>
      </c>
      <c r="D35" s="97" t="s">
        <v>11</v>
      </c>
      <c r="E35" s="97"/>
      <c r="F35" s="304">
        <f t="shared" si="15"/>
        <v>0</v>
      </c>
      <c r="G35" s="305"/>
      <c r="H35" s="83">
        <f>'Direct Labor Rate Schedule'!F12</f>
        <v>0</v>
      </c>
      <c r="I35" s="84">
        <f t="shared" ref="I35:I45" si="22">ROUND((+H35*$I$30),2)</f>
        <v>0</v>
      </c>
      <c r="J35" s="84">
        <f t="shared" ref="J35:J45" si="23">ROUND((+H35*$J$30),2)</f>
        <v>0</v>
      </c>
      <c r="K35" s="145">
        <f t="shared" ref="K35:K45" si="24">+H35+SUM(I35:J35)</f>
        <v>0</v>
      </c>
      <c r="L35" s="85">
        <f t="shared" si="17"/>
        <v>0</v>
      </c>
      <c r="M35" s="85">
        <f t="shared" ref="M35:M45" si="25">ROUND((+L35*$M$30),2)</f>
        <v>0</v>
      </c>
      <c r="N35" s="85">
        <f t="shared" si="18"/>
        <v>0</v>
      </c>
      <c r="O35" s="85">
        <f t="shared" ref="O35:O45" si="26">ROUND((+N35*$O$30),2)</f>
        <v>0</v>
      </c>
      <c r="P35" s="85">
        <f t="shared" si="19"/>
        <v>0</v>
      </c>
      <c r="Q35" s="86" t="str">
        <f t="shared" si="20"/>
        <v/>
      </c>
      <c r="R35" s="102" t="str">
        <f t="shared" si="21"/>
        <v/>
      </c>
    </row>
    <row r="36" spans="1:18" s="82" customFormat="1" hidden="1">
      <c r="A36" s="303" t="str">
        <f t="shared" si="14"/>
        <v/>
      </c>
      <c r="B36" s="212">
        <f t="shared" si="14"/>
        <v>0</v>
      </c>
      <c r="C36" s="211" t="str">
        <f t="shared" si="14"/>
        <v>Analyst</v>
      </c>
      <c r="D36" s="97" t="s">
        <v>11</v>
      </c>
      <c r="E36" s="97"/>
      <c r="F36" s="304">
        <f t="shared" si="15"/>
        <v>0</v>
      </c>
      <c r="G36" s="305"/>
      <c r="H36" s="83">
        <f>'Direct Labor Rate Schedule'!F13</f>
        <v>0</v>
      </c>
      <c r="I36" s="84">
        <f t="shared" si="22"/>
        <v>0</v>
      </c>
      <c r="J36" s="84">
        <f t="shared" si="23"/>
        <v>0</v>
      </c>
      <c r="K36" s="145">
        <f t="shared" si="24"/>
        <v>0</v>
      </c>
      <c r="L36" s="85">
        <f t="shared" si="17"/>
        <v>0</v>
      </c>
      <c r="M36" s="85">
        <f t="shared" si="25"/>
        <v>0</v>
      </c>
      <c r="N36" s="85">
        <f t="shared" si="18"/>
        <v>0</v>
      </c>
      <c r="O36" s="85">
        <f t="shared" si="26"/>
        <v>0</v>
      </c>
      <c r="P36" s="85">
        <f t="shared" si="19"/>
        <v>0</v>
      </c>
      <c r="Q36" s="86" t="str">
        <f t="shared" si="20"/>
        <v/>
      </c>
      <c r="R36" s="102" t="str">
        <f t="shared" si="21"/>
        <v/>
      </c>
    </row>
    <row r="37" spans="1:18" s="82" customFormat="1" hidden="1">
      <c r="A37" s="303" t="str">
        <f t="shared" si="14"/>
        <v/>
      </c>
      <c r="B37" s="212">
        <f t="shared" si="14"/>
        <v>0</v>
      </c>
      <c r="C37" s="211" t="str">
        <f t="shared" si="14"/>
        <v>Junior Analyst</v>
      </c>
      <c r="D37" s="97" t="s">
        <v>11</v>
      </c>
      <c r="E37" s="97"/>
      <c r="F37" s="304">
        <f t="shared" si="15"/>
        <v>0</v>
      </c>
      <c r="G37" s="305"/>
      <c r="H37" s="83">
        <f>'Direct Labor Rate Schedule'!F14</f>
        <v>0</v>
      </c>
      <c r="I37" s="84">
        <f t="shared" si="22"/>
        <v>0</v>
      </c>
      <c r="J37" s="84">
        <f t="shared" si="23"/>
        <v>0</v>
      </c>
      <c r="K37" s="145">
        <f t="shared" si="24"/>
        <v>0</v>
      </c>
      <c r="L37" s="85">
        <f>ROUND((+G37*K37),2)</f>
        <v>0</v>
      </c>
      <c r="M37" s="85">
        <f t="shared" si="25"/>
        <v>0</v>
      </c>
      <c r="N37" s="85">
        <f t="shared" si="18"/>
        <v>0</v>
      </c>
      <c r="O37" s="85">
        <f t="shared" si="26"/>
        <v>0</v>
      </c>
      <c r="P37" s="85">
        <f t="shared" si="19"/>
        <v>0</v>
      </c>
      <c r="Q37" s="86" t="str">
        <f t="shared" si="20"/>
        <v/>
      </c>
      <c r="R37" s="102" t="str">
        <f t="shared" si="21"/>
        <v/>
      </c>
    </row>
    <row r="38" spans="1:18" s="82" customFormat="1" hidden="1">
      <c r="A38" s="303" t="str">
        <f t="shared" si="14"/>
        <v/>
      </c>
      <c r="B38" s="212">
        <f t="shared" si="14"/>
        <v>0</v>
      </c>
      <c r="C38" s="211" t="str">
        <f t="shared" si="14"/>
        <v>Senior Operations Research Analyst</v>
      </c>
      <c r="D38" s="97" t="s">
        <v>11</v>
      </c>
      <c r="E38" s="97"/>
      <c r="F38" s="304">
        <f t="shared" si="15"/>
        <v>0</v>
      </c>
      <c r="G38" s="305"/>
      <c r="H38" s="83">
        <f>'Direct Labor Rate Schedule'!F15</f>
        <v>0</v>
      </c>
      <c r="I38" s="84">
        <f t="shared" si="22"/>
        <v>0</v>
      </c>
      <c r="J38" s="84">
        <f t="shared" si="23"/>
        <v>0</v>
      </c>
      <c r="K38" s="145">
        <f t="shared" si="24"/>
        <v>0</v>
      </c>
      <c r="L38" s="85">
        <f t="shared" si="17"/>
        <v>0</v>
      </c>
      <c r="M38" s="85">
        <f t="shared" si="25"/>
        <v>0</v>
      </c>
      <c r="N38" s="85">
        <f t="shared" si="18"/>
        <v>0</v>
      </c>
      <c r="O38" s="85">
        <f t="shared" si="26"/>
        <v>0</v>
      </c>
      <c r="P38" s="85">
        <f t="shared" si="19"/>
        <v>0</v>
      </c>
      <c r="Q38" s="86" t="str">
        <f t="shared" si="20"/>
        <v/>
      </c>
      <c r="R38" s="102" t="str">
        <f t="shared" si="21"/>
        <v/>
      </c>
    </row>
    <row r="39" spans="1:18" s="82" customFormat="1" hidden="1">
      <c r="A39" s="303" t="str">
        <f t="shared" si="14"/>
        <v/>
      </c>
      <c r="B39" s="212">
        <f t="shared" si="14"/>
        <v>0</v>
      </c>
      <c r="C39" s="211" t="str">
        <f t="shared" si="14"/>
        <v>Operations Research Analyst</v>
      </c>
      <c r="D39" s="97" t="s">
        <v>11</v>
      </c>
      <c r="E39" s="97"/>
      <c r="F39" s="304">
        <f t="shared" si="15"/>
        <v>0</v>
      </c>
      <c r="G39" s="305"/>
      <c r="H39" s="83">
        <f>'Direct Labor Rate Schedule'!F16</f>
        <v>0</v>
      </c>
      <c r="I39" s="84">
        <f t="shared" si="22"/>
        <v>0</v>
      </c>
      <c r="J39" s="84">
        <f t="shared" si="23"/>
        <v>0</v>
      </c>
      <c r="K39" s="145">
        <f t="shared" si="24"/>
        <v>0</v>
      </c>
      <c r="L39" s="85">
        <f t="shared" si="17"/>
        <v>0</v>
      </c>
      <c r="M39" s="85">
        <f t="shared" si="25"/>
        <v>0</v>
      </c>
      <c r="N39" s="85">
        <f t="shared" si="18"/>
        <v>0</v>
      </c>
      <c r="O39" s="85">
        <f t="shared" si="26"/>
        <v>0</v>
      </c>
      <c r="P39" s="85">
        <f t="shared" si="19"/>
        <v>0</v>
      </c>
      <c r="Q39" s="86" t="str">
        <f t="shared" si="20"/>
        <v/>
      </c>
      <c r="R39" s="102" t="str">
        <f t="shared" si="21"/>
        <v/>
      </c>
    </row>
    <row r="40" spans="1:18" s="82" customFormat="1" hidden="1">
      <c r="A40" s="303" t="str">
        <f t="shared" si="14"/>
        <v/>
      </c>
      <c r="B40" s="212">
        <f t="shared" si="14"/>
        <v>0</v>
      </c>
      <c r="C40" s="211" t="str">
        <f t="shared" si="14"/>
        <v>Graphics Design Senior Analyst</v>
      </c>
      <c r="D40" s="97" t="s">
        <v>11</v>
      </c>
      <c r="E40" s="97"/>
      <c r="F40" s="304">
        <f t="shared" si="15"/>
        <v>0</v>
      </c>
      <c r="G40" s="305"/>
      <c r="H40" s="83">
        <f>'Direct Labor Rate Schedule'!F17</f>
        <v>0</v>
      </c>
      <c r="I40" s="84">
        <f t="shared" si="22"/>
        <v>0</v>
      </c>
      <c r="J40" s="84">
        <f t="shared" si="23"/>
        <v>0</v>
      </c>
      <c r="K40" s="145">
        <f t="shared" si="24"/>
        <v>0</v>
      </c>
      <c r="L40" s="85">
        <f t="shared" si="17"/>
        <v>0</v>
      </c>
      <c r="M40" s="85">
        <f t="shared" si="25"/>
        <v>0</v>
      </c>
      <c r="N40" s="85">
        <f t="shared" si="18"/>
        <v>0</v>
      </c>
      <c r="O40" s="85">
        <f t="shared" si="26"/>
        <v>0</v>
      </c>
      <c r="P40" s="85">
        <f t="shared" si="19"/>
        <v>0</v>
      </c>
      <c r="Q40" s="86" t="str">
        <f t="shared" si="20"/>
        <v/>
      </c>
      <c r="R40" s="102" t="str">
        <f t="shared" si="21"/>
        <v/>
      </c>
    </row>
    <row r="41" spans="1:18" s="82" customFormat="1" hidden="1">
      <c r="A41" s="303" t="str">
        <f t="shared" si="14"/>
        <v/>
      </c>
      <c r="B41" s="212">
        <f t="shared" si="14"/>
        <v>0</v>
      </c>
      <c r="C41" s="211" t="str">
        <f t="shared" si="14"/>
        <v>Force Documentation Senior Analyst</v>
      </c>
      <c r="D41" s="97" t="s">
        <v>11</v>
      </c>
      <c r="E41" s="97"/>
      <c r="F41" s="304">
        <f t="shared" si="15"/>
        <v>0</v>
      </c>
      <c r="G41" s="305"/>
      <c r="H41" s="83">
        <f>'Direct Labor Rate Schedule'!F18</f>
        <v>0</v>
      </c>
      <c r="I41" s="84">
        <f t="shared" si="22"/>
        <v>0</v>
      </c>
      <c r="J41" s="84">
        <f t="shared" si="23"/>
        <v>0</v>
      </c>
      <c r="K41" s="145">
        <f t="shared" si="24"/>
        <v>0</v>
      </c>
      <c r="L41" s="85">
        <f t="shared" si="17"/>
        <v>0</v>
      </c>
      <c r="M41" s="85">
        <f t="shared" si="25"/>
        <v>0</v>
      </c>
      <c r="N41" s="85">
        <f t="shared" si="18"/>
        <v>0</v>
      </c>
      <c r="O41" s="85">
        <f t="shared" si="26"/>
        <v>0</v>
      </c>
      <c r="P41" s="85">
        <f t="shared" si="19"/>
        <v>0</v>
      </c>
      <c r="Q41" s="86" t="str">
        <f t="shared" si="20"/>
        <v/>
      </c>
      <c r="R41" s="102" t="str">
        <f t="shared" si="21"/>
        <v/>
      </c>
    </row>
    <row r="42" spans="1:18" s="82" customFormat="1" hidden="1">
      <c r="A42" s="303" t="str">
        <f t="shared" si="14"/>
        <v/>
      </c>
      <c r="B42" s="212">
        <f t="shared" si="14"/>
        <v>0</v>
      </c>
      <c r="C42" s="211">
        <f t="shared" si="14"/>
        <v>0</v>
      </c>
      <c r="D42" s="97" t="s">
        <v>11</v>
      </c>
      <c r="E42" s="97"/>
      <c r="F42" s="304">
        <f t="shared" si="15"/>
        <v>0</v>
      </c>
      <c r="G42" s="305"/>
      <c r="H42" s="83">
        <f>'Direct Labor Rate Schedule'!F19</f>
        <v>0</v>
      </c>
      <c r="I42" s="84">
        <f t="shared" si="22"/>
        <v>0</v>
      </c>
      <c r="J42" s="84">
        <f t="shared" si="23"/>
        <v>0</v>
      </c>
      <c r="K42" s="145">
        <f t="shared" si="24"/>
        <v>0</v>
      </c>
      <c r="L42" s="85">
        <f t="shared" si="17"/>
        <v>0</v>
      </c>
      <c r="M42" s="85">
        <f t="shared" si="25"/>
        <v>0</v>
      </c>
      <c r="N42" s="85">
        <f t="shared" si="18"/>
        <v>0</v>
      </c>
      <c r="O42" s="85">
        <f t="shared" si="26"/>
        <v>0</v>
      </c>
      <c r="P42" s="85">
        <f t="shared" si="19"/>
        <v>0</v>
      </c>
      <c r="Q42" s="86" t="str">
        <f t="shared" si="20"/>
        <v/>
      </c>
      <c r="R42" s="102" t="str">
        <f t="shared" si="21"/>
        <v/>
      </c>
    </row>
    <row r="43" spans="1:18" s="82" customFormat="1" hidden="1">
      <c r="A43" s="303" t="str">
        <f t="shared" si="14"/>
        <v/>
      </c>
      <c r="B43" s="212">
        <f t="shared" si="14"/>
        <v>0</v>
      </c>
      <c r="C43" s="211">
        <f t="shared" si="14"/>
        <v>0</v>
      </c>
      <c r="D43" s="97" t="s">
        <v>11</v>
      </c>
      <c r="E43" s="97"/>
      <c r="F43" s="304">
        <f t="shared" si="15"/>
        <v>0</v>
      </c>
      <c r="G43" s="305"/>
      <c r="H43" s="83">
        <f>'Direct Labor Rate Schedule'!F20</f>
        <v>0</v>
      </c>
      <c r="I43" s="84">
        <f t="shared" si="22"/>
        <v>0</v>
      </c>
      <c r="J43" s="84">
        <f t="shared" si="23"/>
        <v>0</v>
      </c>
      <c r="K43" s="145">
        <f t="shared" si="24"/>
        <v>0</v>
      </c>
      <c r="L43" s="85">
        <f t="shared" si="17"/>
        <v>0</v>
      </c>
      <c r="M43" s="85">
        <f t="shared" si="25"/>
        <v>0</v>
      </c>
      <c r="N43" s="85">
        <f t="shared" si="18"/>
        <v>0</v>
      </c>
      <c r="O43" s="85">
        <f t="shared" si="26"/>
        <v>0</v>
      </c>
      <c r="P43" s="85">
        <f t="shared" si="19"/>
        <v>0</v>
      </c>
      <c r="Q43" s="86" t="str">
        <f t="shared" si="20"/>
        <v/>
      </c>
      <c r="R43" s="102" t="str">
        <f t="shared" si="21"/>
        <v/>
      </c>
    </row>
    <row r="44" spans="1:18" s="82" customFormat="1" hidden="1">
      <c r="A44" s="303" t="str">
        <f t="shared" si="14"/>
        <v/>
      </c>
      <c r="B44" s="212">
        <f t="shared" si="14"/>
        <v>0</v>
      </c>
      <c r="C44" s="211">
        <f t="shared" si="14"/>
        <v>0</v>
      </c>
      <c r="D44" s="97" t="s">
        <v>11</v>
      </c>
      <c r="E44" s="97"/>
      <c r="F44" s="304">
        <f t="shared" si="15"/>
        <v>0</v>
      </c>
      <c r="G44" s="305"/>
      <c r="H44" s="83">
        <f>'Direct Labor Rate Schedule'!F21</f>
        <v>0</v>
      </c>
      <c r="I44" s="84">
        <f t="shared" si="22"/>
        <v>0</v>
      </c>
      <c r="J44" s="84">
        <f t="shared" si="23"/>
        <v>0</v>
      </c>
      <c r="K44" s="145">
        <f t="shared" si="24"/>
        <v>0</v>
      </c>
      <c r="L44" s="85">
        <f t="shared" si="17"/>
        <v>0</v>
      </c>
      <c r="M44" s="85">
        <f t="shared" si="25"/>
        <v>0</v>
      </c>
      <c r="N44" s="85">
        <f t="shared" si="18"/>
        <v>0</v>
      </c>
      <c r="O44" s="85">
        <f t="shared" si="26"/>
        <v>0</v>
      </c>
      <c r="P44" s="85">
        <f t="shared" si="19"/>
        <v>0</v>
      </c>
      <c r="Q44" s="86" t="str">
        <f t="shared" si="20"/>
        <v/>
      </c>
      <c r="R44" s="102" t="str">
        <f t="shared" si="21"/>
        <v/>
      </c>
    </row>
    <row r="45" spans="1:18" s="82" customFormat="1" hidden="1">
      <c r="A45" s="303" t="str">
        <f t="shared" si="14"/>
        <v/>
      </c>
      <c r="B45" s="212">
        <f t="shared" si="14"/>
        <v>0</v>
      </c>
      <c r="C45" s="211">
        <f t="shared" si="14"/>
        <v>0</v>
      </c>
      <c r="D45" s="97" t="s">
        <v>11</v>
      </c>
      <c r="E45" s="97"/>
      <c r="F45" s="304">
        <f t="shared" si="15"/>
        <v>0</v>
      </c>
      <c r="G45" s="305"/>
      <c r="H45" s="83">
        <f>'Direct Labor Rate Schedule'!F22</f>
        <v>0</v>
      </c>
      <c r="I45" s="84">
        <f t="shared" si="22"/>
        <v>0</v>
      </c>
      <c r="J45" s="84">
        <f t="shared" si="23"/>
        <v>0</v>
      </c>
      <c r="K45" s="145">
        <f t="shared" si="24"/>
        <v>0</v>
      </c>
      <c r="L45" s="85">
        <f t="shared" si="17"/>
        <v>0</v>
      </c>
      <c r="M45" s="85">
        <f t="shared" si="25"/>
        <v>0</v>
      </c>
      <c r="N45" s="85">
        <f t="shared" si="18"/>
        <v>0</v>
      </c>
      <c r="O45" s="85">
        <f t="shared" si="26"/>
        <v>0</v>
      </c>
      <c r="P45" s="85">
        <f t="shared" si="19"/>
        <v>0</v>
      </c>
      <c r="Q45" s="86" t="str">
        <f t="shared" si="20"/>
        <v/>
      </c>
      <c r="R45" s="102" t="str">
        <f t="shared" si="21"/>
        <v/>
      </c>
    </row>
    <row r="46" spans="1:18" s="82" customFormat="1" ht="14.25" hidden="1" thickTop="1" thickBot="1">
      <c r="A46" s="360" t="s">
        <v>85</v>
      </c>
      <c r="B46" s="361"/>
      <c r="C46" s="361"/>
      <c r="D46" s="361"/>
      <c r="E46" s="362"/>
      <c r="F46" s="146">
        <f>SUM(F34:F45)</f>
        <v>0</v>
      </c>
      <c r="G46" s="146">
        <f>SUM(G34:G45)</f>
        <v>0</v>
      </c>
      <c r="H46" s="108">
        <f>SUMPRODUCT(H34:H45,$G34:$G45)</f>
        <v>0</v>
      </c>
      <c r="I46" s="108">
        <f>SUMPRODUCT(I34:I45,$G34:$G45)</f>
        <v>0</v>
      </c>
      <c r="J46" s="108">
        <f>SUMPRODUCT(J34:J45,$G34:$G45)</f>
        <v>0</v>
      </c>
      <c r="K46" s="108">
        <f>SUMPRODUCT(K34:K45,$G34:$G45)</f>
        <v>0</v>
      </c>
      <c r="L46" s="108">
        <f>SUM(L34:L45)</f>
        <v>0</v>
      </c>
      <c r="M46" s="108">
        <f>SUM(M34:M45)</f>
        <v>0</v>
      </c>
      <c r="N46" s="108">
        <f>SUM(N34:N45)</f>
        <v>0</v>
      </c>
      <c r="O46" s="108">
        <f>SUM(O34:O45)</f>
        <v>0</v>
      </c>
      <c r="P46" s="108">
        <f>SUM(P34:P45)</f>
        <v>0</v>
      </c>
      <c r="Q46" s="108">
        <f>SUMPRODUCT(Q34:Q45,$G34:$G45)</f>
        <v>0</v>
      </c>
      <c r="R46" s="109"/>
    </row>
    <row r="47" spans="1:18" s="82" customFormat="1" ht="14.25" hidden="1" thickTop="1" thickBot="1">
      <c r="A47" s="360" t="s">
        <v>86</v>
      </c>
      <c r="B47" s="361"/>
      <c r="C47" s="361"/>
      <c r="D47" s="361"/>
      <c r="E47" s="362"/>
      <c r="F47" s="116"/>
      <c r="G47" s="173" t="e">
        <f>G46/SUM(F34:F45)</f>
        <v>#DIV/0!</v>
      </c>
      <c r="H47" s="110" t="e">
        <f>H46/$G46</f>
        <v>#DIV/0!</v>
      </c>
      <c r="I47" s="110" t="e">
        <f t="shared" ref="I47:J47" si="27">I46/$G46</f>
        <v>#DIV/0!</v>
      </c>
      <c r="J47" s="110" t="e">
        <f t="shared" si="27"/>
        <v>#DIV/0!</v>
      </c>
      <c r="K47" s="110" t="e">
        <f>K46/$G46</f>
        <v>#DIV/0!</v>
      </c>
      <c r="L47" s="110" t="e">
        <f>L46/$G46</f>
        <v>#DIV/0!</v>
      </c>
      <c r="M47" s="110" t="e">
        <f t="shared" ref="M47:P47" si="28">M46/$G46</f>
        <v>#DIV/0!</v>
      </c>
      <c r="N47" s="110" t="e">
        <f t="shared" si="28"/>
        <v>#DIV/0!</v>
      </c>
      <c r="O47" s="110" t="e">
        <f t="shared" si="28"/>
        <v>#DIV/0!</v>
      </c>
      <c r="P47" s="110" t="e">
        <f t="shared" si="28"/>
        <v>#DIV/0!</v>
      </c>
      <c r="Q47" s="110" t="e">
        <f>Q46/$G46</f>
        <v>#DIV/0!</v>
      </c>
      <c r="R47" s="115" t="e">
        <f>Q47/H47</f>
        <v>#DIV/0!</v>
      </c>
    </row>
    <row r="48" spans="1:18" s="82" customFormat="1" hidden="1">
      <c r="C48" s="16"/>
      <c r="D48" s="17"/>
      <c r="E48" s="9"/>
      <c r="F48" s="10"/>
      <c r="G48" s="10"/>
      <c r="H48" s="10"/>
      <c r="I48" s="9"/>
      <c r="J48" s="9"/>
      <c r="K48" s="14"/>
      <c r="L48" s="12"/>
      <c r="M48" s="12"/>
      <c r="N48" s="12"/>
      <c r="O48" s="12"/>
      <c r="P48" s="12"/>
      <c r="Q48" s="12"/>
    </row>
    <row r="49" spans="1:18" s="82" customFormat="1">
      <c r="C49" s="23"/>
      <c r="D49" s="24"/>
      <c r="E49" s="18"/>
      <c r="F49" s="19"/>
      <c r="G49" s="356" t="s">
        <v>28</v>
      </c>
      <c r="H49" s="363"/>
      <c r="I49" s="366" t="s">
        <v>29</v>
      </c>
      <c r="J49" s="366"/>
      <c r="K49" s="367"/>
      <c r="L49" s="367"/>
      <c r="M49" s="367"/>
      <c r="N49" s="20"/>
      <c r="O49" s="21"/>
      <c r="P49" s="22"/>
      <c r="Q49" s="22"/>
    </row>
    <row r="50" spans="1:18" s="82" customFormat="1">
      <c r="C50" s="35" t="s">
        <v>258</v>
      </c>
      <c r="D50" s="25"/>
      <c r="E50" s="26"/>
      <c r="F50" s="27"/>
      <c r="G50" s="364"/>
      <c r="H50" s="365"/>
      <c r="I50" s="91">
        <f>'Indirect Rate Summary'!C17</f>
        <v>0</v>
      </c>
      <c r="J50" s="91">
        <f>'Indirect Rate Summary'!D17</f>
        <v>0</v>
      </c>
      <c r="K50" s="28"/>
      <c r="L50" s="29"/>
      <c r="M50" s="95">
        <f>'Indirect Rate Summary'!E17</f>
        <v>0</v>
      </c>
      <c r="N50" s="30"/>
      <c r="O50" s="333">
        <f>'Indirect Rate Summary'!F17</f>
        <v>0</v>
      </c>
      <c r="P50" s="22"/>
      <c r="Q50" s="22"/>
    </row>
    <row r="51" spans="1:18" s="144" customFormat="1" ht="89.25">
      <c r="A51" s="79" t="str">
        <f t="shared" ref="A51:R52" si="29">+A31</f>
        <v>Location (Note 1)</v>
      </c>
      <c r="B51" s="79" t="str">
        <f t="shared" si="29"/>
        <v>Labor Type (Note 2)</v>
      </c>
      <c r="C51" s="79" t="str">
        <f t="shared" si="29"/>
        <v>Labor Categories (Note 3)</v>
      </c>
      <c r="D51" s="79" t="str">
        <f t="shared" si="29"/>
        <v>Effort To Be Performed By The Prime (P) or Subcontractor (S) (Note 4)</v>
      </c>
      <c r="E51" s="79" t="str">
        <f t="shared" si="29"/>
        <v>If Column D=S, Enter Name of Subcontractor(s) (Note 5)</v>
      </c>
      <c r="F51" s="80" t="str">
        <f t="shared" si="29"/>
        <v>FTEs (Note 6)</v>
      </c>
      <c r="G51" s="141" t="str">
        <f t="shared" si="29"/>
        <v>Total Productive Hours (Note 7)</v>
      </c>
      <c r="H51" s="142" t="str">
        <f t="shared" si="29"/>
        <v>Hourly Base Pay Rate (Note 8)</v>
      </c>
      <c r="I51" s="81" t="str">
        <f t="shared" si="29"/>
        <v>Fringe (Note 9)</v>
      </c>
      <c r="J51" s="81" t="str">
        <f t="shared" si="29"/>
        <v>Overhead (Note 10)</v>
      </c>
      <c r="K51" s="81" t="str">
        <f t="shared" si="29"/>
        <v xml:space="preserve"> Prime/Sub Hourly Rate Before Application Of  Prime G&amp;A &amp; Fee (IF Col C=S Enter Sub Rate) (Note 11)</v>
      </c>
      <c r="L51" s="81" t="str">
        <f t="shared" si="29"/>
        <v>Total Prime &amp; Sub Labor Before Prime G&amp;A &amp; Fee</v>
      </c>
      <c r="M51" s="81" t="str">
        <f t="shared" si="29"/>
        <v>G&amp;A (Note 12)</v>
      </c>
      <c r="N51" s="81" t="str">
        <f t="shared" si="29"/>
        <v>Total Cost</v>
      </c>
      <c r="O51" s="81" t="str">
        <f t="shared" si="29"/>
        <v>Fee</v>
      </c>
      <c r="P51" s="81" t="str">
        <f t="shared" si="29"/>
        <v>Total Price</v>
      </c>
      <c r="Q51" s="81" t="str">
        <f t="shared" si="29"/>
        <v xml:space="preserve">Proposal Fully Burdened Hourly Billing Rate </v>
      </c>
      <c r="R51" s="81" t="str">
        <f t="shared" si="29"/>
        <v>Wrap Rate</v>
      </c>
    </row>
    <row r="52" spans="1:18" s="82" customFormat="1" ht="13.5" thickBot="1">
      <c r="A52" s="31" t="str">
        <f t="shared" si="29"/>
        <v>a</v>
      </c>
      <c r="B52" s="31" t="str">
        <f t="shared" si="29"/>
        <v>b</v>
      </c>
      <c r="C52" s="31" t="str">
        <f t="shared" si="29"/>
        <v>c</v>
      </c>
      <c r="D52" s="31" t="str">
        <f t="shared" si="29"/>
        <v>d</v>
      </c>
      <c r="E52" s="31" t="str">
        <f t="shared" si="29"/>
        <v>e</v>
      </c>
      <c r="F52" s="31" t="str">
        <f t="shared" si="29"/>
        <v>f</v>
      </c>
      <c r="G52" s="36" t="str">
        <f t="shared" si="29"/>
        <v>g</v>
      </c>
      <c r="H52" s="31" t="str">
        <f t="shared" si="29"/>
        <v>h</v>
      </c>
      <c r="I52" s="32" t="str">
        <f t="shared" si="29"/>
        <v>i</v>
      </c>
      <c r="J52" s="32" t="str">
        <f t="shared" si="29"/>
        <v>j</v>
      </c>
      <c r="K52" s="32" t="str">
        <f t="shared" si="29"/>
        <v>k = h + i + j</v>
      </c>
      <c r="L52" s="32" t="str">
        <f t="shared" si="29"/>
        <v>l = g x k</v>
      </c>
      <c r="M52" s="32" t="str">
        <f t="shared" si="29"/>
        <v>m</v>
      </c>
      <c r="N52" s="32" t="str">
        <f t="shared" si="29"/>
        <v>n = l + o</v>
      </c>
      <c r="O52" s="32" t="str">
        <f t="shared" si="29"/>
        <v>o</v>
      </c>
      <c r="P52" s="32" t="str">
        <f t="shared" si="29"/>
        <v>p = n + o</v>
      </c>
      <c r="Q52" s="32" t="str">
        <f t="shared" si="29"/>
        <v>q = p/g</v>
      </c>
      <c r="R52" s="32" t="str">
        <f t="shared" si="29"/>
        <v>r = q/h</v>
      </c>
    </row>
    <row r="53" spans="1:18" s="82" customFormat="1">
      <c r="A53" s="168" t="str">
        <f>IF('Direct Labor Rate Schedule'!$A$10="","",'Direct Labor Rate Schedule'!$A$10)</f>
        <v/>
      </c>
      <c r="B53" s="196"/>
      <c r="C53" s="167"/>
      <c r="D53" s="159"/>
      <c r="E53" s="159"/>
      <c r="F53" s="160"/>
      <c r="G53" s="161"/>
      <c r="H53" s="162"/>
      <c r="I53" s="163"/>
      <c r="J53" s="163"/>
      <c r="K53" s="163"/>
      <c r="L53" s="164"/>
      <c r="M53" s="164"/>
      <c r="N53" s="164"/>
      <c r="O53" s="164"/>
      <c r="P53" s="164"/>
      <c r="Q53" s="165"/>
      <c r="R53" s="166"/>
    </row>
    <row r="54" spans="1:18" s="82" customFormat="1">
      <c r="A54" s="303" t="str">
        <f>A34</f>
        <v/>
      </c>
      <c r="B54" s="212">
        <f>B34</f>
        <v>0</v>
      </c>
      <c r="C54" s="211" t="str">
        <f>C34</f>
        <v>Program Manager</v>
      </c>
      <c r="D54" s="97" t="s">
        <v>11</v>
      </c>
      <c r="E54" s="97"/>
      <c r="F54" s="304">
        <f t="shared" ref="F54:F65" si="30">G54/AnnualProductiveHours</f>
        <v>0</v>
      </c>
      <c r="G54" s="305">
        <v>0</v>
      </c>
      <c r="H54" s="83">
        <f>'Direct Labor Rate Schedule'!H11</f>
        <v>0</v>
      </c>
      <c r="I54" s="84">
        <f t="shared" ref="I54:I65" si="31">ROUND((+H54*$I$50),2)</f>
        <v>0</v>
      </c>
      <c r="J54" s="84">
        <f t="shared" ref="J54:J65" si="32">ROUND((+H54*$J$50),2)</f>
        <v>0</v>
      </c>
      <c r="K54" s="145">
        <f t="shared" ref="K54" si="33">+H54+SUM(I54:J54)</f>
        <v>0</v>
      </c>
      <c r="L54" s="85">
        <f t="shared" ref="L54:L65" si="34">ROUND((+G54*K54),2)</f>
        <v>0</v>
      </c>
      <c r="M54" s="85">
        <f t="shared" ref="M54:M65" si="35">ROUND((+L54*$M$50),2)</f>
        <v>0</v>
      </c>
      <c r="N54" s="85">
        <f t="shared" ref="N54:N65" si="36">SUM(L54:M54)</f>
        <v>0</v>
      </c>
      <c r="O54" s="85">
        <f t="shared" ref="O54:O65" si="37">ROUND((+N54*$O$50),2)</f>
        <v>0</v>
      </c>
      <c r="P54" s="85">
        <f>SUM(N54:O54)</f>
        <v>0</v>
      </c>
      <c r="Q54" s="86" t="str">
        <f t="shared" ref="Q54:Q65" si="38">IFERROR((+P54/G54),"")</f>
        <v/>
      </c>
      <c r="R54" s="102" t="str">
        <f t="shared" ref="R54:R65" si="39">IFERROR(Q54/H54-1,"")</f>
        <v/>
      </c>
    </row>
    <row r="55" spans="1:18" s="82" customFormat="1">
      <c r="A55" s="303" t="str">
        <f t="shared" ref="A55:C65" si="40">A35</f>
        <v/>
      </c>
      <c r="B55" s="212">
        <f t="shared" si="40"/>
        <v>0</v>
      </c>
      <c r="C55" s="211" t="str">
        <f t="shared" si="40"/>
        <v>Senior Analyst</v>
      </c>
      <c r="D55" s="97" t="s">
        <v>11</v>
      </c>
      <c r="E55" s="97"/>
      <c r="F55" s="304">
        <f t="shared" si="30"/>
        <v>7.833333333333333</v>
      </c>
      <c r="G55" s="305">
        <v>15040</v>
      </c>
      <c r="H55" s="83">
        <f>'Direct Labor Rate Schedule'!H12</f>
        <v>0</v>
      </c>
      <c r="I55" s="84">
        <f t="shared" si="31"/>
        <v>0</v>
      </c>
      <c r="J55" s="84">
        <f t="shared" si="32"/>
        <v>0</v>
      </c>
      <c r="K55" s="145">
        <f t="shared" ref="K55:K65" si="41">+H55+SUM(I55:J55)</f>
        <v>0</v>
      </c>
      <c r="L55" s="85">
        <f t="shared" si="34"/>
        <v>0</v>
      </c>
      <c r="M55" s="85">
        <f t="shared" si="35"/>
        <v>0</v>
      </c>
      <c r="N55" s="85">
        <f t="shared" si="36"/>
        <v>0</v>
      </c>
      <c r="O55" s="85">
        <f t="shared" si="37"/>
        <v>0</v>
      </c>
      <c r="P55" s="85">
        <f t="shared" ref="P55:P65" si="42">SUM(N55:O55)</f>
        <v>0</v>
      </c>
      <c r="Q55" s="86">
        <f t="shared" si="38"/>
        <v>0</v>
      </c>
      <c r="R55" s="102" t="str">
        <f t="shared" si="39"/>
        <v/>
      </c>
    </row>
    <row r="56" spans="1:18" s="82" customFormat="1">
      <c r="A56" s="303" t="str">
        <f t="shared" si="40"/>
        <v/>
      </c>
      <c r="B56" s="212">
        <f t="shared" si="40"/>
        <v>0</v>
      </c>
      <c r="C56" s="211" t="str">
        <f t="shared" si="40"/>
        <v>Analyst</v>
      </c>
      <c r="D56" s="97" t="s">
        <v>11</v>
      </c>
      <c r="E56" s="97"/>
      <c r="F56" s="304">
        <f t="shared" si="30"/>
        <v>1.9583333333333333</v>
      </c>
      <c r="G56" s="305">
        <v>3760</v>
      </c>
      <c r="H56" s="83">
        <f>'Direct Labor Rate Schedule'!H13</f>
        <v>0</v>
      </c>
      <c r="I56" s="84">
        <f t="shared" si="31"/>
        <v>0</v>
      </c>
      <c r="J56" s="84">
        <f t="shared" si="32"/>
        <v>0</v>
      </c>
      <c r="K56" s="145">
        <f t="shared" si="41"/>
        <v>0</v>
      </c>
      <c r="L56" s="85">
        <f t="shared" si="34"/>
        <v>0</v>
      </c>
      <c r="M56" s="85">
        <f t="shared" si="35"/>
        <v>0</v>
      </c>
      <c r="N56" s="85">
        <f t="shared" si="36"/>
        <v>0</v>
      </c>
      <c r="O56" s="85">
        <f t="shared" si="37"/>
        <v>0</v>
      </c>
      <c r="P56" s="85">
        <f t="shared" si="42"/>
        <v>0</v>
      </c>
      <c r="Q56" s="86">
        <f t="shared" si="38"/>
        <v>0</v>
      </c>
      <c r="R56" s="102" t="str">
        <f t="shared" si="39"/>
        <v/>
      </c>
    </row>
    <row r="57" spans="1:18" s="82" customFormat="1">
      <c r="A57" s="303" t="str">
        <f t="shared" si="40"/>
        <v/>
      </c>
      <c r="B57" s="212">
        <f t="shared" si="40"/>
        <v>0</v>
      </c>
      <c r="C57" s="211" t="str">
        <f t="shared" si="40"/>
        <v>Junior Analyst</v>
      </c>
      <c r="D57" s="97" t="s">
        <v>11</v>
      </c>
      <c r="E57" s="97"/>
      <c r="F57" s="304">
        <f t="shared" si="30"/>
        <v>0</v>
      </c>
      <c r="G57" s="305">
        <v>0</v>
      </c>
      <c r="H57" s="83">
        <f>'Direct Labor Rate Schedule'!H14</f>
        <v>0</v>
      </c>
      <c r="I57" s="84">
        <f t="shared" si="31"/>
        <v>0</v>
      </c>
      <c r="J57" s="84">
        <f t="shared" si="32"/>
        <v>0</v>
      </c>
      <c r="K57" s="145">
        <f t="shared" si="41"/>
        <v>0</v>
      </c>
      <c r="L57" s="85">
        <f t="shared" si="34"/>
        <v>0</v>
      </c>
      <c r="M57" s="85">
        <f t="shared" si="35"/>
        <v>0</v>
      </c>
      <c r="N57" s="85">
        <f t="shared" si="36"/>
        <v>0</v>
      </c>
      <c r="O57" s="85">
        <f t="shared" si="37"/>
        <v>0</v>
      </c>
      <c r="P57" s="85">
        <f t="shared" si="42"/>
        <v>0</v>
      </c>
      <c r="Q57" s="86" t="str">
        <f t="shared" si="38"/>
        <v/>
      </c>
      <c r="R57" s="102" t="str">
        <f t="shared" si="39"/>
        <v/>
      </c>
    </row>
    <row r="58" spans="1:18" s="82" customFormat="1">
      <c r="A58" s="303" t="str">
        <f t="shared" si="40"/>
        <v/>
      </c>
      <c r="B58" s="212">
        <f t="shared" si="40"/>
        <v>0</v>
      </c>
      <c r="C58" s="211" t="str">
        <f t="shared" si="40"/>
        <v>Senior Operations Research Analyst</v>
      </c>
      <c r="D58" s="97" t="s">
        <v>11</v>
      </c>
      <c r="E58" s="97"/>
      <c r="F58" s="304">
        <f t="shared" si="30"/>
        <v>3.9166666666666665</v>
      </c>
      <c r="G58" s="305">
        <v>7520</v>
      </c>
      <c r="H58" s="83">
        <f>'Direct Labor Rate Schedule'!H15</f>
        <v>0</v>
      </c>
      <c r="I58" s="84">
        <f t="shared" si="31"/>
        <v>0</v>
      </c>
      <c r="J58" s="84">
        <f t="shared" si="32"/>
        <v>0</v>
      </c>
      <c r="K58" s="145">
        <f t="shared" si="41"/>
        <v>0</v>
      </c>
      <c r="L58" s="85">
        <f t="shared" si="34"/>
        <v>0</v>
      </c>
      <c r="M58" s="85">
        <f t="shared" si="35"/>
        <v>0</v>
      </c>
      <c r="N58" s="85">
        <f t="shared" si="36"/>
        <v>0</v>
      </c>
      <c r="O58" s="85">
        <f t="shared" si="37"/>
        <v>0</v>
      </c>
      <c r="P58" s="85">
        <f t="shared" si="42"/>
        <v>0</v>
      </c>
      <c r="Q58" s="86">
        <f t="shared" si="38"/>
        <v>0</v>
      </c>
      <c r="R58" s="102" t="str">
        <f t="shared" si="39"/>
        <v/>
      </c>
    </row>
    <row r="59" spans="1:18" s="82" customFormat="1">
      <c r="A59" s="303" t="str">
        <f t="shared" si="40"/>
        <v/>
      </c>
      <c r="B59" s="212">
        <f t="shared" si="40"/>
        <v>0</v>
      </c>
      <c r="C59" s="211" t="str">
        <f t="shared" si="40"/>
        <v>Operations Research Analyst</v>
      </c>
      <c r="D59" s="97" t="s">
        <v>11</v>
      </c>
      <c r="E59" s="97"/>
      <c r="F59" s="304">
        <f t="shared" si="30"/>
        <v>1.9583333333333333</v>
      </c>
      <c r="G59" s="305">
        <v>3760</v>
      </c>
      <c r="H59" s="83">
        <f>'Direct Labor Rate Schedule'!H16</f>
        <v>0</v>
      </c>
      <c r="I59" s="84">
        <f t="shared" si="31"/>
        <v>0</v>
      </c>
      <c r="J59" s="84">
        <f t="shared" si="32"/>
        <v>0</v>
      </c>
      <c r="K59" s="145">
        <f t="shared" si="41"/>
        <v>0</v>
      </c>
      <c r="L59" s="85">
        <f t="shared" si="34"/>
        <v>0</v>
      </c>
      <c r="M59" s="85">
        <f t="shared" si="35"/>
        <v>0</v>
      </c>
      <c r="N59" s="85">
        <f t="shared" si="36"/>
        <v>0</v>
      </c>
      <c r="O59" s="85">
        <f t="shared" si="37"/>
        <v>0</v>
      </c>
      <c r="P59" s="85">
        <f t="shared" si="42"/>
        <v>0</v>
      </c>
      <c r="Q59" s="86">
        <f t="shared" si="38"/>
        <v>0</v>
      </c>
      <c r="R59" s="102" t="str">
        <f t="shared" si="39"/>
        <v/>
      </c>
    </row>
    <row r="60" spans="1:18" s="82" customFormat="1">
      <c r="A60" s="303" t="str">
        <f t="shared" si="40"/>
        <v/>
      </c>
      <c r="B60" s="212">
        <f t="shared" si="40"/>
        <v>0</v>
      </c>
      <c r="C60" s="211" t="str">
        <f t="shared" si="40"/>
        <v>Graphics Design Senior Analyst</v>
      </c>
      <c r="D60" s="97" t="s">
        <v>11</v>
      </c>
      <c r="E60" s="97"/>
      <c r="F60" s="304">
        <f t="shared" si="30"/>
        <v>0</v>
      </c>
      <c r="G60" s="305">
        <v>0</v>
      </c>
      <c r="H60" s="83">
        <f>'Direct Labor Rate Schedule'!H17</f>
        <v>0</v>
      </c>
      <c r="I60" s="84">
        <f t="shared" si="31"/>
        <v>0</v>
      </c>
      <c r="J60" s="84">
        <f t="shared" si="32"/>
        <v>0</v>
      </c>
      <c r="K60" s="145">
        <f t="shared" si="41"/>
        <v>0</v>
      </c>
      <c r="L60" s="85">
        <f t="shared" si="34"/>
        <v>0</v>
      </c>
      <c r="M60" s="85">
        <f t="shared" si="35"/>
        <v>0</v>
      </c>
      <c r="N60" s="85">
        <f t="shared" si="36"/>
        <v>0</v>
      </c>
      <c r="O60" s="85">
        <f t="shared" si="37"/>
        <v>0</v>
      </c>
      <c r="P60" s="85">
        <f t="shared" si="42"/>
        <v>0</v>
      </c>
      <c r="Q60" s="86" t="str">
        <f t="shared" si="38"/>
        <v/>
      </c>
      <c r="R60" s="102" t="str">
        <f t="shared" si="39"/>
        <v/>
      </c>
    </row>
    <row r="61" spans="1:18" s="82" customFormat="1">
      <c r="A61" s="303" t="str">
        <f t="shared" si="40"/>
        <v/>
      </c>
      <c r="B61" s="212">
        <f t="shared" si="40"/>
        <v>0</v>
      </c>
      <c r="C61" s="211" t="str">
        <f t="shared" si="40"/>
        <v>Force Documentation Senior Analyst</v>
      </c>
      <c r="D61" s="97" t="s">
        <v>11</v>
      </c>
      <c r="E61" s="97"/>
      <c r="F61" s="304">
        <f t="shared" si="30"/>
        <v>0</v>
      </c>
      <c r="G61" s="305">
        <v>0</v>
      </c>
      <c r="H61" s="83">
        <f>'Direct Labor Rate Schedule'!H18</f>
        <v>0</v>
      </c>
      <c r="I61" s="84">
        <f t="shared" si="31"/>
        <v>0</v>
      </c>
      <c r="J61" s="84">
        <f t="shared" si="32"/>
        <v>0</v>
      </c>
      <c r="K61" s="145">
        <f t="shared" si="41"/>
        <v>0</v>
      </c>
      <c r="L61" s="85">
        <f t="shared" si="34"/>
        <v>0</v>
      </c>
      <c r="M61" s="85">
        <f t="shared" si="35"/>
        <v>0</v>
      </c>
      <c r="N61" s="85">
        <f t="shared" si="36"/>
        <v>0</v>
      </c>
      <c r="O61" s="85">
        <f t="shared" si="37"/>
        <v>0</v>
      </c>
      <c r="P61" s="85">
        <f t="shared" si="42"/>
        <v>0</v>
      </c>
      <c r="Q61" s="86" t="str">
        <f t="shared" si="38"/>
        <v/>
      </c>
      <c r="R61" s="102" t="str">
        <f t="shared" si="39"/>
        <v/>
      </c>
    </row>
    <row r="62" spans="1:18" s="82" customFormat="1">
      <c r="A62" s="303" t="str">
        <f t="shared" si="40"/>
        <v/>
      </c>
      <c r="B62" s="212">
        <f t="shared" si="40"/>
        <v>0</v>
      </c>
      <c r="C62" s="211">
        <f t="shared" si="40"/>
        <v>0</v>
      </c>
      <c r="D62" s="97" t="s">
        <v>11</v>
      </c>
      <c r="E62" s="97"/>
      <c r="F62" s="304">
        <f t="shared" si="30"/>
        <v>0</v>
      </c>
      <c r="G62" s="305">
        <v>0</v>
      </c>
      <c r="H62" s="83">
        <f>'Direct Labor Rate Schedule'!H19</f>
        <v>0</v>
      </c>
      <c r="I62" s="84">
        <f t="shared" si="31"/>
        <v>0</v>
      </c>
      <c r="J62" s="84">
        <f t="shared" si="32"/>
        <v>0</v>
      </c>
      <c r="K62" s="145">
        <f t="shared" si="41"/>
        <v>0</v>
      </c>
      <c r="L62" s="85">
        <f t="shared" si="34"/>
        <v>0</v>
      </c>
      <c r="M62" s="85">
        <f t="shared" si="35"/>
        <v>0</v>
      </c>
      <c r="N62" s="85">
        <f t="shared" si="36"/>
        <v>0</v>
      </c>
      <c r="O62" s="85">
        <f t="shared" si="37"/>
        <v>0</v>
      </c>
      <c r="P62" s="85">
        <f t="shared" si="42"/>
        <v>0</v>
      </c>
      <c r="Q62" s="86" t="str">
        <f t="shared" si="38"/>
        <v/>
      </c>
      <c r="R62" s="102" t="str">
        <f t="shared" si="39"/>
        <v/>
      </c>
    </row>
    <row r="63" spans="1:18" s="82" customFormat="1">
      <c r="A63" s="303" t="str">
        <f t="shared" si="40"/>
        <v/>
      </c>
      <c r="B63" s="212">
        <f t="shared" si="40"/>
        <v>0</v>
      </c>
      <c r="C63" s="211">
        <f t="shared" si="40"/>
        <v>0</v>
      </c>
      <c r="D63" s="97" t="s">
        <v>11</v>
      </c>
      <c r="E63" s="97"/>
      <c r="F63" s="304">
        <f t="shared" si="30"/>
        <v>0</v>
      </c>
      <c r="G63" s="305">
        <v>0</v>
      </c>
      <c r="H63" s="83">
        <f>'Direct Labor Rate Schedule'!H20</f>
        <v>0</v>
      </c>
      <c r="I63" s="84">
        <f t="shared" si="31"/>
        <v>0</v>
      </c>
      <c r="J63" s="84">
        <f t="shared" si="32"/>
        <v>0</v>
      </c>
      <c r="K63" s="145">
        <f t="shared" si="41"/>
        <v>0</v>
      </c>
      <c r="L63" s="85">
        <f t="shared" si="34"/>
        <v>0</v>
      </c>
      <c r="M63" s="85">
        <f t="shared" si="35"/>
        <v>0</v>
      </c>
      <c r="N63" s="85">
        <f t="shared" si="36"/>
        <v>0</v>
      </c>
      <c r="O63" s="85">
        <f t="shared" si="37"/>
        <v>0</v>
      </c>
      <c r="P63" s="85">
        <f t="shared" si="42"/>
        <v>0</v>
      </c>
      <c r="Q63" s="86" t="str">
        <f t="shared" si="38"/>
        <v/>
      </c>
      <c r="R63" s="102" t="str">
        <f t="shared" si="39"/>
        <v/>
      </c>
    </row>
    <row r="64" spans="1:18" s="82" customFormat="1">
      <c r="A64" s="303" t="str">
        <f t="shared" si="40"/>
        <v/>
      </c>
      <c r="B64" s="212">
        <f t="shared" si="40"/>
        <v>0</v>
      </c>
      <c r="C64" s="211">
        <f t="shared" si="40"/>
        <v>0</v>
      </c>
      <c r="D64" s="97" t="s">
        <v>11</v>
      </c>
      <c r="E64" s="97"/>
      <c r="F64" s="304">
        <f t="shared" si="30"/>
        <v>0</v>
      </c>
      <c r="G64" s="305">
        <v>0</v>
      </c>
      <c r="H64" s="83">
        <f>'Direct Labor Rate Schedule'!H21</f>
        <v>0</v>
      </c>
      <c r="I64" s="84">
        <f t="shared" si="31"/>
        <v>0</v>
      </c>
      <c r="J64" s="84">
        <f t="shared" si="32"/>
        <v>0</v>
      </c>
      <c r="K64" s="145">
        <f t="shared" si="41"/>
        <v>0</v>
      </c>
      <c r="L64" s="85">
        <f t="shared" si="34"/>
        <v>0</v>
      </c>
      <c r="M64" s="85">
        <f t="shared" si="35"/>
        <v>0</v>
      </c>
      <c r="N64" s="85">
        <f t="shared" si="36"/>
        <v>0</v>
      </c>
      <c r="O64" s="85">
        <f t="shared" si="37"/>
        <v>0</v>
      </c>
      <c r="P64" s="85">
        <f t="shared" si="42"/>
        <v>0</v>
      </c>
      <c r="Q64" s="86" t="str">
        <f t="shared" si="38"/>
        <v/>
      </c>
      <c r="R64" s="102" t="str">
        <f t="shared" si="39"/>
        <v/>
      </c>
    </row>
    <row r="65" spans="1:18" s="82" customFormat="1" ht="13.5" thickBot="1">
      <c r="A65" s="303" t="str">
        <f t="shared" si="40"/>
        <v/>
      </c>
      <c r="B65" s="212">
        <f t="shared" si="40"/>
        <v>0</v>
      </c>
      <c r="C65" s="211">
        <f t="shared" si="40"/>
        <v>0</v>
      </c>
      <c r="D65" s="97" t="s">
        <v>11</v>
      </c>
      <c r="E65" s="97"/>
      <c r="F65" s="304">
        <f t="shared" si="30"/>
        <v>0</v>
      </c>
      <c r="G65" s="305">
        <v>0</v>
      </c>
      <c r="H65" s="83">
        <f>'Direct Labor Rate Schedule'!H22</f>
        <v>0</v>
      </c>
      <c r="I65" s="84">
        <f t="shared" si="31"/>
        <v>0</v>
      </c>
      <c r="J65" s="84">
        <f t="shared" si="32"/>
        <v>0</v>
      </c>
      <c r="K65" s="145">
        <f t="shared" si="41"/>
        <v>0</v>
      </c>
      <c r="L65" s="85">
        <f t="shared" si="34"/>
        <v>0</v>
      </c>
      <c r="M65" s="85">
        <f t="shared" si="35"/>
        <v>0</v>
      </c>
      <c r="N65" s="85">
        <f t="shared" si="36"/>
        <v>0</v>
      </c>
      <c r="O65" s="85">
        <f t="shared" si="37"/>
        <v>0</v>
      </c>
      <c r="P65" s="85">
        <f t="shared" si="42"/>
        <v>0</v>
      </c>
      <c r="Q65" s="86" t="str">
        <f t="shared" si="38"/>
        <v/>
      </c>
      <c r="R65" s="102" t="str">
        <f t="shared" si="39"/>
        <v/>
      </c>
    </row>
    <row r="66" spans="1:18" s="82" customFormat="1" ht="14.25" thickTop="1" thickBot="1">
      <c r="A66" s="360" t="s">
        <v>85</v>
      </c>
      <c r="B66" s="361"/>
      <c r="C66" s="361"/>
      <c r="D66" s="361"/>
      <c r="E66" s="362"/>
      <c r="F66" s="146">
        <f>SUM(F54:F65)</f>
        <v>15.666666666666666</v>
      </c>
      <c r="G66" s="146">
        <f>SUM(G54:G65)</f>
        <v>30080</v>
      </c>
      <c r="H66" s="108">
        <f>SUMPRODUCT(H54:H65,$G54:$G65)</f>
        <v>0</v>
      </c>
      <c r="I66" s="108">
        <f>SUMPRODUCT(I54:I65,$G54:$G65)</f>
        <v>0</v>
      </c>
      <c r="J66" s="108">
        <f>SUMPRODUCT(J54:J65,$G54:$G65)</f>
        <v>0</v>
      </c>
      <c r="K66" s="108">
        <f>SUMPRODUCT(K54:K65,$G54:$G65)</f>
        <v>0</v>
      </c>
      <c r="L66" s="108">
        <f>SUM(L54:L65)</f>
        <v>0</v>
      </c>
      <c r="M66" s="108">
        <f>SUM(M54:M65)</f>
        <v>0</v>
      </c>
      <c r="N66" s="108">
        <f>SUM(N54:N65)</f>
        <v>0</v>
      </c>
      <c r="O66" s="108">
        <f>SUM(O54:O65)</f>
        <v>0</v>
      </c>
      <c r="P66" s="108">
        <f>SUM(P54:P65)</f>
        <v>0</v>
      </c>
      <c r="Q66" s="108">
        <f>SUMPRODUCT(Q54:Q65,$G54:$G65)</f>
        <v>0</v>
      </c>
      <c r="R66" s="109"/>
    </row>
    <row r="67" spans="1:18" s="82" customFormat="1" ht="14.25" thickTop="1" thickBot="1">
      <c r="A67" s="360" t="s">
        <v>86</v>
      </c>
      <c r="B67" s="361"/>
      <c r="C67" s="361"/>
      <c r="D67" s="361"/>
      <c r="E67" s="362"/>
      <c r="F67" s="116"/>
      <c r="G67" s="173">
        <f>G66/SUM(F54:F65)</f>
        <v>1920</v>
      </c>
      <c r="H67" s="110">
        <f>H66/$G66</f>
        <v>0</v>
      </c>
      <c r="I67" s="110">
        <f t="shared" ref="I67:J67" si="43">I66/$G66</f>
        <v>0</v>
      </c>
      <c r="J67" s="110">
        <f t="shared" si="43"/>
        <v>0</v>
      </c>
      <c r="K67" s="110">
        <f>K66/$G66</f>
        <v>0</v>
      </c>
      <c r="L67" s="110">
        <f>L66/$G66</f>
        <v>0</v>
      </c>
      <c r="M67" s="110">
        <f t="shared" ref="M67:P67" si="44">M66/$G66</f>
        <v>0</v>
      </c>
      <c r="N67" s="110">
        <f t="shared" si="44"/>
        <v>0</v>
      </c>
      <c r="O67" s="110">
        <f t="shared" si="44"/>
        <v>0</v>
      </c>
      <c r="P67" s="110">
        <f t="shared" si="44"/>
        <v>0</v>
      </c>
      <c r="Q67" s="110">
        <f>Q66/$G66</f>
        <v>0</v>
      </c>
      <c r="R67" s="115" t="e">
        <f>Q67/H67</f>
        <v>#DIV/0!</v>
      </c>
    </row>
    <row r="68" spans="1:18" s="82" customFormat="1" ht="13.5" thickTop="1">
      <c r="C68" s="16"/>
      <c r="D68" s="17"/>
      <c r="E68" s="9"/>
      <c r="F68" s="10"/>
      <c r="G68" s="10"/>
      <c r="H68" s="10"/>
      <c r="I68" s="9"/>
      <c r="J68" s="9"/>
      <c r="K68" s="14"/>
      <c r="L68" s="12"/>
      <c r="M68" s="12"/>
      <c r="N68" s="12"/>
      <c r="O68" s="12"/>
      <c r="P68" s="12"/>
      <c r="Q68" s="12"/>
    </row>
    <row r="69" spans="1:18">
      <c r="C69" s="23"/>
      <c r="D69" s="24"/>
      <c r="E69" s="18"/>
      <c r="F69" s="19"/>
      <c r="G69" s="356" t="s">
        <v>28</v>
      </c>
      <c r="H69" s="363"/>
      <c r="I69" s="366" t="s">
        <v>29</v>
      </c>
      <c r="J69" s="366"/>
      <c r="K69" s="367"/>
      <c r="L69" s="367"/>
      <c r="M69" s="367"/>
      <c r="N69" s="20"/>
      <c r="O69" s="21"/>
      <c r="P69" s="22"/>
      <c r="Q69" s="22"/>
    </row>
    <row r="70" spans="1:18">
      <c r="C70" s="35" t="s">
        <v>259</v>
      </c>
      <c r="D70" s="25"/>
      <c r="E70" s="26"/>
      <c r="F70" s="27"/>
      <c r="G70" s="364"/>
      <c r="H70" s="365"/>
      <c r="I70" s="91">
        <f>'Indirect Rate Summary'!C24</f>
        <v>0</v>
      </c>
      <c r="J70" s="91">
        <f>'Indirect Rate Summary'!D24</f>
        <v>0</v>
      </c>
      <c r="K70" s="28"/>
      <c r="L70" s="29"/>
      <c r="M70" s="95">
        <f>'Indirect Rate Summary'!E24</f>
        <v>0</v>
      </c>
      <c r="N70" s="30"/>
      <c r="O70" s="333">
        <f>'Indirect Rate Summary'!F24</f>
        <v>0</v>
      </c>
      <c r="P70" s="22"/>
      <c r="Q70" s="22"/>
    </row>
    <row r="71" spans="1:18" s="144" customFormat="1" ht="89.25">
      <c r="A71" s="79" t="str">
        <f t="shared" ref="A71:R72" si="45">+A51</f>
        <v>Location (Note 1)</v>
      </c>
      <c r="B71" s="79" t="str">
        <f t="shared" si="45"/>
        <v>Labor Type (Note 2)</v>
      </c>
      <c r="C71" s="79" t="str">
        <f t="shared" si="45"/>
        <v>Labor Categories (Note 3)</v>
      </c>
      <c r="D71" s="79" t="str">
        <f t="shared" si="45"/>
        <v>Effort To Be Performed By The Prime (P) or Subcontractor (S) (Note 4)</v>
      </c>
      <c r="E71" s="79" t="str">
        <f t="shared" si="45"/>
        <v>If Column D=S, Enter Name of Subcontractor(s) (Note 5)</v>
      </c>
      <c r="F71" s="80" t="str">
        <f t="shared" si="45"/>
        <v>FTEs (Note 6)</v>
      </c>
      <c r="G71" s="141" t="str">
        <f t="shared" si="45"/>
        <v>Total Productive Hours (Note 7)</v>
      </c>
      <c r="H71" s="142" t="str">
        <f t="shared" si="45"/>
        <v>Hourly Base Pay Rate (Note 8)</v>
      </c>
      <c r="I71" s="81" t="str">
        <f t="shared" si="45"/>
        <v>Fringe (Note 9)</v>
      </c>
      <c r="J71" s="81" t="str">
        <f t="shared" si="45"/>
        <v>Overhead (Note 10)</v>
      </c>
      <c r="K71" s="81" t="str">
        <f t="shared" si="45"/>
        <v xml:space="preserve"> Prime/Sub Hourly Rate Before Application Of  Prime G&amp;A &amp; Fee (IF Col C=S Enter Sub Rate) (Note 11)</v>
      </c>
      <c r="L71" s="81" t="str">
        <f t="shared" si="45"/>
        <v>Total Prime &amp; Sub Labor Before Prime G&amp;A &amp; Fee</v>
      </c>
      <c r="M71" s="81" t="str">
        <f t="shared" si="45"/>
        <v>G&amp;A (Note 12)</v>
      </c>
      <c r="N71" s="81" t="str">
        <f t="shared" si="45"/>
        <v>Total Cost</v>
      </c>
      <c r="O71" s="81" t="str">
        <f t="shared" si="45"/>
        <v>Fee</v>
      </c>
      <c r="P71" s="81" t="str">
        <f t="shared" si="45"/>
        <v>Total Price</v>
      </c>
      <c r="Q71" s="81" t="str">
        <f t="shared" si="45"/>
        <v xml:space="preserve">Proposal Fully Burdened Hourly Billing Rate </v>
      </c>
      <c r="R71" s="81" t="str">
        <f t="shared" si="45"/>
        <v>Wrap Rate</v>
      </c>
    </row>
    <row r="72" spans="1:18" ht="13.5" thickBot="1">
      <c r="A72" s="31" t="str">
        <f t="shared" si="45"/>
        <v>a</v>
      </c>
      <c r="B72" s="31" t="str">
        <f t="shared" si="45"/>
        <v>b</v>
      </c>
      <c r="C72" s="31" t="str">
        <f t="shared" si="45"/>
        <v>c</v>
      </c>
      <c r="D72" s="31" t="str">
        <f t="shared" si="45"/>
        <v>d</v>
      </c>
      <c r="E72" s="31" t="str">
        <f t="shared" si="45"/>
        <v>e</v>
      </c>
      <c r="F72" s="31" t="str">
        <f t="shared" si="45"/>
        <v>f</v>
      </c>
      <c r="G72" s="36" t="str">
        <f t="shared" si="45"/>
        <v>g</v>
      </c>
      <c r="H72" s="31" t="str">
        <f t="shared" si="45"/>
        <v>h</v>
      </c>
      <c r="I72" s="32" t="str">
        <f t="shared" si="45"/>
        <v>i</v>
      </c>
      <c r="J72" s="32" t="str">
        <f t="shared" si="45"/>
        <v>j</v>
      </c>
      <c r="K72" s="32" t="str">
        <f t="shared" si="45"/>
        <v>k = h + i + j</v>
      </c>
      <c r="L72" s="32" t="str">
        <f t="shared" si="45"/>
        <v>l = g x k</v>
      </c>
      <c r="M72" s="32" t="str">
        <f t="shared" si="45"/>
        <v>m</v>
      </c>
      <c r="N72" s="32" t="str">
        <f t="shared" si="45"/>
        <v>n = l + o</v>
      </c>
      <c r="O72" s="32" t="str">
        <f t="shared" si="45"/>
        <v>o</v>
      </c>
      <c r="P72" s="32" t="str">
        <f t="shared" si="45"/>
        <v>p = n + o</v>
      </c>
      <c r="Q72" s="32" t="str">
        <f t="shared" si="45"/>
        <v>q = p/g</v>
      </c>
      <c r="R72" s="32" t="str">
        <f t="shared" si="45"/>
        <v>r = q/h</v>
      </c>
    </row>
    <row r="73" spans="1:18" s="82" customFormat="1">
      <c r="A73" s="168" t="str">
        <f>IF('Direct Labor Rate Schedule'!$A$10="","",'Direct Labor Rate Schedule'!$A$10)</f>
        <v/>
      </c>
      <c r="B73" s="196"/>
      <c r="C73" s="167"/>
      <c r="D73" s="159"/>
      <c r="E73" s="159"/>
      <c r="F73" s="160"/>
      <c r="G73" s="161"/>
      <c r="H73" s="162"/>
      <c r="I73" s="163"/>
      <c r="J73" s="163"/>
      <c r="K73" s="163"/>
      <c r="L73" s="164"/>
      <c r="M73" s="164"/>
      <c r="N73" s="164"/>
      <c r="O73" s="164"/>
      <c r="P73" s="164"/>
      <c r="Q73" s="165"/>
      <c r="R73" s="166"/>
    </row>
    <row r="74" spans="1:18">
      <c r="A74" s="303" t="str">
        <f>A54</f>
        <v/>
      </c>
      <c r="B74" s="212">
        <f>B54</f>
        <v>0</v>
      </c>
      <c r="C74" s="211" t="str">
        <f>C54</f>
        <v>Program Manager</v>
      </c>
      <c r="D74" s="97" t="s">
        <v>11</v>
      </c>
      <c r="E74" s="97"/>
      <c r="F74" s="304">
        <f t="shared" ref="F74:F85" si="46">G74/AnnualProductiveHours</f>
        <v>0</v>
      </c>
      <c r="G74" s="305">
        <v>0</v>
      </c>
      <c r="H74" s="83">
        <f>'Direct Labor Rate Schedule'!J11</f>
        <v>0</v>
      </c>
      <c r="I74" s="84">
        <f t="shared" ref="I74:I85" si="47">ROUND((+H74*$I$70),2)</f>
        <v>0</v>
      </c>
      <c r="J74" s="84">
        <f t="shared" ref="J74:J85" si="48">ROUND((+H74*$J$70),2)</f>
        <v>0</v>
      </c>
      <c r="K74" s="145">
        <f t="shared" ref="K74" si="49">+H74+SUM(I74:J74)</f>
        <v>0</v>
      </c>
      <c r="L74" s="85">
        <f t="shared" ref="L74:L85" si="50">ROUND((+G74*K74),2)</f>
        <v>0</v>
      </c>
      <c r="M74" s="85">
        <f t="shared" ref="M74:M85" si="51">ROUND((+L74*$M$70),2)</f>
        <v>0</v>
      </c>
      <c r="N74" s="85">
        <f t="shared" ref="N74:N85" si="52">SUM(L74:M74)</f>
        <v>0</v>
      </c>
      <c r="O74" s="85">
        <f t="shared" ref="O74:O85" si="53">ROUND((+N74*$O$70),2)</f>
        <v>0</v>
      </c>
      <c r="P74" s="85">
        <f t="shared" ref="P74:P85" si="54">SUM(N74:O74)</f>
        <v>0</v>
      </c>
      <c r="Q74" s="86" t="str">
        <f t="shared" ref="Q74:Q85" si="55">IFERROR((+P74/G74),"")</f>
        <v/>
      </c>
      <c r="R74" s="102" t="str">
        <f t="shared" ref="R74:R85" si="56">IFERROR(Q74/H74-1,"")</f>
        <v/>
      </c>
    </row>
    <row r="75" spans="1:18">
      <c r="A75" s="303" t="str">
        <f t="shared" ref="A75:C85" si="57">A55</f>
        <v/>
      </c>
      <c r="B75" s="212">
        <f t="shared" si="57"/>
        <v>0</v>
      </c>
      <c r="C75" s="211" t="str">
        <f t="shared" si="57"/>
        <v>Senior Analyst</v>
      </c>
      <c r="D75" s="97" t="s">
        <v>11</v>
      </c>
      <c r="E75" s="97"/>
      <c r="F75" s="304">
        <f t="shared" si="46"/>
        <v>11.75</v>
      </c>
      <c r="G75" s="305">
        <v>22560</v>
      </c>
      <c r="H75" s="83">
        <f>'Direct Labor Rate Schedule'!J12</f>
        <v>0</v>
      </c>
      <c r="I75" s="84">
        <f t="shared" si="47"/>
        <v>0</v>
      </c>
      <c r="J75" s="84">
        <f t="shared" si="48"/>
        <v>0</v>
      </c>
      <c r="K75" s="145">
        <f t="shared" ref="K75:K85" si="58">+H75+SUM(I75:J75)</f>
        <v>0</v>
      </c>
      <c r="L75" s="85">
        <f t="shared" si="50"/>
        <v>0</v>
      </c>
      <c r="M75" s="85">
        <f t="shared" si="51"/>
        <v>0</v>
      </c>
      <c r="N75" s="85">
        <f t="shared" si="52"/>
        <v>0</v>
      </c>
      <c r="O75" s="85">
        <f t="shared" si="53"/>
        <v>0</v>
      </c>
      <c r="P75" s="85">
        <f t="shared" si="54"/>
        <v>0</v>
      </c>
      <c r="Q75" s="86">
        <f t="shared" si="55"/>
        <v>0</v>
      </c>
      <c r="R75" s="102" t="str">
        <f t="shared" si="56"/>
        <v/>
      </c>
    </row>
    <row r="76" spans="1:18">
      <c r="A76" s="303" t="str">
        <f t="shared" si="57"/>
        <v/>
      </c>
      <c r="B76" s="212">
        <f t="shared" si="57"/>
        <v>0</v>
      </c>
      <c r="C76" s="211" t="str">
        <f t="shared" si="57"/>
        <v>Analyst</v>
      </c>
      <c r="D76" s="97" t="s">
        <v>11</v>
      </c>
      <c r="E76" s="97"/>
      <c r="F76" s="304">
        <f t="shared" si="46"/>
        <v>0</v>
      </c>
      <c r="G76" s="305">
        <v>0</v>
      </c>
      <c r="H76" s="83">
        <f>'Direct Labor Rate Schedule'!J13</f>
        <v>0</v>
      </c>
      <c r="I76" s="84">
        <f t="shared" si="47"/>
        <v>0</v>
      </c>
      <c r="J76" s="84">
        <f t="shared" si="48"/>
        <v>0</v>
      </c>
      <c r="K76" s="145">
        <f t="shared" si="58"/>
        <v>0</v>
      </c>
      <c r="L76" s="85">
        <f t="shared" si="50"/>
        <v>0</v>
      </c>
      <c r="M76" s="85">
        <f t="shared" si="51"/>
        <v>0</v>
      </c>
      <c r="N76" s="85">
        <f t="shared" si="52"/>
        <v>0</v>
      </c>
      <c r="O76" s="85">
        <f t="shared" si="53"/>
        <v>0</v>
      </c>
      <c r="P76" s="85">
        <f t="shared" si="54"/>
        <v>0</v>
      </c>
      <c r="Q76" s="86" t="str">
        <f t="shared" si="55"/>
        <v/>
      </c>
      <c r="R76" s="102" t="str">
        <f t="shared" si="56"/>
        <v/>
      </c>
    </row>
    <row r="77" spans="1:18">
      <c r="A77" s="303" t="str">
        <f t="shared" si="57"/>
        <v/>
      </c>
      <c r="B77" s="212">
        <f t="shared" si="57"/>
        <v>0</v>
      </c>
      <c r="C77" s="211" t="str">
        <f t="shared" si="57"/>
        <v>Junior Analyst</v>
      </c>
      <c r="D77" s="97" t="s">
        <v>11</v>
      </c>
      <c r="E77" s="97"/>
      <c r="F77" s="304">
        <f t="shared" si="46"/>
        <v>0</v>
      </c>
      <c r="G77" s="305">
        <v>0</v>
      </c>
      <c r="H77" s="83">
        <f>'Direct Labor Rate Schedule'!J14</f>
        <v>0</v>
      </c>
      <c r="I77" s="84">
        <f t="shared" si="47"/>
        <v>0</v>
      </c>
      <c r="J77" s="84">
        <f t="shared" si="48"/>
        <v>0</v>
      </c>
      <c r="K77" s="145">
        <f t="shared" si="58"/>
        <v>0</v>
      </c>
      <c r="L77" s="85">
        <f t="shared" si="50"/>
        <v>0</v>
      </c>
      <c r="M77" s="85">
        <f t="shared" si="51"/>
        <v>0</v>
      </c>
      <c r="N77" s="85">
        <f t="shared" si="52"/>
        <v>0</v>
      </c>
      <c r="O77" s="85">
        <f t="shared" si="53"/>
        <v>0</v>
      </c>
      <c r="P77" s="85">
        <f t="shared" si="54"/>
        <v>0</v>
      </c>
      <c r="Q77" s="86" t="str">
        <f t="shared" si="55"/>
        <v/>
      </c>
      <c r="R77" s="102" t="str">
        <f t="shared" si="56"/>
        <v/>
      </c>
    </row>
    <row r="78" spans="1:18">
      <c r="A78" s="303" t="str">
        <f t="shared" si="57"/>
        <v/>
      </c>
      <c r="B78" s="212">
        <f t="shared" si="57"/>
        <v>0</v>
      </c>
      <c r="C78" s="211" t="str">
        <f t="shared" si="57"/>
        <v>Senior Operations Research Analyst</v>
      </c>
      <c r="D78" s="97" t="s">
        <v>11</v>
      </c>
      <c r="E78" s="97"/>
      <c r="F78" s="304">
        <f t="shared" si="46"/>
        <v>5.875</v>
      </c>
      <c r="G78" s="305">
        <v>11280</v>
      </c>
      <c r="H78" s="83">
        <f>'Direct Labor Rate Schedule'!J15</f>
        <v>0</v>
      </c>
      <c r="I78" s="84">
        <f t="shared" si="47"/>
        <v>0</v>
      </c>
      <c r="J78" s="84">
        <f t="shared" si="48"/>
        <v>0</v>
      </c>
      <c r="K78" s="145">
        <f t="shared" si="58"/>
        <v>0</v>
      </c>
      <c r="L78" s="85">
        <f t="shared" si="50"/>
        <v>0</v>
      </c>
      <c r="M78" s="85">
        <f t="shared" si="51"/>
        <v>0</v>
      </c>
      <c r="N78" s="85">
        <f t="shared" si="52"/>
        <v>0</v>
      </c>
      <c r="O78" s="85">
        <f t="shared" si="53"/>
        <v>0</v>
      </c>
      <c r="P78" s="85">
        <f t="shared" si="54"/>
        <v>0</v>
      </c>
      <c r="Q78" s="86">
        <f t="shared" si="55"/>
        <v>0</v>
      </c>
      <c r="R78" s="102" t="str">
        <f t="shared" si="56"/>
        <v/>
      </c>
    </row>
    <row r="79" spans="1:18">
      <c r="A79" s="303" t="str">
        <f t="shared" si="57"/>
        <v/>
      </c>
      <c r="B79" s="212">
        <f t="shared" si="57"/>
        <v>0</v>
      </c>
      <c r="C79" s="211" t="str">
        <f t="shared" si="57"/>
        <v>Operations Research Analyst</v>
      </c>
      <c r="D79" s="97" t="s">
        <v>11</v>
      </c>
      <c r="E79" s="97"/>
      <c r="F79" s="304">
        <f t="shared" si="46"/>
        <v>2.9375</v>
      </c>
      <c r="G79" s="305">
        <v>5640</v>
      </c>
      <c r="H79" s="83">
        <f>'Direct Labor Rate Schedule'!J16</f>
        <v>0</v>
      </c>
      <c r="I79" s="84">
        <f t="shared" si="47"/>
        <v>0</v>
      </c>
      <c r="J79" s="84">
        <f t="shared" si="48"/>
        <v>0</v>
      </c>
      <c r="K79" s="145">
        <f t="shared" si="58"/>
        <v>0</v>
      </c>
      <c r="L79" s="85">
        <f t="shared" si="50"/>
        <v>0</v>
      </c>
      <c r="M79" s="85">
        <f t="shared" si="51"/>
        <v>0</v>
      </c>
      <c r="N79" s="85">
        <f t="shared" si="52"/>
        <v>0</v>
      </c>
      <c r="O79" s="85">
        <f t="shared" si="53"/>
        <v>0</v>
      </c>
      <c r="P79" s="85">
        <f t="shared" si="54"/>
        <v>0</v>
      </c>
      <c r="Q79" s="86">
        <f t="shared" si="55"/>
        <v>0</v>
      </c>
      <c r="R79" s="102" t="str">
        <f t="shared" si="56"/>
        <v/>
      </c>
    </row>
    <row r="80" spans="1:18">
      <c r="A80" s="303" t="str">
        <f t="shared" si="57"/>
        <v/>
      </c>
      <c r="B80" s="212">
        <f t="shared" si="57"/>
        <v>0</v>
      </c>
      <c r="C80" s="211" t="str">
        <f t="shared" si="57"/>
        <v>Graphics Design Senior Analyst</v>
      </c>
      <c r="D80" s="97" t="s">
        <v>11</v>
      </c>
      <c r="E80" s="97"/>
      <c r="F80" s="304">
        <f t="shared" si="46"/>
        <v>0</v>
      </c>
      <c r="G80" s="305">
        <v>0</v>
      </c>
      <c r="H80" s="83">
        <f>'Direct Labor Rate Schedule'!J17</f>
        <v>0</v>
      </c>
      <c r="I80" s="84">
        <f t="shared" si="47"/>
        <v>0</v>
      </c>
      <c r="J80" s="84">
        <f t="shared" si="48"/>
        <v>0</v>
      </c>
      <c r="K80" s="145">
        <f t="shared" si="58"/>
        <v>0</v>
      </c>
      <c r="L80" s="85">
        <f t="shared" si="50"/>
        <v>0</v>
      </c>
      <c r="M80" s="85">
        <f t="shared" si="51"/>
        <v>0</v>
      </c>
      <c r="N80" s="85">
        <f t="shared" si="52"/>
        <v>0</v>
      </c>
      <c r="O80" s="85">
        <f t="shared" si="53"/>
        <v>0</v>
      </c>
      <c r="P80" s="85">
        <f t="shared" si="54"/>
        <v>0</v>
      </c>
      <c r="Q80" s="86" t="str">
        <f t="shared" si="55"/>
        <v/>
      </c>
      <c r="R80" s="102" t="str">
        <f t="shared" si="56"/>
        <v/>
      </c>
    </row>
    <row r="81" spans="1:18">
      <c r="A81" s="303" t="str">
        <f t="shared" si="57"/>
        <v/>
      </c>
      <c r="B81" s="212">
        <f t="shared" si="57"/>
        <v>0</v>
      </c>
      <c r="C81" s="211" t="str">
        <f t="shared" si="57"/>
        <v>Force Documentation Senior Analyst</v>
      </c>
      <c r="D81" s="97" t="s">
        <v>11</v>
      </c>
      <c r="E81" s="97"/>
      <c r="F81" s="304">
        <f t="shared" si="46"/>
        <v>0</v>
      </c>
      <c r="G81" s="305">
        <v>0</v>
      </c>
      <c r="H81" s="83">
        <f>'Direct Labor Rate Schedule'!J18</f>
        <v>0</v>
      </c>
      <c r="I81" s="84">
        <f t="shared" si="47"/>
        <v>0</v>
      </c>
      <c r="J81" s="84">
        <f t="shared" si="48"/>
        <v>0</v>
      </c>
      <c r="K81" s="145">
        <f t="shared" si="58"/>
        <v>0</v>
      </c>
      <c r="L81" s="85">
        <f t="shared" si="50"/>
        <v>0</v>
      </c>
      <c r="M81" s="85">
        <f t="shared" si="51"/>
        <v>0</v>
      </c>
      <c r="N81" s="85">
        <f t="shared" si="52"/>
        <v>0</v>
      </c>
      <c r="O81" s="85">
        <f t="shared" si="53"/>
        <v>0</v>
      </c>
      <c r="P81" s="85">
        <f t="shared" si="54"/>
        <v>0</v>
      </c>
      <c r="Q81" s="86" t="str">
        <f t="shared" si="55"/>
        <v/>
      </c>
      <c r="R81" s="102" t="str">
        <f t="shared" si="56"/>
        <v/>
      </c>
    </row>
    <row r="82" spans="1:18">
      <c r="A82" s="303" t="str">
        <f t="shared" si="57"/>
        <v/>
      </c>
      <c r="B82" s="212">
        <f t="shared" si="57"/>
        <v>0</v>
      </c>
      <c r="C82" s="211">
        <f t="shared" si="57"/>
        <v>0</v>
      </c>
      <c r="D82" s="97" t="s">
        <v>11</v>
      </c>
      <c r="E82" s="97"/>
      <c r="F82" s="304">
        <f t="shared" si="46"/>
        <v>0</v>
      </c>
      <c r="G82" s="305">
        <v>0</v>
      </c>
      <c r="H82" s="83">
        <f>'Direct Labor Rate Schedule'!J19</f>
        <v>0</v>
      </c>
      <c r="I82" s="84">
        <f t="shared" si="47"/>
        <v>0</v>
      </c>
      <c r="J82" s="84">
        <f t="shared" si="48"/>
        <v>0</v>
      </c>
      <c r="K82" s="145">
        <f t="shared" si="58"/>
        <v>0</v>
      </c>
      <c r="L82" s="85">
        <f t="shared" si="50"/>
        <v>0</v>
      </c>
      <c r="M82" s="85">
        <f t="shared" si="51"/>
        <v>0</v>
      </c>
      <c r="N82" s="85">
        <f t="shared" si="52"/>
        <v>0</v>
      </c>
      <c r="O82" s="85">
        <f t="shared" si="53"/>
        <v>0</v>
      </c>
      <c r="P82" s="85">
        <f t="shared" si="54"/>
        <v>0</v>
      </c>
      <c r="Q82" s="86" t="str">
        <f t="shared" si="55"/>
        <v/>
      </c>
      <c r="R82" s="102" t="str">
        <f t="shared" si="56"/>
        <v/>
      </c>
    </row>
    <row r="83" spans="1:18">
      <c r="A83" s="303" t="str">
        <f t="shared" si="57"/>
        <v/>
      </c>
      <c r="B83" s="212">
        <f t="shared" si="57"/>
        <v>0</v>
      </c>
      <c r="C83" s="211">
        <f t="shared" si="57"/>
        <v>0</v>
      </c>
      <c r="D83" s="97" t="s">
        <v>11</v>
      </c>
      <c r="E83" s="97"/>
      <c r="F83" s="304">
        <f t="shared" si="46"/>
        <v>0</v>
      </c>
      <c r="G83" s="305">
        <v>0</v>
      </c>
      <c r="H83" s="83">
        <f>'Direct Labor Rate Schedule'!J20</f>
        <v>0</v>
      </c>
      <c r="I83" s="84">
        <f t="shared" si="47"/>
        <v>0</v>
      </c>
      <c r="J83" s="84">
        <f t="shared" si="48"/>
        <v>0</v>
      </c>
      <c r="K83" s="145">
        <f t="shared" si="58"/>
        <v>0</v>
      </c>
      <c r="L83" s="85">
        <f t="shared" si="50"/>
        <v>0</v>
      </c>
      <c r="M83" s="85">
        <f t="shared" si="51"/>
        <v>0</v>
      </c>
      <c r="N83" s="85">
        <f t="shared" si="52"/>
        <v>0</v>
      </c>
      <c r="O83" s="85">
        <f t="shared" si="53"/>
        <v>0</v>
      </c>
      <c r="P83" s="85">
        <f t="shared" si="54"/>
        <v>0</v>
      </c>
      <c r="Q83" s="86" t="str">
        <f t="shared" si="55"/>
        <v/>
      </c>
      <c r="R83" s="102" t="str">
        <f t="shared" si="56"/>
        <v/>
      </c>
    </row>
    <row r="84" spans="1:18">
      <c r="A84" s="303" t="str">
        <f t="shared" si="57"/>
        <v/>
      </c>
      <c r="B84" s="212">
        <f t="shared" si="57"/>
        <v>0</v>
      </c>
      <c r="C84" s="211">
        <f t="shared" si="57"/>
        <v>0</v>
      </c>
      <c r="D84" s="97" t="s">
        <v>11</v>
      </c>
      <c r="E84" s="97"/>
      <c r="F84" s="304">
        <f t="shared" si="46"/>
        <v>0</v>
      </c>
      <c r="G84" s="305">
        <v>0</v>
      </c>
      <c r="H84" s="83">
        <f>'Direct Labor Rate Schedule'!J21</f>
        <v>0</v>
      </c>
      <c r="I84" s="84">
        <f t="shared" si="47"/>
        <v>0</v>
      </c>
      <c r="J84" s="84">
        <f t="shared" si="48"/>
        <v>0</v>
      </c>
      <c r="K84" s="145">
        <f t="shared" si="58"/>
        <v>0</v>
      </c>
      <c r="L84" s="85">
        <f t="shared" si="50"/>
        <v>0</v>
      </c>
      <c r="M84" s="85">
        <f t="shared" si="51"/>
        <v>0</v>
      </c>
      <c r="N84" s="85">
        <f t="shared" si="52"/>
        <v>0</v>
      </c>
      <c r="O84" s="85">
        <f t="shared" si="53"/>
        <v>0</v>
      </c>
      <c r="P84" s="85">
        <f t="shared" si="54"/>
        <v>0</v>
      </c>
      <c r="Q84" s="86" t="str">
        <f t="shared" si="55"/>
        <v/>
      </c>
      <c r="R84" s="102" t="str">
        <f t="shared" si="56"/>
        <v/>
      </c>
    </row>
    <row r="85" spans="1:18" ht="13.5" thickBot="1">
      <c r="A85" s="303" t="str">
        <f t="shared" si="57"/>
        <v/>
      </c>
      <c r="B85" s="212">
        <f t="shared" si="57"/>
        <v>0</v>
      </c>
      <c r="C85" s="211">
        <f t="shared" si="57"/>
        <v>0</v>
      </c>
      <c r="D85" s="97" t="s">
        <v>11</v>
      </c>
      <c r="E85" s="97"/>
      <c r="F85" s="304">
        <f t="shared" si="46"/>
        <v>0</v>
      </c>
      <c r="G85" s="305">
        <v>0</v>
      </c>
      <c r="H85" s="83">
        <f>'Direct Labor Rate Schedule'!J22</f>
        <v>0</v>
      </c>
      <c r="I85" s="84">
        <f t="shared" si="47"/>
        <v>0</v>
      </c>
      <c r="J85" s="84">
        <f t="shared" si="48"/>
        <v>0</v>
      </c>
      <c r="K85" s="145">
        <f t="shared" si="58"/>
        <v>0</v>
      </c>
      <c r="L85" s="85">
        <f t="shared" si="50"/>
        <v>0</v>
      </c>
      <c r="M85" s="85">
        <f t="shared" si="51"/>
        <v>0</v>
      </c>
      <c r="N85" s="85">
        <f t="shared" si="52"/>
        <v>0</v>
      </c>
      <c r="O85" s="85">
        <f t="shared" si="53"/>
        <v>0</v>
      </c>
      <c r="P85" s="85">
        <f t="shared" si="54"/>
        <v>0</v>
      </c>
      <c r="Q85" s="86" t="str">
        <f t="shared" si="55"/>
        <v/>
      </c>
      <c r="R85" s="102" t="str">
        <f t="shared" si="56"/>
        <v/>
      </c>
    </row>
    <row r="86" spans="1:18" s="82" customFormat="1" ht="14.25" thickTop="1" thickBot="1">
      <c r="A86" s="360" t="s">
        <v>85</v>
      </c>
      <c r="B86" s="361"/>
      <c r="C86" s="361"/>
      <c r="D86" s="361"/>
      <c r="E86" s="362"/>
      <c r="F86" s="146">
        <f>SUM(F74:F85)</f>
        <v>20.5625</v>
      </c>
      <c r="G86" s="146">
        <f>SUM(G74:G85)</f>
        <v>39480</v>
      </c>
      <c r="H86" s="108">
        <f>SUMPRODUCT(H74:H85,$G74:$G85)</f>
        <v>0</v>
      </c>
      <c r="I86" s="108">
        <f>SUMPRODUCT(I74:I85,$G74:$G85)</f>
        <v>0</v>
      </c>
      <c r="J86" s="108">
        <f>SUMPRODUCT(J74:J85,$G74:$G85)</f>
        <v>0</v>
      </c>
      <c r="K86" s="108">
        <f>SUMPRODUCT(K74:K85,$G74:$G85)</f>
        <v>0</v>
      </c>
      <c r="L86" s="108">
        <f>SUM(L74:L85)</f>
        <v>0</v>
      </c>
      <c r="M86" s="108">
        <f>SUM(M74:M85)</f>
        <v>0</v>
      </c>
      <c r="N86" s="108">
        <f>SUM(N74:N85)</f>
        <v>0</v>
      </c>
      <c r="O86" s="108">
        <f>SUM(O74:O85)</f>
        <v>0</v>
      </c>
      <c r="P86" s="108">
        <f>SUM(P74:P85)</f>
        <v>0</v>
      </c>
      <c r="Q86" s="108">
        <f>SUMPRODUCT(Q74:Q85,$G74:$G85)</f>
        <v>0</v>
      </c>
      <c r="R86" s="109"/>
    </row>
    <row r="87" spans="1:18" s="82" customFormat="1" ht="14.25" thickTop="1" thickBot="1">
      <c r="A87" s="360" t="s">
        <v>86</v>
      </c>
      <c r="B87" s="361"/>
      <c r="C87" s="361"/>
      <c r="D87" s="361"/>
      <c r="E87" s="362"/>
      <c r="F87" s="116"/>
      <c r="G87" s="173">
        <f>G86/SUM(F74:F85)</f>
        <v>1920</v>
      </c>
      <c r="H87" s="110">
        <f>H86/$G86</f>
        <v>0</v>
      </c>
      <c r="I87" s="110">
        <f t="shared" ref="I87:J87" si="59">I86/$G86</f>
        <v>0</v>
      </c>
      <c r="J87" s="110">
        <f t="shared" si="59"/>
        <v>0</v>
      </c>
      <c r="K87" s="110">
        <f>K86/$G86</f>
        <v>0</v>
      </c>
      <c r="L87" s="110">
        <f>L86/$G86</f>
        <v>0</v>
      </c>
      <c r="M87" s="110">
        <f t="shared" ref="M87:P87" si="60">M86/$G86</f>
        <v>0</v>
      </c>
      <c r="N87" s="110">
        <f t="shared" si="60"/>
        <v>0</v>
      </c>
      <c r="O87" s="110">
        <f t="shared" si="60"/>
        <v>0</v>
      </c>
      <c r="P87" s="110">
        <f t="shared" si="60"/>
        <v>0</v>
      </c>
      <c r="Q87" s="110">
        <f>Q86/$G86</f>
        <v>0</v>
      </c>
      <c r="R87" s="115" t="e">
        <f>Q87/H87</f>
        <v>#DIV/0!</v>
      </c>
    </row>
    <row r="88" spans="1:18" ht="13.5" thickTop="1"/>
    <row r="89" spans="1:18">
      <c r="C89" s="23"/>
      <c r="D89" s="24"/>
      <c r="E89" s="18"/>
      <c r="F89" s="19"/>
      <c r="G89" s="356" t="s">
        <v>28</v>
      </c>
      <c r="H89" s="363"/>
      <c r="I89" s="366" t="s">
        <v>29</v>
      </c>
      <c r="J89" s="366"/>
      <c r="K89" s="367"/>
      <c r="L89" s="367"/>
      <c r="M89" s="367"/>
      <c r="N89" s="20"/>
      <c r="O89" s="21"/>
      <c r="P89" s="22"/>
      <c r="Q89" s="22"/>
    </row>
    <row r="90" spans="1:18">
      <c r="C90" s="35" t="s">
        <v>260</v>
      </c>
      <c r="D90" s="25"/>
      <c r="E90" s="26"/>
      <c r="F90" s="27"/>
      <c r="G90" s="364"/>
      <c r="H90" s="365"/>
      <c r="I90" s="91">
        <f>'Indirect Rate Summary'!C31</f>
        <v>0</v>
      </c>
      <c r="J90" s="28">
        <f>'Indirect Rate Summary'!D31</f>
        <v>0</v>
      </c>
      <c r="K90" s="28"/>
      <c r="L90" s="29"/>
      <c r="M90" s="95">
        <f>'Indirect Rate Summary'!E31</f>
        <v>0</v>
      </c>
      <c r="N90" s="30"/>
      <c r="O90" s="333">
        <f>'Indirect Rate Summary'!F31</f>
        <v>0</v>
      </c>
      <c r="P90" s="22"/>
      <c r="Q90" s="22"/>
    </row>
    <row r="91" spans="1:18" s="144" customFormat="1" ht="89.25">
      <c r="A91" s="79" t="str">
        <f t="shared" ref="A91:R92" si="61">+A71</f>
        <v>Location (Note 1)</v>
      </c>
      <c r="B91" s="79" t="str">
        <f t="shared" si="61"/>
        <v>Labor Type (Note 2)</v>
      </c>
      <c r="C91" s="79" t="str">
        <f t="shared" si="61"/>
        <v>Labor Categories (Note 3)</v>
      </c>
      <c r="D91" s="79" t="str">
        <f t="shared" si="61"/>
        <v>Effort To Be Performed By The Prime (P) or Subcontractor (S) (Note 4)</v>
      </c>
      <c r="E91" s="79" t="str">
        <f t="shared" si="61"/>
        <v>If Column D=S, Enter Name of Subcontractor(s) (Note 5)</v>
      </c>
      <c r="F91" s="80" t="str">
        <f t="shared" si="61"/>
        <v>FTEs (Note 6)</v>
      </c>
      <c r="G91" s="141" t="str">
        <f t="shared" si="61"/>
        <v>Total Productive Hours (Note 7)</v>
      </c>
      <c r="H91" s="142" t="str">
        <f t="shared" si="61"/>
        <v>Hourly Base Pay Rate (Note 8)</v>
      </c>
      <c r="I91" s="81" t="str">
        <f t="shared" si="61"/>
        <v>Fringe (Note 9)</v>
      </c>
      <c r="J91" s="81" t="str">
        <f t="shared" si="61"/>
        <v>Overhead (Note 10)</v>
      </c>
      <c r="K91" s="81" t="str">
        <f t="shared" si="61"/>
        <v xml:space="preserve"> Prime/Sub Hourly Rate Before Application Of  Prime G&amp;A &amp; Fee (IF Col C=S Enter Sub Rate) (Note 11)</v>
      </c>
      <c r="L91" s="81" t="str">
        <f t="shared" si="61"/>
        <v>Total Prime &amp; Sub Labor Before Prime G&amp;A &amp; Fee</v>
      </c>
      <c r="M91" s="81" t="str">
        <f t="shared" si="61"/>
        <v>G&amp;A (Note 12)</v>
      </c>
      <c r="N91" s="81" t="str">
        <f t="shared" si="61"/>
        <v>Total Cost</v>
      </c>
      <c r="O91" s="81" t="str">
        <f t="shared" si="61"/>
        <v>Fee</v>
      </c>
      <c r="P91" s="81" t="str">
        <f t="shared" si="61"/>
        <v>Total Price</v>
      </c>
      <c r="Q91" s="81" t="str">
        <f t="shared" si="61"/>
        <v xml:space="preserve">Proposal Fully Burdened Hourly Billing Rate </v>
      </c>
      <c r="R91" s="81" t="str">
        <f t="shared" si="61"/>
        <v>Wrap Rate</v>
      </c>
    </row>
    <row r="92" spans="1:18" ht="13.5" thickBot="1">
      <c r="A92" s="31" t="str">
        <f t="shared" si="61"/>
        <v>a</v>
      </c>
      <c r="B92" s="31" t="str">
        <f t="shared" si="61"/>
        <v>b</v>
      </c>
      <c r="C92" s="31" t="str">
        <f t="shared" si="61"/>
        <v>c</v>
      </c>
      <c r="D92" s="31" t="str">
        <f t="shared" si="61"/>
        <v>d</v>
      </c>
      <c r="E92" s="31" t="str">
        <f t="shared" si="61"/>
        <v>e</v>
      </c>
      <c r="F92" s="31" t="str">
        <f t="shared" si="61"/>
        <v>f</v>
      </c>
      <c r="G92" s="36" t="str">
        <f t="shared" si="61"/>
        <v>g</v>
      </c>
      <c r="H92" s="31" t="str">
        <f t="shared" si="61"/>
        <v>h</v>
      </c>
      <c r="I92" s="32" t="str">
        <f t="shared" si="61"/>
        <v>i</v>
      </c>
      <c r="J92" s="32" t="str">
        <f t="shared" si="61"/>
        <v>j</v>
      </c>
      <c r="K92" s="32" t="str">
        <f t="shared" si="61"/>
        <v>k = h + i + j</v>
      </c>
      <c r="L92" s="32" t="str">
        <f t="shared" si="61"/>
        <v>l = g x k</v>
      </c>
      <c r="M92" s="32" t="str">
        <f t="shared" si="61"/>
        <v>m</v>
      </c>
      <c r="N92" s="32" t="str">
        <f t="shared" si="61"/>
        <v>n = l + o</v>
      </c>
      <c r="O92" s="32" t="str">
        <f t="shared" si="61"/>
        <v>o</v>
      </c>
      <c r="P92" s="32" t="str">
        <f t="shared" si="61"/>
        <v>p = n + o</v>
      </c>
      <c r="Q92" s="32" t="str">
        <f t="shared" si="61"/>
        <v>q = p/g</v>
      </c>
      <c r="R92" s="32" t="str">
        <f t="shared" si="61"/>
        <v>r = q/h</v>
      </c>
    </row>
    <row r="93" spans="1:18">
      <c r="A93" s="168" t="str">
        <f>IF('Direct Labor Rate Schedule'!$A$10="","",'Direct Labor Rate Schedule'!$A$10)</f>
        <v/>
      </c>
      <c r="B93" s="196"/>
      <c r="C93" s="167"/>
      <c r="D93" s="167"/>
      <c r="E93" s="167"/>
      <c r="F93" s="167"/>
      <c r="G93" s="167"/>
      <c r="H93" s="167"/>
      <c r="I93" s="167"/>
      <c r="J93" s="167"/>
      <c r="K93" s="167"/>
      <c r="L93" s="167"/>
      <c r="M93" s="167"/>
      <c r="N93" s="167"/>
      <c r="O93" s="167"/>
      <c r="P93" s="167"/>
      <c r="Q93" s="167"/>
      <c r="R93" s="171"/>
    </row>
    <row r="94" spans="1:18">
      <c r="A94" s="303" t="str">
        <f>A74</f>
        <v/>
      </c>
      <c r="B94" s="212">
        <f>B74</f>
        <v>0</v>
      </c>
      <c r="C94" s="211" t="str">
        <f>C74</f>
        <v>Program Manager</v>
      </c>
      <c r="D94" s="97" t="s">
        <v>11</v>
      </c>
      <c r="E94" s="97"/>
      <c r="F94" s="304">
        <f t="shared" ref="F94:F105" si="62">G94/AnnualProductiveHours</f>
        <v>0</v>
      </c>
      <c r="G94" s="305">
        <v>0</v>
      </c>
      <c r="H94" s="83">
        <f>'Direct Labor Rate Schedule'!L11</f>
        <v>0</v>
      </c>
      <c r="I94" s="84">
        <f t="shared" ref="I94:I105" si="63">ROUND((+H94*$I$90),2)</f>
        <v>0</v>
      </c>
      <c r="J94" s="84">
        <f t="shared" ref="J94:J105" si="64">ROUND((+H94*$J$90),2)</f>
        <v>0</v>
      </c>
      <c r="K94" s="145">
        <f t="shared" ref="K94" si="65">+H94+SUM(I94:J94)</f>
        <v>0</v>
      </c>
      <c r="L94" s="85">
        <f t="shared" ref="L94:L105" si="66">ROUND((+G94*K94),2)</f>
        <v>0</v>
      </c>
      <c r="M94" s="85">
        <f t="shared" ref="M94:M105" si="67">ROUND((+L94*$M$90),2)</f>
        <v>0</v>
      </c>
      <c r="N94" s="85">
        <f t="shared" ref="N94:N105" si="68">SUM(L94:M94)</f>
        <v>0</v>
      </c>
      <c r="O94" s="85">
        <f t="shared" ref="O94:O105" si="69">ROUND((+N94*$O$90),2)</f>
        <v>0</v>
      </c>
      <c r="P94" s="85">
        <f t="shared" ref="P94:P105" si="70">SUM(N94:O94)</f>
        <v>0</v>
      </c>
      <c r="Q94" s="86" t="str">
        <f t="shared" ref="Q94:Q105" si="71">IFERROR((+P94/G94),"")</f>
        <v/>
      </c>
      <c r="R94" s="102" t="str">
        <f t="shared" ref="R94:R105" si="72">IFERROR(Q94/H94-1,"")</f>
        <v/>
      </c>
    </row>
    <row r="95" spans="1:18">
      <c r="A95" s="303" t="str">
        <f t="shared" ref="A95:C105" si="73">A75</f>
        <v/>
      </c>
      <c r="B95" s="212">
        <f t="shared" si="73"/>
        <v>0</v>
      </c>
      <c r="C95" s="211" t="str">
        <f t="shared" si="73"/>
        <v>Senior Analyst</v>
      </c>
      <c r="D95" s="97" t="s">
        <v>11</v>
      </c>
      <c r="E95" s="97"/>
      <c r="F95" s="304">
        <f t="shared" si="62"/>
        <v>11.75</v>
      </c>
      <c r="G95" s="305">
        <v>22560</v>
      </c>
      <c r="H95" s="83">
        <f>'Direct Labor Rate Schedule'!L12</f>
        <v>0</v>
      </c>
      <c r="I95" s="84">
        <f t="shared" si="63"/>
        <v>0</v>
      </c>
      <c r="J95" s="84">
        <f t="shared" si="64"/>
        <v>0</v>
      </c>
      <c r="K95" s="145">
        <f t="shared" ref="K95:K105" si="74">+H95+SUM(I95:J95)</f>
        <v>0</v>
      </c>
      <c r="L95" s="85">
        <f t="shared" si="66"/>
        <v>0</v>
      </c>
      <c r="M95" s="85">
        <f t="shared" si="67"/>
        <v>0</v>
      </c>
      <c r="N95" s="85">
        <f t="shared" si="68"/>
        <v>0</v>
      </c>
      <c r="O95" s="85">
        <f t="shared" si="69"/>
        <v>0</v>
      </c>
      <c r="P95" s="85">
        <f t="shared" si="70"/>
        <v>0</v>
      </c>
      <c r="Q95" s="86">
        <f t="shared" si="71"/>
        <v>0</v>
      </c>
      <c r="R95" s="102" t="str">
        <f t="shared" si="72"/>
        <v/>
      </c>
    </row>
    <row r="96" spans="1:18">
      <c r="A96" s="303" t="str">
        <f t="shared" si="73"/>
        <v/>
      </c>
      <c r="B96" s="212">
        <f t="shared" si="73"/>
        <v>0</v>
      </c>
      <c r="C96" s="211" t="str">
        <f t="shared" si="73"/>
        <v>Analyst</v>
      </c>
      <c r="D96" s="97" t="s">
        <v>11</v>
      </c>
      <c r="E96" s="97"/>
      <c r="F96" s="304">
        <f t="shared" si="62"/>
        <v>3.9166666666666665</v>
      </c>
      <c r="G96" s="305">
        <v>7520</v>
      </c>
      <c r="H96" s="83">
        <f>'Direct Labor Rate Schedule'!L13</f>
        <v>0</v>
      </c>
      <c r="I96" s="84">
        <f t="shared" si="63"/>
        <v>0</v>
      </c>
      <c r="J96" s="84">
        <f t="shared" si="64"/>
        <v>0</v>
      </c>
      <c r="K96" s="145">
        <f t="shared" si="74"/>
        <v>0</v>
      </c>
      <c r="L96" s="85">
        <f t="shared" si="66"/>
        <v>0</v>
      </c>
      <c r="M96" s="85">
        <f t="shared" si="67"/>
        <v>0</v>
      </c>
      <c r="N96" s="85">
        <f t="shared" si="68"/>
        <v>0</v>
      </c>
      <c r="O96" s="85">
        <f t="shared" si="69"/>
        <v>0</v>
      </c>
      <c r="P96" s="85">
        <f t="shared" si="70"/>
        <v>0</v>
      </c>
      <c r="Q96" s="86">
        <f t="shared" si="71"/>
        <v>0</v>
      </c>
      <c r="R96" s="102" t="str">
        <f t="shared" si="72"/>
        <v/>
      </c>
    </row>
    <row r="97" spans="1:18">
      <c r="A97" s="303" t="str">
        <f t="shared" si="73"/>
        <v/>
      </c>
      <c r="B97" s="212">
        <f t="shared" si="73"/>
        <v>0</v>
      </c>
      <c r="C97" s="211" t="str">
        <f t="shared" si="73"/>
        <v>Junior Analyst</v>
      </c>
      <c r="D97" s="97" t="s">
        <v>11</v>
      </c>
      <c r="E97" s="97"/>
      <c r="F97" s="304">
        <f t="shared" si="62"/>
        <v>0</v>
      </c>
      <c r="G97" s="305">
        <v>0</v>
      </c>
      <c r="H97" s="83">
        <f>'Direct Labor Rate Schedule'!L14</f>
        <v>0</v>
      </c>
      <c r="I97" s="84">
        <f t="shared" si="63"/>
        <v>0</v>
      </c>
      <c r="J97" s="84">
        <f t="shared" si="64"/>
        <v>0</v>
      </c>
      <c r="K97" s="145">
        <f t="shared" si="74"/>
        <v>0</v>
      </c>
      <c r="L97" s="85">
        <f t="shared" si="66"/>
        <v>0</v>
      </c>
      <c r="M97" s="85">
        <f t="shared" si="67"/>
        <v>0</v>
      </c>
      <c r="N97" s="85">
        <f t="shared" si="68"/>
        <v>0</v>
      </c>
      <c r="O97" s="85">
        <f t="shared" si="69"/>
        <v>0</v>
      </c>
      <c r="P97" s="85">
        <f t="shared" si="70"/>
        <v>0</v>
      </c>
      <c r="Q97" s="86" t="str">
        <f t="shared" si="71"/>
        <v/>
      </c>
      <c r="R97" s="102" t="str">
        <f t="shared" si="72"/>
        <v/>
      </c>
    </row>
    <row r="98" spans="1:18">
      <c r="A98" s="303" t="str">
        <f t="shared" si="73"/>
        <v/>
      </c>
      <c r="B98" s="212">
        <f t="shared" si="73"/>
        <v>0</v>
      </c>
      <c r="C98" s="211" t="str">
        <f t="shared" si="73"/>
        <v>Senior Operations Research Analyst</v>
      </c>
      <c r="D98" s="97" t="s">
        <v>11</v>
      </c>
      <c r="E98" s="97"/>
      <c r="F98" s="304">
        <f t="shared" si="62"/>
        <v>5.875</v>
      </c>
      <c r="G98" s="305">
        <v>11280</v>
      </c>
      <c r="H98" s="83">
        <f>'Direct Labor Rate Schedule'!L15</f>
        <v>0</v>
      </c>
      <c r="I98" s="84">
        <f t="shared" si="63"/>
        <v>0</v>
      </c>
      <c r="J98" s="84">
        <f t="shared" si="64"/>
        <v>0</v>
      </c>
      <c r="K98" s="145">
        <f t="shared" si="74"/>
        <v>0</v>
      </c>
      <c r="L98" s="85">
        <f t="shared" si="66"/>
        <v>0</v>
      </c>
      <c r="M98" s="85">
        <f t="shared" si="67"/>
        <v>0</v>
      </c>
      <c r="N98" s="85">
        <f t="shared" si="68"/>
        <v>0</v>
      </c>
      <c r="O98" s="85">
        <f t="shared" si="69"/>
        <v>0</v>
      </c>
      <c r="P98" s="85">
        <f t="shared" si="70"/>
        <v>0</v>
      </c>
      <c r="Q98" s="86">
        <f t="shared" si="71"/>
        <v>0</v>
      </c>
      <c r="R98" s="102" t="str">
        <f t="shared" si="72"/>
        <v/>
      </c>
    </row>
    <row r="99" spans="1:18">
      <c r="A99" s="303" t="str">
        <f t="shared" si="73"/>
        <v/>
      </c>
      <c r="B99" s="212">
        <f t="shared" si="73"/>
        <v>0</v>
      </c>
      <c r="C99" s="211" t="str">
        <f t="shared" si="73"/>
        <v>Operations Research Analyst</v>
      </c>
      <c r="D99" s="97" t="s">
        <v>11</v>
      </c>
      <c r="E99" s="97"/>
      <c r="F99" s="304">
        <f t="shared" si="62"/>
        <v>2.9375</v>
      </c>
      <c r="G99" s="305">
        <v>5640</v>
      </c>
      <c r="H99" s="83">
        <f>'Direct Labor Rate Schedule'!L16</f>
        <v>0</v>
      </c>
      <c r="I99" s="84">
        <f t="shared" si="63"/>
        <v>0</v>
      </c>
      <c r="J99" s="84">
        <f t="shared" si="64"/>
        <v>0</v>
      </c>
      <c r="K99" s="145">
        <f t="shared" si="74"/>
        <v>0</v>
      </c>
      <c r="L99" s="85">
        <f t="shared" si="66"/>
        <v>0</v>
      </c>
      <c r="M99" s="85">
        <f t="shared" si="67"/>
        <v>0</v>
      </c>
      <c r="N99" s="85">
        <f t="shared" si="68"/>
        <v>0</v>
      </c>
      <c r="O99" s="85">
        <f t="shared" si="69"/>
        <v>0</v>
      </c>
      <c r="P99" s="85">
        <f t="shared" si="70"/>
        <v>0</v>
      </c>
      <c r="Q99" s="86">
        <f t="shared" si="71"/>
        <v>0</v>
      </c>
      <c r="R99" s="102" t="str">
        <f t="shared" si="72"/>
        <v/>
      </c>
    </row>
    <row r="100" spans="1:18">
      <c r="A100" s="303" t="str">
        <f t="shared" si="73"/>
        <v/>
      </c>
      <c r="B100" s="212">
        <f t="shared" si="73"/>
        <v>0</v>
      </c>
      <c r="C100" s="211" t="str">
        <f t="shared" si="73"/>
        <v>Graphics Design Senior Analyst</v>
      </c>
      <c r="D100" s="97" t="s">
        <v>11</v>
      </c>
      <c r="E100" s="97"/>
      <c r="F100" s="304">
        <f t="shared" si="62"/>
        <v>0</v>
      </c>
      <c r="G100" s="305">
        <v>0</v>
      </c>
      <c r="H100" s="83">
        <f>'Direct Labor Rate Schedule'!L17</f>
        <v>0</v>
      </c>
      <c r="I100" s="84">
        <f t="shared" si="63"/>
        <v>0</v>
      </c>
      <c r="J100" s="84">
        <f t="shared" si="64"/>
        <v>0</v>
      </c>
      <c r="K100" s="145">
        <f t="shared" si="74"/>
        <v>0</v>
      </c>
      <c r="L100" s="85">
        <f t="shared" si="66"/>
        <v>0</v>
      </c>
      <c r="M100" s="85">
        <f t="shared" si="67"/>
        <v>0</v>
      </c>
      <c r="N100" s="85">
        <f t="shared" si="68"/>
        <v>0</v>
      </c>
      <c r="O100" s="85">
        <f t="shared" si="69"/>
        <v>0</v>
      </c>
      <c r="P100" s="85">
        <f t="shared" si="70"/>
        <v>0</v>
      </c>
      <c r="Q100" s="86" t="str">
        <f t="shared" si="71"/>
        <v/>
      </c>
      <c r="R100" s="102" t="str">
        <f t="shared" si="72"/>
        <v/>
      </c>
    </row>
    <row r="101" spans="1:18">
      <c r="A101" s="303" t="str">
        <f t="shared" si="73"/>
        <v/>
      </c>
      <c r="B101" s="212">
        <f t="shared" si="73"/>
        <v>0</v>
      </c>
      <c r="C101" s="211" t="str">
        <f t="shared" si="73"/>
        <v>Force Documentation Senior Analyst</v>
      </c>
      <c r="D101" s="97" t="s">
        <v>11</v>
      </c>
      <c r="E101" s="97"/>
      <c r="F101" s="304">
        <f t="shared" si="62"/>
        <v>0</v>
      </c>
      <c r="G101" s="305">
        <v>0</v>
      </c>
      <c r="H101" s="83">
        <f>'Direct Labor Rate Schedule'!L18</f>
        <v>0</v>
      </c>
      <c r="I101" s="84">
        <f t="shared" si="63"/>
        <v>0</v>
      </c>
      <c r="J101" s="84">
        <f t="shared" si="64"/>
        <v>0</v>
      </c>
      <c r="K101" s="145">
        <f t="shared" si="74"/>
        <v>0</v>
      </c>
      <c r="L101" s="85">
        <f t="shared" si="66"/>
        <v>0</v>
      </c>
      <c r="M101" s="85">
        <f t="shared" si="67"/>
        <v>0</v>
      </c>
      <c r="N101" s="85">
        <f t="shared" si="68"/>
        <v>0</v>
      </c>
      <c r="O101" s="85">
        <f t="shared" si="69"/>
        <v>0</v>
      </c>
      <c r="P101" s="85">
        <f t="shared" si="70"/>
        <v>0</v>
      </c>
      <c r="Q101" s="86" t="str">
        <f t="shared" si="71"/>
        <v/>
      </c>
      <c r="R101" s="102" t="str">
        <f t="shared" si="72"/>
        <v/>
      </c>
    </row>
    <row r="102" spans="1:18">
      <c r="A102" s="303" t="str">
        <f t="shared" si="73"/>
        <v/>
      </c>
      <c r="B102" s="212">
        <f t="shared" si="73"/>
        <v>0</v>
      </c>
      <c r="C102" s="211">
        <f t="shared" si="73"/>
        <v>0</v>
      </c>
      <c r="D102" s="97" t="s">
        <v>11</v>
      </c>
      <c r="E102" s="97"/>
      <c r="F102" s="304">
        <f t="shared" si="62"/>
        <v>0</v>
      </c>
      <c r="G102" s="305">
        <v>0</v>
      </c>
      <c r="H102" s="83">
        <f>'Direct Labor Rate Schedule'!L19</f>
        <v>0</v>
      </c>
      <c r="I102" s="84">
        <f t="shared" si="63"/>
        <v>0</v>
      </c>
      <c r="J102" s="84">
        <f t="shared" si="64"/>
        <v>0</v>
      </c>
      <c r="K102" s="145">
        <f t="shared" si="74"/>
        <v>0</v>
      </c>
      <c r="L102" s="85">
        <f t="shared" si="66"/>
        <v>0</v>
      </c>
      <c r="M102" s="85">
        <f t="shared" si="67"/>
        <v>0</v>
      </c>
      <c r="N102" s="85">
        <f t="shared" si="68"/>
        <v>0</v>
      </c>
      <c r="O102" s="85">
        <f t="shared" si="69"/>
        <v>0</v>
      </c>
      <c r="P102" s="85">
        <f t="shared" si="70"/>
        <v>0</v>
      </c>
      <c r="Q102" s="86" t="str">
        <f t="shared" si="71"/>
        <v/>
      </c>
      <c r="R102" s="102" t="str">
        <f t="shared" si="72"/>
        <v/>
      </c>
    </row>
    <row r="103" spans="1:18">
      <c r="A103" s="303" t="str">
        <f t="shared" si="73"/>
        <v/>
      </c>
      <c r="B103" s="212">
        <f t="shared" si="73"/>
        <v>0</v>
      </c>
      <c r="C103" s="211">
        <f t="shared" si="73"/>
        <v>0</v>
      </c>
      <c r="D103" s="97" t="s">
        <v>11</v>
      </c>
      <c r="E103" s="97"/>
      <c r="F103" s="304">
        <f t="shared" si="62"/>
        <v>0</v>
      </c>
      <c r="G103" s="305">
        <v>0</v>
      </c>
      <c r="H103" s="83">
        <f>'Direct Labor Rate Schedule'!L20</f>
        <v>0</v>
      </c>
      <c r="I103" s="84">
        <f t="shared" si="63"/>
        <v>0</v>
      </c>
      <c r="J103" s="84">
        <f t="shared" si="64"/>
        <v>0</v>
      </c>
      <c r="K103" s="145">
        <f t="shared" si="74"/>
        <v>0</v>
      </c>
      <c r="L103" s="85">
        <f t="shared" si="66"/>
        <v>0</v>
      </c>
      <c r="M103" s="85">
        <f t="shared" si="67"/>
        <v>0</v>
      </c>
      <c r="N103" s="85">
        <f t="shared" si="68"/>
        <v>0</v>
      </c>
      <c r="O103" s="85">
        <f t="shared" si="69"/>
        <v>0</v>
      </c>
      <c r="P103" s="85">
        <f t="shared" si="70"/>
        <v>0</v>
      </c>
      <c r="Q103" s="86" t="str">
        <f t="shared" si="71"/>
        <v/>
      </c>
      <c r="R103" s="102" t="str">
        <f t="shared" si="72"/>
        <v/>
      </c>
    </row>
    <row r="104" spans="1:18">
      <c r="A104" s="303" t="str">
        <f t="shared" si="73"/>
        <v/>
      </c>
      <c r="B104" s="212">
        <f t="shared" si="73"/>
        <v>0</v>
      </c>
      <c r="C104" s="211">
        <f t="shared" si="73"/>
        <v>0</v>
      </c>
      <c r="D104" s="97" t="s">
        <v>11</v>
      </c>
      <c r="E104" s="97"/>
      <c r="F104" s="304">
        <f t="shared" si="62"/>
        <v>0</v>
      </c>
      <c r="G104" s="305">
        <v>0</v>
      </c>
      <c r="H104" s="83">
        <f>'Direct Labor Rate Schedule'!L21</f>
        <v>0</v>
      </c>
      <c r="I104" s="84">
        <f t="shared" si="63"/>
        <v>0</v>
      </c>
      <c r="J104" s="84">
        <f t="shared" si="64"/>
        <v>0</v>
      </c>
      <c r="K104" s="145">
        <f t="shared" si="74"/>
        <v>0</v>
      </c>
      <c r="L104" s="85">
        <f t="shared" si="66"/>
        <v>0</v>
      </c>
      <c r="M104" s="85">
        <f t="shared" si="67"/>
        <v>0</v>
      </c>
      <c r="N104" s="85">
        <f t="shared" si="68"/>
        <v>0</v>
      </c>
      <c r="O104" s="85">
        <f t="shared" si="69"/>
        <v>0</v>
      </c>
      <c r="P104" s="85">
        <f t="shared" si="70"/>
        <v>0</v>
      </c>
      <c r="Q104" s="86" t="str">
        <f t="shared" si="71"/>
        <v/>
      </c>
      <c r="R104" s="102" t="str">
        <f t="shared" si="72"/>
        <v/>
      </c>
    </row>
    <row r="105" spans="1:18" ht="13.5" thickBot="1">
      <c r="A105" s="303" t="str">
        <f t="shared" si="73"/>
        <v/>
      </c>
      <c r="B105" s="212">
        <f t="shared" si="73"/>
        <v>0</v>
      </c>
      <c r="C105" s="211">
        <f t="shared" si="73"/>
        <v>0</v>
      </c>
      <c r="D105" s="97" t="s">
        <v>11</v>
      </c>
      <c r="E105" s="97"/>
      <c r="F105" s="304">
        <f t="shared" si="62"/>
        <v>0</v>
      </c>
      <c r="G105" s="305">
        <v>0</v>
      </c>
      <c r="H105" s="83">
        <f>'Direct Labor Rate Schedule'!L22</f>
        <v>0</v>
      </c>
      <c r="I105" s="84">
        <f t="shared" si="63"/>
        <v>0</v>
      </c>
      <c r="J105" s="84">
        <f t="shared" si="64"/>
        <v>0</v>
      </c>
      <c r="K105" s="145">
        <f t="shared" si="74"/>
        <v>0</v>
      </c>
      <c r="L105" s="85">
        <f t="shared" si="66"/>
        <v>0</v>
      </c>
      <c r="M105" s="85">
        <f t="shared" si="67"/>
        <v>0</v>
      </c>
      <c r="N105" s="85">
        <f t="shared" si="68"/>
        <v>0</v>
      </c>
      <c r="O105" s="85">
        <f t="shared" si="69"/>
        <v>0</v>
      </c>
      <c r="P105" s="85">
        <f t="shared" si="70"/>
        <v>0</v>
      </c>
      <c r="Q105" s="86" t="str">
        <f t="shared" si="71"/>
        <v/>
      </c>
      <c r="R105" s="102" t="str">
        <f t="shared" si="72"/>
        <v/>
      </c>
    </row>
    <row r="106" spans="1:18" s="82" customFormat="1" ht="14.25" thickTop="1" thickBot="1">
      <c r="A106" s="360" t="s">
        <v>85</v>
      </c>
      <c r="B106" s="361"/>
      <c r="C106" s="361"/>
      <c r="D106" s="361"/>
      <c r="E106" s="362"/>
      <c r="F106" s="146">
        <f>SUM(F94:F105)</f>
        <v>24.479166666666664</v>
      </c>
      <c r="G106" s="146">
        <f>SUM(G94:G105)</f>
        <v>47000</v>
      </c>
      <c r="H106" s="108">
        <f>SUMPRODUCT(H94:H105,$G94:$G105)</f>
        <v>0</v>
      </c>
      <c r="I106" s="108">
        <f>SUMPRODUCT(I94:I105,$G94:$G105)</f>
        <v>0</v>
      </c>
      <c r="J106" s="108">
        <f>SUMPRODUCT(J94:J105,$G94:$G105)</f>
        <v>0</v>
      </c>
      <c r="K106" s="108">
        <f>SUMPRODUCT(K94:K105,$G94:$G105)</f>
        <v>0</v>
      </c>
      <c r="L106" s="108">
        <f>SUM(L94:L105)</f>
        <v>0</v>
      </c>
      <c r="M106" s="108">
        <f>SUM(M94:M105)</f>
        <v>0</v>
      </c>
      <c r="N106" s="108">
        <f>SUM(N94:N105)</f>
        <v>0</v>
      </c>
      <c r="O106" s="108">
        <f>SUM(O94:O105)</f>
        <v>0</v>
      </c>
      <c r="P106" s="108">
        <f>SUM(P94:P105)</f>
        <v>0</v>
      </c>
      <c r="Q106" s="108">
        <f>SUMPRODUCT(Q94:Q105,$G94:$G105)</f>
        <v>0</v>
      </c>
      <c r="R106" s="109"/>
    </row>
    <row r="107" spans="1:18" s="82" customFormat="1" ht="14.25" thickTop="1" thickBot="1">
      <c r="A107" s="360" t="s">
        <v>86</v>
      </c>
      <c r="B107" s="361"/>
      <c r="C107" s="361"/>
      <c r="D107" s="361"/>
      <c r="E107" s="362"/>
      <c r="F107" s="116"/>
      <c r="G107" s="173">
        <f>G106/SUM(F94:F105)</f>
        <v>1920.0000000000002</v>
      </c>
      <c r="H107" s="110">
        <f>H106/$G106</f>
        <v>0</v>
      </c>
      <c r="I107" s="110">
        <f t="shared" ref="I107:J107" si="75">I106/$G106</f>
        <v>0</v>
      </c>
      <c r="J107" s="110">
        <f t="shared" si="75"/>
        <v>0</v>
      </c>
      <c r="K107" s="110">
        <f>K106/$G106</f>
        <v>0</v>
      </c>
      <c r="L107" s="110">
        <f>L106/$G106</f>
        <v>0</v>
      </c>
      <c r="M107" s="110">
        <f t="shared" ref="M107:P107" si="76">M106/$G106</f>
        <v>0</v>
      </c>
      <c r="N107" s="110">
        <f t="shared" si="76"/>
        <v>0</v>
      </c>
      <c r="O107" s="110">
        <f t="shared" si="76"/>
        <v>0</v>
      </c>
      <c r="P107" s="110">
        <f t="shared" si="76"/>
        <v>0</v>
      </c>
      <c r="Q107" s="110">
        <f>Q106/$G106</f>
        <v>0</v>
      </c>
      <c r="R107" s="115" t="e">
        <f>Q107/H107</f>
        <v>#DIV/0!</v>
      </c>
    </row>
    <row r="108" spans="1:18" ht="13.5" thickTop="1">
      <c r="C108" s="87"/>
      <c r="D108" s="33"/>
      <c r="F108" s="34"/>
      <c r="G108" s="34"/>
      <c r="H108" s="65"/>
      <c r="I108" s="65"/>
      <c r="J108" s="65"/>
      <c r="K108" s="88"/>
      <c r="L108" s="88"/>
      <c r="M108" s="88"/>
      <c r="N108" s="88"/>
      <c r="O108" s="88"/>
      <c r="P108" s="88"/>
    </row>
    <row r="109" spans="1:18">
      <c r="C109" s="23"/>
      <c r="D109" s="24"/>
      <c r="E109" s="18"/>
      <c r="F109" s="19"/>
      <c r="G109" s="356" t="s">
        <v>28</v>
      </c>
      <c r="H109" s="363"/>
      <c r="I109" s="366" t="s">
        <v>29</v>
      </c>
      <c r="J109" s="366"/>
      <c r="K109" s="367"/>
      <c r="L109" s="367"/>
      <c r="M109" s="367"/>
      <c r="N109" s="20"/>
      <c r="O109" s="21"/>
      <c r="P109" s="22"/>
      <c r="Q109" s="22"/>
    </row>
    <row r="110" spans="1:18">
      <c r="C110" s="35" t="s">
        <v>261</v>
      </c>
      <c r="D110" s="25"/>
      <c r="E110" s="26"/>
      <c r="F110" s="27"/>
      <c r="G110" s="364"/>
      <c r="H110" s="365"/>
      <c r="I110" s="91">
        <f>'Indirect Rate Summary'!C38</f>
        <v>0</v>
      </c>
      <c r="J110" s="28">
        <f>'Indirect Rate Summary'!D38</f>
        <v>0</v>
      </c>
      <c r="K110" s="28"/>
      <c r="L110" s="29"/>
      <c r="M110" s="95">
        <f>'Indirect Rate Summary'!E38</f>
        <v>0</v>
      </c>
      <c r="N110" s="30"/>
      <c r="O110" s="333">
        <f>'Indirect Rate Summary'!F38</f>
        <v>0</v>
      </c>
      <c r="P110" s="22"/>
      <c r="Q110" s="22"/>
    </row>
    <row r="111" spans="1:18" s="144" customFormat="1" ht="89.25">
      <c r="A111" s="79" t="str">
        <f t="shared" ref="A111:R112" si="77">+A91</f>
        <v>Location (Note 1)</v>
      </c>
      <c r="B111" s="79" t="str">
        <f t="shared" si="77"/>
        <v>Labor Type (Note 2)</v>
      </c>
      <c r="C111" s="79" t="str">
        <f t="shared" si="77"/>
        <v>Labor Categories (Note 3)</v>
      </c>
      <c r="D111" s="79" t="str">
        <f t="shared" si="77"/>
        <v>Effort To Be Performed By The Prime (P) or Subcontractor (S) (Note 4)</v>
      </c>
      <c r="E111" s="79" t="str">
        <f t="shared" si="77"/>
        <v>If Column D=S, Enter Name of Subcontractor(s) (Note 5)</v>
      </c>
      <c r="F111" s="80" t="str">
        <f t="shared" si="77"/>
        <v>FTEs (Note 6)</v>
      </c>
      <c r="G111" s="141" t="str">
        <f t="shared" si="77"/>
        <v>Total Productive Hours (Note 7)</v>
      </c>
      <c r="H111" s="142" t="str">
        <f t="shared" si="77"/>
        <v>Hourly Base Pay Rate (Note 8)</v>
      </c>
      <c r="I111" s="81" t="str">
        <f t="shared" si="77"/>
        <v>Fringe (Note 9)</v>
      </c>
      <c r="J111" s="81" t="str">
        <f t="shared" si="77"/>
        <v>Overhead (Note 10)</v>
      </c>
      <c r="K111" s="81" t="str">
        <f t="shared" si="77"/>
        <v xml:space="preserve"> Prime/Sub Hourly Rate Before Application Of  Prime G&amp;A &amp; Fee (IF Col C=S Enter Sub Rate) (Note 11)</v>
      </c>
      <c r="L111" s="81" t="str">
        <f t="shared" si="77"/>
        <v>Total Prime &amp; Sub Labor Before Prime G&amp;A &amp; Fee</v>
      </c>
      <c r="M111" s="81" t="str">
        <f t="shared" si="77"/>
        <v>G&amp;A (Note 12)</v>
      </c>
      <c r="N111" s="81" t="str">
        <f t="shared" si="77"/>
        <v>Total Cost</v>
      </c>
      <c r="O111" s="81" t="str">
        <f t="shared" si="77"/>
        <v>Fee</v>
      </c>
      <c r="P111" s="81" t="str">
        <f t="shared" si="77"/>
        <v>Total Price</v>
      </c>
      <c r="Q111" s="81" t="str">
        <f t="shared" si="77"/>
        <v xml:space="preserve">Proposal Fully Burdened Hourly Billing Rate </v>
      </c>
      <c r="R111" s="81" t="str">
        <f t="shared" si="77"/>
        <v>Wrap Rate</v>
      </c>
    </row>
    <row r="112" spans="1:18" ht="13.5" thickBot="1">
      <c r="A112" s="31" t="str">
        <f t="shared" si="77"/>
        <v>a</v>
      </c>
      <c r="B112" s="31" t="str">
        <f t="shared" si="77"/>
        <v>b</v>
      </c>
      <c r="C112" s="31" t="str">
        <f t="shared" si="77"/>
        <v>c</v>
      </c>
      <c r="D112" s="31" t="str">
        <f t="shared" si="77"/>
        <v>d</v>
      </c>
      <c r="E112" s="31" t="str">
        <f t="shared" si="77"/>
        <v>e</v>
      </c>
      <c r="F112" s="31" t="str">
        <f t="shared" si="77"/>
        <v>f</v>
      </c>
      <c r="G112" s="36" t="str">
        <f t="shared" si="77"/>
        <v>g</v>
      </c>
      <c r="H112" s="31" t="str">
        <f t="shared" si="77"/>
        <v>h</v>
      </c>
      <c r="I112" s="32" t="str">
        <f t="shared" si="77"/>
        <v>i</v>
      </c>
      <c r="J112" s="32" t="str">
        <f t="shared" si="77"/>
        <v>j</v>
      </c>
      <c r="K112" s="32" t="str">
        <f t="shared" si="77"/>
        <v>k = h + i + j</v>
      </c>
      <c r="L112" s="32" t="str">
        <f t="shared" si="77"/>
        <v>l = g x k</v>
      </c>
      <c r="M112" s="32" t="str">
        <f t="shared" si="77"/>
        <v>m</v>
      </c>
      <c r="N112" s="32" t="str">
        <f t="shared" si="77"/>
        <v>n = l + o</v>
      </c>
      <c r="O112" s="32" t="str">
        <f t="shared" si="77"/>
        <v>o</v>
      </c>
      <c r="P112" s="32" t="str">
        <f t="shared" si="77"/>
        <v>p = n + o</v>
      </c>
      <c r="Q112" s="32" t="str">
        <f t="shared" si="77"/>
        <v>q = p/g</v>
      </c>
      <c r="R112" s="32" t="str">
        <f t="shared" si="77"/>
        <v>r = q/h</v>
      </c>
    </row>
    <row r="113" spans="1:18">
      <c r="A113" s="168" t="str">
        <f>IF('Direct Labor Rate Schedule'!$A$10="","",'Direct Labor Rate Schedule'!$A$10)</f>
        <v/>
      </c>
      <c r="B113" s="170"/>
      <c r="C113" s="148"/>
      <c r="D113" s="149"/>
      <c r="E113" s="149"/>
      <c r="F113" s="172"/>
      <c r="G113" s="151"/>
      <c r="H113" s="152"/>
      <c r="I113" s="153"/>
      <c r="J113" s="153"/>
      <c r="K113" s="154"/>
      <c r="L113" s="155"/>
      <c r="M113" s="155"/>
      <c r="N113" s="155"/>
      <c r="O113" s="155"/>
      <c r="P113" s="155"/>
      <c r="Q113" s="157"/>
      <c r="R113" s="158"/>
    </row>
    <row r="114" spans="1:18">
      <c r="A114" s="303" t="str">
        <f>A94</f>
        <v/>
      </c>
      <c r="B114" s="212">
        <f>B94</f>
        <v>0</v>
      </c>
      <c r="C114" s="211" t="str">
        <f>C94</f>
        <v>Program Manager</v>
      </c>
      <c r="D114" s="97" t="s">
        <v>11</v>
      </c>
      <c r="E114" s="97"/>
      <c r="F114" s="304">
        <f t="shared" ref="F114:F125" si="78">G114/AnnualProductiveHours</f>
        <v>0</v>
      </c>
      <c r="G114" s="305">
        <v>0</v>
      </c>
      <c r="H114" s="83">
        <f>'Direct Labor Rate Schedule'!N11</f>
        <v>0</v>
      </c>
      <c r="I114" s="84">
        <f t="shared" ref="I114:I125" si="79">ROUND((+H114*$I$110),2)</f>
        <v>0</v>
      </c>
      <c r="J114" s="84">
        <f t="shared" ref="J114:J125" si="80">ROUND((+H114*$J$110),2)</f>
        <v>0</v>
      </c>
      <c r="K114" s="145">
        <f t="shared" ref="K114" si="81">+H114+SUM(I114:J114)</f>
        <v>0</v>
      </c>
      <c r="L114" s="85">
        <f t="shared" ref="L114:L125" si="82">ROUND((+G114*K114),2)</f>
        <v>0</v>
      </c>
      <c r="M114" s="85">
        <f t="shared" ref="M114:M125" si="83">ROUND((+L114*$M$110),2)</f>
        <v>0</v>
      </c>
      <c r="N114" s="85">
        <f t="shared" ref="N114:N125" si="84">SUM(L114:M114)</f>
        <v>0</v>
      </c>
      <c r="O114" s="85">
        <f t="shared" ref="O114:O125" si="85">ROUND((+N114*$O$110),2)</f>
        <v>0</v>
      </c>
      <c r="P114" s="85">
        <f t="shared" ref="P114:P125" si="86">SUM(N114:O114)</f>
        <v>0</v>
      </c>
      <c r="Q114" s="86" t="str">
        <f t="shared" ref="Q114:Q125" si="87">IFERROR((+P114/G114),"")</f>
        <v/>
      </c>
      <c r="R114" s="102" t="str">
        <f t="shared" ref="R114:R125" si="88">IFERROR(Q114/H114-1,"")</f>
        <v/>
      </c>
    </row>
    <row r="115" spans="1:18">
      <c r="A115" s="303" t="str">
        <f t="shared" ref="A115:C125" si="89">A95</f>
        <v/>
      </c>
      <c r="B115" s="212">
        <f t="shared" si="89"/>
        <v>0</v>
      </c>
      <c r="C115" s="211" t="str">
        <f t="shared" si="89"/>
        <v>Senior Analyst</v>
      </c>
      <c r="D115" s="97" t="s">
        <v>11</v>
      </c>
      <c r="E115" s="97"/>
      <c r="F115" s="304">
        <f t="shared" si="78"/>
        <v>11.75</v>
      </c>
      <c r="G115" s="305">
        <v>22560</v>
      </c>
      <c r="H115" s="83">
        <f>'Direct Labor Rate Schedule'!N12</f>
        <v>0</v>
      </c>
      <c r="I115" s="84">
        <f t="shared" si="79"/>
        <v>0</v>
      </c>
      <c r="J115" s="84">
        <f t="shared" si="80"/>
        <v>0</v>
      </c>
      <c r="K115" s="145">
        <f t="shared" ref="K115:K125" si="90">+H115+SUM(I115:J115)</f>
        <v>0</v>
      </c>
      <c r="L115" s="85">
        <f t="shared" si="82"/>
        <v>0</v>
      </c>
      <c r="M115" s="85">
        <f t="shared" si="83"/>
        <v>0</v>
      </c>
      <c r="N115" s="85">
        <f t="shared" si="84"/>
        <v>0</v>
      </c>
      <c r="O115" s="85">
        <f t="shared" si="85"/>
        <v>0</v>
      </c>
      <c r="P115" s="85">
        <f t="shared" si="86"/>
        <v>0</v>
      </c>
      <c r="Q115" s="86">
        <f t="shared" si="87"/>
        <v>0</v>
      </c>
      <c r="R115" s="102" t="str">
        <f t="shared" si="88"/>
        <v/>
      </c>
    </row>
    <row r="116" spans="1:18">
      <c r="A116" s="303" t="str">
        <f t="shared" si="89"/>
        <v/>
      </c>
      <c r="B116" s="212">
        <f t="shared" si="89"/>
        <v>0</v>
      </c>
      <c r="C116" s="211" t="str">
        <f t="shared" si="89"/>
        <v>Analyst</v>
      </c>
      <c r="D116" s="97" t="s">
        <v>11</v>
      </c>
      <c r="E116" s="97"/>
      <c r="F116" s="304">
        <f t="shared" si="78"/>
        <v>3.9166666666666665</v>
      </c>
      <c r="G116" s="305">
        <v>7520</v>
      </c>
      <c r="H116" s="83">
        <f>'Direct Labor Rate Schedule'!N13</f>
        <v>0</v>
      </c>
      <c r="I116" s="84">
        <f t="shared" si="79"/>
        <v>0</v>
      </c>
      <c r="J116" s="84">
        <f t="shared" si="80"/>
        <v>0</v>
      </c>
      <c r="K116" s="145">
        <f t="shared" si="90"/>
        <v>0</v>
      </c>
      <c r="L116" s="85">
        <f t="shared" si="82"/>
        <v>0</v>
      </c>
      <c r="M116" s="85">
        <f t="shared" si="83"/>
        <v>0</v>
      </c>
      <c r="N116" s="85">
        <f t="shared" si="84"/>
        <v>0</v>
      </c>
      <c r="O116" s="85">
        <f t="shared" si="85"/>
        <v>0</v>
      </c>
      <c r="P116" s="85">
        <f t="shared" si="86"/>
        <v>0</v>
      </c>
      <c r="Q116" s="86">
        <f t="shared" si="87"/>
        <v>0</v>
      </c>
      <c r="R116" s="102" t="str">
        <f t="shared" si="88"/>
        <v/>
      </c>
    </row>
    <row r="117" spans="1:18">
      <c r="A117" s="303" t="str">
        <f t="shared" si="89"/>
        <v/>
      </c>
      <c r="B117" s="212">
        <f t="shared" si="89"/>
        <v>0</v>
      </c>
      <c r="C117" s="211" t="str">
        <f t="shared" si="89"/>
        <v>Junior Analyst</v>
      </c>
      <c r="D117" s="97" t="s">
        <v>11</v>
      </c>
      <c r="E117" s="97"/>
      <c r="F117" s="304">
        <f t="shared" si="78"/>
        <v>0</v>
      </c>
      <c r="G117" s="305">
        <v>0</v>
      </c>
      <c r="H117" s="83">
        <f>'Direct Labor Rate Schedule'!N14</f>
        <v>0</v>
      </c>
      <c r="I117" s="84">
        <f t="shared" si="79"/>
        <v>0</v>
      </c>
      <c r="J117" s="84">
        <f t="shared" si="80"/>
        <v>0</v>
      </c>
      <c r="K117" s="145">
        <f t="shared" si="90"/>
        <v>0</v>
      </c>
      <c r="L117" s="85">
        <f t="shared" si="82"/>
        <v>0</v>
      </c>
      <c r="M117" s="85">
        <f t="shared" si="83"/>
        <v>0</v>
      </c>
      <c r="N117" s="85">
        <f t="shared" si="84"/>
        <v>0</v>
      </c>
      <c r="O117" s="85">
        <f t="shared" si="85"/>
        <v>0</v>
      </c>
      <c r="P117" s="85">
        <f t="shared" si="86"/>
        <v>0</v>
      </c>
      <c r="Q117" s="86" t="str">
        <f t="shared" si="87"/>
        <v/>
      </c>
      <c r="R117" s="102" t="str">
        <f t="shared" si="88"/>
        <v/>
      </c>
    </row>
    <row r="118" spans="1:18">
      <c r="A118" s="303" t="str">
        <f t="shared" si="89"/>
        <v/>
      </c>
      <c r="B118" s="212">
        <f t="shared" si="89"/>
        <v>0</v>
      </c>
      <c r="C118" s="211" t="str">
        <f t="shared" si="89"/>
        <v>Senior Operations Research Analyst</v>
      </c>
      <c r="D118" s="97" t="s">
        <v>11</v>
      </c>
      <c r="E118" s="97"/>
      <c r="F118" s="304">
        <f t="shared" si="78"/>
        <v>5.875</v>
      </c>
      <c r="G118" s="305">
        <v>11280</v>
      </c>
      <c r="H118" s="83">
        <f>'Direct Labor Rate Schedule'!N15</f>
        <v>0</v>
      </c>
      <c r="I118" s="84">
        <f t="shared" si="79"/>
        <v>0</v>
      </c>
      <c r="J118" s="84">
        <f t="shared" si="80"/>
        <v>0</v>
      </c>
      <c r="K118" s="145">
        <f t="shared" si="90"/>
        <v>0</v>
      </c>
      <c r="L118" s="85">
        <f t="shared" si="82"/>
        <v>0</v>
      </c>
      <c r="M118" s="85">
        <f t="shared" si="83"/>
        <v>0</v>
      </c>
      <c r="N118" s="85">
        <f t="shared" si="84"/>
        <v>0</v>
      </c>
      <c r="O118" s="85">
        <f t="shared" si="85"/>
        <v>0</v>
      </c>
      <c r="P118" s="85">
        <f t="shared" si="86"/>
        <v>0</v>
      </c>
      <c r="Q118" s="86">
        <f t="shared" si="87"/>
        <v>0</v>
      </c>
      <c r="R118" s="102" t="str">
        <f t="shared" si="88"/>
        <v/>
      </c>
    </row>
    <row r="119" spans="1:18">
      <c r="A119" s="303" t="str">
        <f t="shared" si="89"/>
        <v/>
      </c>
      <c r="B119" s="212">
        <f t="shared" si="89"/>
        <v>0</v>
      </c>
      <c r="C119" s="211" t="str">
        <f t="shared" si="89"/>
        <v>Operations Research Analyst</v>
      </c>
      <c r="D119" s="97" t="s">
        <v>11</v>
      </c>
      <c r="E119" s="97"/>
      <c r="F119" s="304">
        <f t="shared" si="78"/>
        <v>2.9375</v>
      </c>
      <c r="G119" s="305">
        <v>5640</v>
      </c>
      <c r="H119" s="83">
        <f>'Direct Labor Rate Schedule'!N16</f>
        <v>0</v>
      </c>
      <c r="I119" s="84">
        <f t="shared" si="79"/>
        <v>0</v>
      </c>
      <c r="J119" s="84">
        <f t="shared" si="80"/>
        <v>0</v>
      </c>
      <c r="K119" s="145">
        <f t="shared" si="90"/>
        <v>0</v>
      </c>
      <c r="L119" s="85">
        <f t="shared" si="82"/>
        <v>0</v>
      </c>
      <c r="M119" s="85">
        <f t="shared" si="83"/>
        <v>0</v>
      </c>
      <c r="N119" s="85">
        <f t="shared" si="84"/>
        <v>0</v>
      </c>
      <c r="O119" s="85">
        <f t="shared" si="85"/>
        <v>0</v>
      </c>
      <c r="P119" s="85">
        <f t="shared" si="86"/>
        <v>0</v>
      </c>
      <c r="Q119" s="86">
        <f t="shared" si="87"/>
        <v>0</v>
      </c>
      <c r="R119" s="102" t="str">
        <f t="shared" si="88"/>
        <v/>
      </c>
    </row>
    <row r="120" spans="1:18">
      <c r="A120" s="303" t="str">
        <f t="shared" si="89"/>
        <v/>
      </c>
      <c r="B120" s="212">
        <f t="shared" si="89"/>
        <v>0</v>
      </c>
      <c r="C120" s="211" t="str">
        <f t="shared" si="89"/>
        <v>Graphics Design Senior Analyst</v>
      </c>
      <c r="D120" s="97" t="s">
        <v>11</v>
      </c>
      <c r="E120" s="97"/>
      <c r="F120" s="304">
        <f t="shared" si="78"/>
        <v>0</v>
      </c>
      <c r="G120" s="305">
        <v>0</v>
      </c>
      <c r="H120" s="83">
        <f>'Direct Labor Rate Schedule'!N17</f>
        <v>0</v>
      </c>
      <c r="I120" s="84">
        <f t="shared" si="79"/>
        <v>0</v>
      </c>
      <c r="J120" s="84">
        <f t="shared" si="80"/>
        <v>0</v>
      </c>
      <c r="K120" s="145">
        <f t="shared" si="90"/>
        <v>0</v>
      </c>
      <c r="L120" s="85">
        <f t="shared" si="82"/>
        <v>0</v>
      </c>
      <c r="M120" s="85">
        <f t="shared" si="83"/>
        <v>0</v>
      </c>
      <c r="N120" s="85">
        <f t="shared" si="84"/>
        <v>0</v>
      </c>
      <c r="O120" s="85">
        <f t="shared" si="85"/>
        <v>0</v>
      </c>
      <c r="P120" s="85">
        <f t="shared" si="86"/>
        <v>0</v>
      </c>
      <c r="Q120" s="86" t="str">
        <f t="shared" si="87"/>
        <v/>
      </c>
      <c r="R120" s="102" t="str">
        <f t="shared" si="88"/>
        <v/>
      </c>
    </row>
    <row r="121" spans="1:18">
      <c r="A121" s="303" t="str">
        <f t="shared" si="89"/>
        <v/>
      </c>
      <c r="B121" s="212">
        <f t="shared" si="89"/>
        <v>0</v>
      </c>
      <c r="C121" s="211" t="str">
        <f t="shared" si="89"/>
        <v>Force Documentation Senior Analyst</v>
      </c>
      <c r="D121" s="97" t="s">
        <v>11</v>
      </c>
      <c r="E121" s="97"/>
      <c r="F121" s="304">
        <f t="shared" si="78"/>
        <v>0</v>
      </c>
      <c r="G121" s="305">
        <v>0</v>
      </c>
      <c r="H121" s="83">
        <f>'Direct Labor Rate Schedule'!N18</f>
        <v>0</v>
      </c>
      <c r="I121" s="84">
        <f t="shared" si="79"/>
        <v>0</v>
      </c>
      <c r="J121" s="84">
        <f t="shared" si="80"/>
        <v>0</v>
      </c>
      <c r="K121" s="145">
        <f t="shared" si="90"/>
        <v>0</v>
      </c>
      <c r="L121" s="85">
        <f t="shared" si="82"/>
        <v>0</v>
      </c>
      <c r="M121" s="85">
        <f t="shared" si="83"/>
        <v>0</v>
      </c>
      <c r="N121" s="85">
        <f t="shared" si="84"/>
        <v>0</v>
      </c>
      <c r="O121" s="85">
        <f t="shared" si="85"/>
        <v>0</v>
      </c>
      <c r="P121" s="85">
        <f t="shared" si="86"/>
        <v>0</v>
      </c>
      <c r="Q121" s="86" t="str">
        <f t="shared" si="87"/>
        <v/>
      </c>
      <c r="R121" s="102" t="str">
        <f t="shared" si="88"/>
        <v/>
      </c>
    </row>
    <row r="122" spans="1:18">
      <c r="A122" s="303" t="str">
        <f t="shared" si="89"/>
        <v/>
      </c>
      <c r="B122" s="212">
        <f t="shared" si="89"/>
        <v>0</v>
      </c>
      <c r="C122" s="211">
        <f t="shared" si="89"/>
        <v>0</v>
      </c>
      <c r="D122" s="97" t="s">
        <v>11</v>
      </c>
      <c r="E122" s="97"/>
      <c r="F122" s="304">
        <f t="shared" si="78"/>
        <v>0</v>
      </c>
      <c r="G122" s="305">
        <v>0</v>
      </c>
      <c r="H122" s="83">
        <f>'Direct Labor Rate Schedule'!N19</f>
        <v>0</v>
      </c>
      <c r="I122" s="84">
        <f t="shared" si="79"/>
        <v>0</v>
      </c>
      <c r="J122" s="84">
        <f t="shared" si="80"/>
        <v>0</v>
      </c>
      <c r="K122" s="145">
        <f t="shared" si="90"/>
        <v>0</v>
      </c>
      <c r="L122" s="85">
        <f t="shared" si="82"/>
        <v>0</v>
      </c>
      <c r="M122" s="85">
        <f t="shared" si="83"/>
        <v>0</v>
      </c>
      <c r="N122" s="85">
        <f t="shared" si="84"/>
        <v>0</v>
      </c>
      <c r="O122" s="85">
        <f t="shared" si="85"/>
        <v>0</v>
      </c>
      <c r="P122" s="85">
        <f t="shared" si="86"/>
        <v>0</v>
      </c>
      <c r="Q122" s="86" t="str">
        <f t="shared" si="87"/>
        <v/>
      </c>
      <c r="R122" s="102" t="str">
        <f t="shared" si="88"/>
        <v/>
      </c>
    </row>
    <row r="123" spans="1:18">
      <c r="A123" s="303" t="str">
        <f t="shared" si="89"/>
        <v/>
      </c>
      <c r="B123" s="212">
        <f t="shared" si="89"/>
        <v>0</v>
      </c>
      <c r="C123" s="211">
        <f t="shared" si="89"/>
        <v>0</v>
      </c>
      <c r="D123" s="97" t="s">
        <v>11</v>
      </c>
      <c r="E123" s="97"/>
      <c r="F123" s="304">
        <f t="shared" si="78"/>
        <v>0</v>
      </c>
      <c r="G123" s="305">
        <v>0</v>
      </c>
      <c r="H123" s="83">
        <f>'Direct Labor Rate Schedule'!N20</f>
        <v>0</v>
      </c>
      <c r="I123" s="84">
        <f t="shared" si="79"/>
        <v>0</v>
      </c>
      <c r="J123" s="84">
        <f t="shared" si="80"/>
        <v>0</v>
      </c>
      <c r="K123" s="145">
        <f t="shared" si="90"/>
        <v>0</v>
      </c>
      <c r="L123" s="85">
        <f t="shared" si="82"/>
        <v>0</v>
      </c>
      <c r="M123" s="85">
        <f t="shared" si="83"/>
        <v>0</v>
      </c>
      <c r="N123" s="85">
        <f t="shared" si="84"/>
        <v>0</v>
      </c>
      <c r="O123" s="85">
        <f t="shared" si="85"/>
        <v>0</v>
      </c>
      <c r="P123" s="85">
        <f t="shared" si="86"/>
        <v>0</v>
      </c>
      <c r="Q123" s="86" t="str">
        <f t="shared" si="87"/>
        <v/>
      </c>
      <c r="R123" s="102" t="str">
        <f t="shared" si="88"/>
        <v/>
      </c>
    </row>
    <row r="124" spans="1:18">
      <c r="A124" s="303" t="str">
        <f t="shared" si="89"/>
        <v/>
      </c>
      <c r="B124" s="212">
        <f t="shared" si="89"/>
        <v>0</v>
      </c>
      <c r="C124" s="211">
        <f t="shared" si="89"/>
        <v>0</v>
      </c>
      <c r="D124" s="97" t="s">
        <v>11</v>
      </c>
      <c r="E124" s="97"/>
      <c r="F124" s="304">
        <f t="shared" si="78"/>
        <v>0</v>
      </c>
      <c r="G124" s="305">
        <v>0</v>
      </c>
      <c r="H124" s="83">
        <f>'Direct Labor Rate Schedule'!N21</f>
        <v>0</v>
      </c>
      <c r="I124" s="84">
        <f t="shared" si="79"/>
        <v>0</v>
      </c>
      <c r="J124" s="84">
        <f t="shared" si="80"/>
        <v>0</v>
      </c>
      <c r="K124" s="145">
        <f t="shared" si="90"/>
        <v>0</v>
      </c>
      <c r="L124" s="85">
        <f t="shared" si="82"/>
        <v>0</v>
      </c>
      <c r="M124" s="85">
        <f t="shared" si="83"/>
        <v>0</v>
      </c>
      <c r="N124" s="85">
        <f t="shared" si="84"/>
        <v>0</v>
      </c>
      <c r="O124" s="85">
        <f t="shared" si="85"/>
        <v>0</v>
      </c>
      <c r="P124" s="85">
        <f t="shared" si="86"/>
        <v>0</v>
      </c>
      <c r="Q124" s="86" t="str">
        <f t="shared" si="87"/>
        <v/>
      </c>
      <c r="R124" s="102" t="str">
        <f t="shared" si="88"/>
        <v/>
      </c>
    </row>
    <row r="125" spans="1:18" ht="13.5" thickBot="1">
      <c r="A125" s="303" t="str">
        <f t="shared" si="89"/>
        <v/>
      </c>
      <c r="B125" s="212">
        <f t="shared" si="89"/>
        <v>0</v>
      </c>
      <c r="C125" s="211">
        <f t="shared" si="89"/>
        <v>0</v>
      </c>
      <c r="D125" s="97" t="s">
        <v>11</v>
      </c>
      <c r="E125" s="97"/>
      <c r="F125" s="304">
        <f t="shared" si="78"/>
        <v>0</v>
      </c>
      <c r="G125" s="305">
        <v>0</v>
      </c>
      <c r="H125" s="83">
        <f>'Direct Labor Rate Schedule'!N22</f>
        <v>0</v>
      </c>
      <c r="I125" s="84">
        <f t="shared" si="79"/>
        <v>0</v>
      </c>
      <c r="J125" s="84">
        <f t="shared" si="80"/>
        <v>0</v>
      </c>
      <c r="K125" s="145">
        <f t="shared" si="90"/>
        <v>0</v>
      </c>
      <c r="L125" s="85">
        <f t="shared" si="82"/>
        <v>0</v>
      </c>
      <c r="M125" s="85">
        <f t="shared" si="83"/>
        <v>0</v>
      </c>
      <c r="N125" s="85">
        <f t="shared" si="84"/>
        <v>0</v>
      </c>
      <c r="O125" s="85">
        <f t="shared" si="85"/>
        <v>0</v>
      </c>
      <c r="P125" s="85">
        <f t="shared" si="86"/>
        <v>0</v>
      </c>
      <c r="Q125" s="86" t="str">
        <f t="shared" si="87"/>
        <v/>
      </c>
      <c r="R125" s="102" t="str">
        <f t="shared" si="88"/>
        <v/>
      </c>
    </row>
    <row r="126" spans="1:18" s="82" customFormat="1" ht="14.25" thickTop="1" thickBot="1">
      <c r="A126" s="360" t="s">
        <v>85</v>
      </c>
      <c r="B126" s="361"/>
      <c r="C126" s="361"/>
      <c r="D126" s="361"/>
      <c r="E126" s="362"/>
      <c r="F126" s="146">
        <f>SUM(F114:F125)</f>
        <v>24.479166666666664</v>
      </c>
      <c r="G126" s="146">
        <f>SUM(G114:G125)</f>
        <v>47000</v>
      </c>
      <c r="H126" s="108">
        <f>SUMPRODUCT(H114:H125,$G114:$G125)</f>
        <v>0</v>
      </c>
      <c r="I126" s="108">
        <f>SUMPRODUCT(I114:I125,$G114:$G125)</f>
        <v>0</v>
      </c>
      <c r="J126" s="108">
        <f>SUMPRODUCT(J114:J125,$G114:$G125)</f>
        <v>0</v>
      </c>
      <c r="K126" s="108">
        <f>SUMPRODUCT(K114:K125,$G114:$G125)</f>
        <v>0</v>
      </c>
      <c r="L126" s="108">
        <f>SUM(L114:L125)</f>
        <v>0</v>
      </c>
      <c r="M126" s="108">
        <f>SUM(M114:M125)</f>
        <v>0</v>
      </c>
      <c r="N126" s="108">
        <f>SUM(N114:N125)</f>
        <v>0</v>
      </c>
      <c r="O126" s="108">
        <f>SUM(O114:O125)</f>
        <v>0</v>
      </c>
      <c r="P126" s="108">
        <f>SUM(P114:P125)</f>
        <v>0</v>
      </c>
      <c r="Q126" s="108">
        <f>SUMPRODUCT(Q114:Q125,$G114:$G125)</f>
        <v>0</v>
      </c>
      <c r="R126" s="109"/>
    </row>
    <row r="127" spans="1:18" s="82" customFormat="1" ht="14.25" thickTop="1" thickBot="1">
      <c r="A127" s="360" t="s">
        <v>86</v>
      </c>
      <c r="B127" s="361"/>
      <c r="C127" s="361"/>
      <c r="D127" s="361"/>
      <c r="E127" s="362"/>
      <c r="F127" s="116"/>
      <c r="G127" s="173">
        <f>G126/SUM(F114:F125)</f>
        <v>1920.0000000000002</v>
      </c>
      <c r="H127" s="110">
        <f>H126/$G126</f>
        <v>0</v>
      </c>
      <c r="I127" s="110">
        <f t="shared" ref="I127:J127" si="91">I126/$G126</f>
        <v>0</v>
      </c>
      <c r="J127" s="110">
        <f t="shared" si="91"/>
        <v>0</v>
      </c>
      <c r="K127" s="110">
        <f>K126/$G126</f>
        <v>0</v>
      </c>
      <c r="L127" s="110">
        <f>L126/$G126</f>
        <v>0</v>
      </c>
      <c r="M127" s="110">
        <f t="shared" ref="M127:P127" si="92">M126/$G126</f>
        <v>0</v>
      </c>
      <c r="N127" s="110">
        <f t="shared" si="92"/>
        <v>0</v>
      </c>
      <c r="O127" s="110">
        <f t="shared" si="92"/>
        <v>0</v>
      </c>
      <c r="P127" s="110">
        <f t="shared" si="92"/>
        <v>0</v>
      </c>
      <c r="Q127" s="110">
        <f>Q126/$G126</f>
        <v>0</v>
      </c>
      <c r="R127" s="115" t="e">
        <f>Q127/H127</f>
        <v>#DIV/0!</v>
      </c>
    </row>
    <row r="128" spans="1:18" customFormat="1" ht="14.25" thickTop="1" thickBot="1"/>
    <row r="129" spans="1:21" ht="13.5" thickBot="1">
      <c r="A129" s="368" t="s">
        <v>85</v>
      </c>
      <c r="B129" s="369"/>
      <c r="C129" s="369"/>
      <c r="D129" s="369"/>
      <c r="E129" s="370"/>
      <c r="F129" s="117"/>
      <c r="G129" s="111">
        <f t="shared" ref="G129:Q129" si="93">G126+G106+G86+G66+G46+G26</f>
        <v>171080</v>
      </c>
      <c r="H129" s="112">
        <f t="shared" si="93"/>
        <v>0</v>
      </c>
      <c r="I129" s="112">
        <f t="shared" si="93"/>
        <v>0</v>
      </c>
      <c r="J129" s="112">
        <f t="shared" si="93"/>
        <v>0</v>
      </c>
      <c r="K129" s="112">
        <f t="shared" si="93"/>
        <v>0</v>
      </c>
      <c r="L129" s="112">
        <f t="shared" si="93"/>
        <v>0</v>
      </c>
      <c r="M129" s="112">
        <f t="shared" si="93"/>
        <v>0</v>
      </c>
      <c r="N129" s="112">
        <f t="shared" si="93"/>
        <v>0</v>
      </c>
      <c r="O129" s="112">
        <f t="shared" si="93"/>
        <v>0</v>
      </c>
      <c r="P129" s="112">
        <f t="shared" si="93"/>
        <v>0</v>
      </c>
      <c r="Q129" s="112">
        <f t="shared" si="93"/>
        <v>0</v>
      </c>
      <c r="R129" s="113"/>
      <c r="T129"/>
      <c r="U129"/>
    </row>
    <row r="130" spans="1:21" ht="13.5" thickBot="1">
      <c r="A130" s="368" t="s">
        <v>86</v>
      </c>
      <c r="B130" s="369"/>
      <c r="C130" s="369"/>
      <c r="D130" s="369"/>
      <c r="E130" s="370"/>
      <c r="F130" s="117"/>
      <c r="G130" s="118"/>
      <c r="H130" s="114">
        <f>H129/$G$129</f>
        <v>0</v>
      </c>
      <c r="I130" s="114">
        <f t="shared" ref="I130:Q130" si="94">I129/$G$129</f>
        <v>0</v>
      </c>
      <c r="J130" s="114">
        <f t="shared" si="94"/>
        <v>0</v>
      </c>
      <c r="K130" s="114">
        <f t="shared" si="94"/>
        <v>0</v>
      </c>
      <c r="L130" s="114">
        <f t="shared" si="94"/>
        <v>0</v>
      </c>
      <c r="M130" s="114">
        <f t="shared" si="94"/>
        <v>0</v>
      </c>
      <c r="N130" s="114">
        <f t="shared" si="94"/>
        <v>0</v>
      </c>
      <c r="O130" s="114">
        <f t="shared" si="94"/>
        <v>0</v>
      </c>
      <c r="P130" s="114">
        <f t="shared" si="94"/>
        <v>0</v>
      </c>
      <c r="Q130" s="114">
        <f t="shared" si="94"/>
        <v>0</v>
      </c>
      <c r="R130" s="115" t="e">
        <f>Q130/H130</f>
        <v>#DIV/0!</v>
      </c>
      <c r="T130"/>
      <c r="U130"/>
    </row>
  </sheetData>
  <mergeCells count="26">
    <mergeCell ref="A67:E67"/>
    <mergeCell ref="G9:H10"/>
    <mergeCell ref="I9:M9"/>
    <mergeCell ref="A26:E26"/>
    <mergeCell ref="A27:E27"/>
    <mergeCell ref="G29:H30"/>
    <mergeCell ref="I29:M29"/>
    <mergeCell ref="A46:E46"/>
    <mergeCell ref="A47:E47"/>
    <mergeCell ref="G49:H50"/>
    <mergeCell ref="I49:M49"/>
    <mergeCell ref="A66:E66"/>
    <mergeCell ref="I109:M109"/>
    <mergeCell ref="A126:E126"/>
    <mergeCell ref="A127:E127"/>
    <mergeCell ref="G69:H70"/>
    <mergeCell ref="I69:M69"/>
    <mergeCell ref="A86:E86"/>
    <mergeCell ref="A87:E87"/>
    <mergeCell ref="G89:H90"/>
    <mergeCell ref="I89:M89"/>
    <mergeCell ref="A129:E129"/>
    <mergeCell ref="A130:E130"/>
    <mergeCell ref="A106:E106"/>
    <mergeCell ref="A107:E107"/>
    <mergeCell ref="G109:H110"/>
  </mergeCells>
  <conditionalFormatting sqref="K13:K25">
    <cfRule type="expression" dxfId="4" priority="2">
      <formula>D13="S"</formula>
    </cfRule>
  </conditionalFormatting>
  <conditionalFormatting sqref="K34:K45 K54:K65 K74:K85 K94:K105">
    <cfRule type="expression" dxfId="3" priority="3">
      <formula>D34="S"</formula>
    </cfRule>
  </conditionalFormatting>
  <conditionalFormatting sqref="K113:K125">
    <cfRule type="expression" dxfId="2" priority="1">
      <formula>D113="S"</formula>
    </cfRule>
  </conditionalFormatting>
  <printOptions gridLines="1"/>
  <pageMargins left="0.25" right="0.25" top="0.5" bottom="0.5" header="0" footer="0"/>
  <pageSetup paperSize="5" scale="59" fitToHeight="110" orientation="landscape" r:id="rId1"/>
  <headerFooter scaleWithDoc="0" alignWithMargins="0"/>
  <rowBreaks count="5" manualBreakCount="5">
    <brk id="28" min="2" max="17" man="1"/>
    <brk id="48" min="2" max="17" man="1"/>
    <brk id="68" min="2" max="17" man="1"/>
    <brk id="88" min="2" max="17" man="1"/>
    <brk id="108" min="2" max="17"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4034E2-A104-4AC2-BE77-18B69BF9211F}">
  <sheetPr>
    <tabColor theme="6" tint="0.39997558519241921"/>
  </sheetPr>
  <dimension ref="A1:U91"/>
  <sheetViews>
    <sheetView workbookViewId="0"/>
  </sheetViews>
  <sheetFormatPr defaultColWidth="9.140625" defaultRowHeight="12.75"/>
  <cols>
    <col min="1" max="1" width="18.28515625" style="12" customWidth="1"/>
    <col min="2" max="2" width="12.85546875" style="105" customWidth="1"/>
    <col min="3" max="3" width="39.5703125" style="16" customWidth="1"/>
    <col min="4" max="4" width="15.7109375" style="13" customWidth="1"/>
    <col min="5" max="5" width="15.7109375" style="9" customWidth="1"/>
    <col min="6" max="6" width="7.140625" style="10" bestFit="1" customWidth="1"/>
    <col min="7" max="7" width="13.85546875" style="10" bestFit="1" customWidth="1"/>
    <col min="8" max="8" width="15.7109375" style="10" customWidth="1"/>
    <col min="9" max="9" width="15.7109375" style="9" customWidth="1"/>
    <col min="10" max="10" width="16" style="9" bestFit="1" customWidth="1"/>
    <col min="11" max="11" width="15.7109375" style="9" bestFit="1" customWidth="1"/>
    <col min="12" max="12" width="16.7109375" style="12" customWidth="1"/>
    <col min="13" max="13" width="13.5703125" style="12" bestFit="1" customWidth="1"/>
    <col min="14" max="14" width="15.7109375" style="12" customWidth="1"/>
    <col min="15" max="15" width="13.5703125" style="12" bestFit="1" customWidth="1"/>
    <col min="16" max="17" width="15.7109375" style="12" customWidth="1"/>
    <col min="18" max="18" width="9.42578125" style="12" bestFit="1" customWidth="1"/>
    <col min="19" max="19" width="10.5703125" style="12" bestFit="1" customWidth="1"/>
    <col min="20" max="20" width="9.140625" style="12"/>
    <col min="21" max="21" width="9.85546875" style="12" bestFit="1" customWidth="1"/>
    <col min="22" max="16384" width="9.140625" style="12"/>
  </cols>
  <sheetData>
    <row r="1" spans="1:19">
      <c r="A1" s="94" t="s">
        <v>22</v>
      </c>
      <c r="B1" s="194"/>
      <c r="D1" s="8"/>
      <c r="K1" s="11"/>
    </row>
    <row r="2" spans="1:19">
      <c r="A2" s="46" t="str">
        <f>"Solicitation Number: "&amp;Instructions!H9&amp;""</f>
        <v>Solicitation Number: W91CRB-25-R-0002</v>
      </c>
      <c r="B2" s="332"/>
      <c r="K2" s="14"/>
    </row>
    <row r="3" spans="1:19">
      <c r="A3" s="46" t="str">
        <f>"Name of Action: "&amp;Instructions!H10</f>
        <v>Name of Action: Force Development</v>
      </c>
      <c r="B3" s="332"/>
      <c r="K3" s="14"/>
    </row>
    <row r="4" spans="1:19">
      <c r="A4" s="94" t="str">
        <f>"Prime Contractor/Subcontractor Name/Division: "&amp;Instructions!H15</f>
        <v xml:space="preserve">Prime Contractor/Subcontractor Name/Division: </v>
      </c>
      <c r="B4" s="194"/>
      <c r="K4" s="14"/>
    </row>
    <row r="5" spans="1:19">
      <c r="A5" s="94" t="str">
        <f>"Period of Performance: "&amp;Instructions!H11</f>
        <v xml:space="preserve">Period of Performance: </v>
      </c>
      <c r="B5" s="194"/>
      <c r="D5" s="12"/>
      <c r="K5" s="15"/>
    </row>
    <row r="6" spans="1:19">
      <c r="A6" s="94" t="str">
        <f>"Date of Proposal:"&amp;IF(ISBLANK(Instructions!H18)," TBD",(TEXT(Instructions!H18," mm/dd/yyyy")))</f>
        <v>Date of Proposal: TBD</v>
      </c>
      <c r="B6" s="194"/>
      <c r="D6" s="12"/>
      <c r="K6" s="15"/>
    </row>
    <row r="7" spans="1:19">
      <c r="A7" s="94" t="str">
        <f>"Annual Productive Hours: "&amp;AnnualProductiveHours</f>
        <v>Annual Productive Hours: 1920</v>
      </c>
      <c r="B7" s="194"/>
      <c r="D7" s="17"/>
      <c r="K7" s="14"/>
    </row>
    <row r="8" spans="1:19" s="22" customFormat="1">
      <c r="E8" s="18"/>
      <c r="F8" s="19"/>
      <c r="G8" s="19"/>
      <c r="H8" s="19"/>
      <c r="I8" s="20"/>
      <c r="J8" s="20"/>
      <c r="K8" s="18"/>
      <c r="L8" s="20"/>
      <c r="M8" s="21"/>
      <c r="N8" s="20"/>
      <c r="O8" s="21"/>
    </row>
    <row r="9" spans="1:19" s="22" customFormat="1">
      <c r="C9" s="23"/>
      <c r="D9" s="24"/>
      <c r="E9" s="18"/>
      <c r="F9" s="19"/>
      <c r="G9" s="356" t="s">
        <v>1</v>
      </c>
      <c r="H9" s="357"/>
      <c r="I9" s="353" t="s">
        <v>29</v>
      </c>
      <c r="J9" s="354"/>
      <c r="K9" s="354"/>
      <c r="L9" s="354"/>
      <c r="M9" s="355"/>
      <c r="N9" s="20"/>
      <c r="O9" s="21"/>
    </row>
    <row r="10" spans="1:19" s="22" customFormat="1">
      <c r="C10" s="35" t="s">
        <v>262</v>
      </c>
      <c r="D10" s="25"/>
      <c r="E10" s="26"/>
      <c r="F10" s="27"/>
      <c r="G10" s="358"/>
      <c r="H10" s="359"/>
      <c r="I10" s="91">
        <f>'Indirect Rate Summary'!C10</f>
        <v>0</v>
      </c>
      <c r="J10" s="28">
        <f>'Indirect Rate Summary'!D10</f>
        <v>0</v>
      </c>
      <c r="K10" s="28"/>
      <c r="L10" s="29"/>
      <c r="M10" s="95">
        <f>'Indirect Rate Summary'!E10</f>
        <v>0</v>
      </c>
      <c r="N10" s="30"/>
      <c r="O10" s="333">
        <f>'Indirect Rate Summary'!F10</f>
        <v>0</v>
      </c>
    </row>
    <row r="11" spans="1:19" s="143" customFormat="1" ht="89.25">
      <c r="A11" s="79" t="s">
        <v>89</v>
      </c>
      <c r="B11" s="79" t="s">
        <v>90</v>
      </c>
      <c r="C11" s="79" t="s">
        <v>91</v>
      </c>
      <c r="D11" s="79" t="s">
        <v>92</v>
      </c>
      <c r="E11" s="79" t="s">
        <v>93</v>
      </c>
      <c r="F11" s="80" t="s">
        <v>94</v>
      </c>
      <c r="G11" s="141" t="s">
        <v>95</v>
      </c>
      <c r="H11" s="142" t="s">
        <v>96</v>
      </c>
      <c r="I11" s="81" t="s">
        <v>97</v>
      </c>
      <c r="J11" s="81" t="s">
        <v>98</v>
      </c>
      <c r="K11" s="81" t="s">
        <v>99</v>
      </c>
      <c r="L11" s="81" t="s">
        <v>36</v>
      </c>
      <c r="M11" s="81" t="s">
        <v>100</v>
      </c>
      <c r="N11" s="81" t="s">
        <v>24</v>
      </c>
      <c r="O11" s="81" t="s">
        <v>30</v>
      </c>
      <c r="P11" s="81" t="s">
        <v>27</v>
      </c>
      <c r="Q11" s="81" t="s">
        <v>37</v>
      </c>
      <c r="R11" s="81" t="s">
        <v>80</v>
      </c>
    </row>
    <row r="12" spans="1:19" s="82" customFormat="1" ht="13.5" thickBot="1">
      <c r="A12" s="31" t="s">
        <v>8</v>
      </c>
      <c r="B12" s="31" t="s">
        <v>9</v>
      </c>
      <c r="C12" s="31" t="s">
        <v>10</v>
      </c>
      <c r="D12" s="31" t="s">
        <v>32</v>
      </c>
      <c r="E12" s="31" t="s">
        <v>33</v>
      </c>
      <c r="F12" s="31" t="s">
        <v>34</v>
      </c>
      <c r="G12" s="36" t="s">
        <v>39</v>
      </c>
      <c r="H12" s="31" t="s">
        <v>35</v>
      </c>
      <c r="I12" s="32" t="s">
        <v>38</v>
      </c>
      <c r="J12" s="32" t="s">
        <v>67</v>
      </c>
      <c r="K12" s="32" t="s">
        <v>102</v>
      </c>
      <c r="L12" s="32" t="s">
        <v>103</v>
      </c>
      <c r="M12" s="32" t="s">
        <v>104</v>
      </c>
      <c r="N12" s="32" t="s">
        <v>105</v>
      </c>
      <c r="O12" s="32" t="s">
        <v>106</v>
      </c>
      <c r="P12" s="32" t="s">
        <v>107</v>
      </c>
      <c r="Q12" s="32" t="s">
        <v>108</v>
      </c>
      <c r="R12" s="32" t="s">
        <v>81</v>
      </c>
    </row>
    <row r="13" spans="1:19" s="82" customFormat="1">
      <c r="A13" s="168" t="str">
        <f>IF('Direct Labor Rate Schedule'!$A$10="","",'Direct Labor Rate Schedule'!$A$10)</f>
        <v/>
      </c>
      <c r="B13" s="195"/>
      <c r="C13" s="169"/>
      <c r="D13" s="149"/>
      <c r="E13" s="149"/>
      <c r="F13" s="150"/>
      <c r="G13" s="151"/>
      <c r="H13" s="152"/>
      <c r="I13" s="153"/>
      <c r="J13" s="153"/>
      <c r="K13" s="154"/>
      <c r="L13" s="155"/>
      <c r="M13" s="155"/>
      <c r="N13" s="156"/>
      <c r="O13" s="155"/>
      <c r="P13" s="155"/>
      <c r="Q13" s="157"/>
      <c r="R13" s="158"/>
    </row>
    <row r="14" spans="1:19" s="82" customFormat="1">
      <c r="A14" s="299" t="str">
        <f>IF('Direct Labor Rate Schedule'!B18="","",'Direct Labor Rate Schedule'!B11)</f>
        <v/>
      </c>
      <c r="B14" s="300">
        <f>'Direct Labor Rate Schedule'!C11</f>
        <v>0</v>
      </c>
      <c r="C14" s="299" t="str">
        <f>'Direct Labor Rate Schedule'!A11</f>
        <v>Program Manager</v>
      </c>
      <c r="D14" s="97" t="s">
        <v>11</v>
      </c>
      <c r="E14" s="97"/>
      <c r="F14" s="304">
        <f t="shared" ref="F14:F25" si="0">(G14/AnnualProductiveHours)</f>
        <v>8.1250000000000003E-2</v>
      </c>
      <c r="G14" s="305">
        <v>156</v>
      </c>
      <c r="H14" s="301">
        <f>'Direct Labor Rate Schedule'!F11</f>
        <v>0</v>
      </c>
      <c r="I14" s="84">
        <f t="shared" ref="I14:I25" si="1">ROUND((+H14*$I$10),2)</f>
        <v>0</v>
      </c>
      <c r="J14" s="84">
        <f t="shared" ref="J14:J25" si="2">ROUND((+H14*$J$10),2)</f>
        <v>0</v>
      </c>
      <c r="K14" s="145">
        <f t="shared" ref="K14:K25" si="3">+H14+SUM(I14:J14)</f>
        <v>0</v>
      </c>
      <c r="L14" s="85">
        <f t="shared" ref="L14:L25" si="4">ROUND((+G14*K14),2)</f>
        <v>0</v>
      </c>
      <c r="M14" s="85">
        <f>ROUND((+L14*$M$10),2)</f>
        <v>0</v>
      </c>
      <c r="N14" s="103">
        <f>SUM(L14:M14)</f>
        <v>0</v>
      </c>
      <c r="O14" s="85">
        <f>ROUND((+N14*$O$10),2)</f>
        <v>0</v>
      </c>
      <c r="P14" s="85">
        <f>SUM(N14:O14)</f>
        <v>0</v>
      </c>
      <c r="Q14" s="86">
        <f>IFERROR((+P14/G14),"")</f>
        <v>0</v>
      </c>
      <c r="R14" s="102" t="str">
        <f>IFERROR(Q14/H14-1,"")</f>
        <v/>
      </c>
      <c r="S14" s="104"/>
    </row>
    <row r="15" spans="1:19" s="82" customFormat="1">
      <c r="A15" s="299" t="str">
        <f>IF('Direct Labor Rate Schedule'!B19="","",'Direct Labor Rate Schedule'!B12)</f>
        <v/>
      </c>
      <c r="B15" s="300">
        <f>'Direct Labor Rate Schedule'!C12</f>
        <v>0</v>
      </c>
      <c r="C15" s="299" t="str">
        <f>'Direct Labor Rate Schedule'!A12</f>
        <v>Senior Analyst</v>
      </c>
      <c r="D15" s="97" t="s">
        <v>11</v>
      </c>
      <c r="E15" s="97"/>
      <c r="F15" s="304">
        <f t="shared" si="0"/>
        <v>1.0562499999999999</v>
      </c>
      <c r="G15" s="305">
        <v>2028</v>
      </c>
      <c r="H15" s="301">
        <f>'Direct Labor Rate Schedule'!F12</f>
        <v>0</v>
      </c>
      <c r="I15" s="84">
        <f t="shared" si="1"/>
        <v>0</v>
      </c>
      <c r="J15" s="84">
        <f t="shared" si="2"/>
        <v>0</v>
      </c>
      <c r="K15" s="145">
        <f t="shared" si="3"/>
        <v>0</v>
      </c>
      <c r="L15" s="85">
        <f t="shared" si="4"/>
        <v>0</v>
      </c>
      <c r="M15" s="85">
        <f t="shared" ref="M15:M25" si="5">ROUND((+L15*$M$10),2)</f>
        <v>0</v>
      </c>
      <c r="N15" s="103">
        <f t="shared" ref="N15:N25" si="6">SUM(L15:M15)</f>
        <v>0</v>
      </c>
      <c r="O15" s="85">
        <f t="shared" ref="O15:O25" si="7">ROUND((+N15*$O$10),2)</f>
        <v>0</v>
      </c>
      <c r="P15" s="85">
        <f t="shared" ref="P15:P25" si="8">SUM(N15:O15)</f>
        <v>0</v>
      </c>
      <c r="Q15" s="86">
        <f t="shared" ref="Q15:Q25" si="9">IFERROR((+P15/G15),"")</f>
        <v>0</v>
      </c>
      <c r="R15" s="102" t="str">
        <f t="shared" ref="R15:R25" si="10">IFERROR(Q15/H15-1,"")</f>
        <v/>
      </c>
      <c r="S15" s="104"/>
    </row>
    <row r="16" spans="1:19" s="82" customFormat="1">
      <c r="A16" s="299" t="str">
        <f>IF('Direct Labor Rate Schedule'!B20="","",'Direct Labor Rate Schedule'!B13)</f>
        <v/>
      </c>
      <c r="B16" s="300">
        <f>'Direct Labor Rate Schedule'!C13</f>
        <v>0</v>
      </c>
      <c r="C16" s="299" t="str">
        <f>'Direct Labor Rate Schedule'!A13</f>
        <v>Analyst</v>
      </c>
      <c r="D16" s="97" t="s">
        <v>11</v>
      </c>
      <c r="E16" s="97"/>
      <c r="F16" s="304">
        <f t="shared" si="0"/>
        <v>0</v>
      </c>
      <c r="G16" s="305">
        <v>0</v>
      </c>
      <c r="H16" s="301">
        <f>'Direct Labor Rate Schedule'!F13</f>
        <v>0</v>
      </c>
      <c r="I16" s="84">
        <f t="shared" si="1"/>
        <v>0</v>
      </c>
      <c r="J16" s="84">
        <f t="shared" si="2"/>
        <v>0</v>
      </c>
      <c r="K16" s="145">
        <f t="shared" si="3"/>
        <v>0</v>
      </c>
      <c r="L16" s="85">
        <f t="shared" si="4"/>
        <v>0</v>
      </c>
      <c r="M16" s="85">
        <f t="shared" si="5"/>
        <v>0</v>
      </c>
      <c r="N16" s="103">
        <f t="shared" si="6"/>
        <v>0</v>
      </c>
      <c r="O16" s="85">
        <f t="shared" si="7"/>
        <v>0</v>
      </c>
      <c r="P16" s="85">
        <f t="shared" si="8"/>
        <v>0</v>
      </c>
      <c r="Q16" s="86" t="str">
        <f t="shared" si="9"/>
        <v/>
      </c>
      <c r="R16" s="102" t="str">
        <f t="shared" si="10"/>
        <v/>
      </c>
      <c r="S16" s="104"/>
    </row>
    <row r="17" spans="1:19" s="82" customFormat="1">
      <c r="A17" s="299" t="str">
        <f>IF('Direct Labor Rate Schedule'!B21="","",'Direct Labor Rate Schedule'!B14)</f>
        <v/>
      </c>
      <c r="B17" s="300">
        <f>'Direct Labor Rate Schedule'!C14</f>
        <v>0</v>
      </c>
      <c r="C17" s="299" t="str">
        <f>'Direct Labor Rate Schedule'!A14</f>
        <v>Junior Analyst</v>
      </c>
      <c r="D17" s="97" t="s">
        <v>11</v>
      </c>
      <c r="E17" s="97"/>
      <c r="F17" s="304">
        <f t="shared" si="0"/>
        <v>0</v>
      </c>
      <c r="G17" s="305">
        <v>0</v>
      </c>
      <c r="H17" s="301">
        <f>'Direct Labor Rate Schedule'!F14</f>
        <v>0</v>
      </c>
      <c r="I17" s="84">
        <f t="shared" si="1"/>
        <v>0</v>
      </c>
      <c r="J17" s="84">
        <f t="shared" si="2"/>
        <v>0</v>
      </c>
      <c r="K17" s="145">
        <f t="shared" si="3"/>
        <v>0</v>
      </c>
      <c r="L17" s="85">
        <f t="shared" si="4"/>
        <v>0</v>
      </c>
      <c r="M17" s="85">
        <f t="shared" si="5"/>
        <v>0</v>
      </c>
      <c r="N17" s="103">
        <f t="shared" si="6"/>
        <v>0</v>
      </c>
      <c r="O17" s="85">
        <f t="shared" si="7"/>
        <v>0</v>
      </c>
      <c r="P17" s="85">
        <f t="shared" si="8"/>
        <v>0</v>
      </c>
      <c r="Q17" s="86" t="str">
        <f t="shared" si="9"/>
        <v/>
      </c>
      <c r="R17" s="102" t="str">
        <f t="shared" si="10"/>
        <v/>
      </c>
      <c r="S17" s="104"/>
    </row>
    <row r="18" spans="1:19" s="82" customFormat="1">
      <c r="A18" s="299" t="str">
        <f>IF('Direct Labor Rate Schedule'!B22="","",'Direct Labor Rate Schedule'!B15)</f>
        <v/>
      </c>
      <c r="B18" s="300">
        <f>'Direct Labor Rate Schedule'!C15</f>
        <v>0</v>
      </c>
      <c r="C18" s="299" t="str">
        <f>'Direct Labor Rate Schedule'!A15</f>
        <v>Senior Operations Research Analyst</v>
      </c>
      <c r="D18" s="97" t="s">
        <v>11</v>
      </c>
      <c r="E18" s="97"/>
      <c r="F18" s="304">
        <f t="shared" si="0"/>
        <v>8.1250000000000003E-2</v>
      </c>
      <c r="G18" s="305">
        <v>156</v>
      </c>
      <c r="H18" s="301">
        <f>'Direct Labor Rate Schedule'!F15</f>
        <v>0</v>
      </c>
      <c r="I18" s="84">
        <f t="shared" si="1"/>
        <v>0</v>
      </c>
      <c r="J18" s="84">
        <f t="shared" si="2"/>
        <v>0</v>
      </c>
      <c r="K18" s="145">
        <f t="shared" si="3"/>
        <v>0</v>
      </c>
      <c r="L18" s="85">
        <f t="shared" si="4"/>
        <v>0</v>
      </c>
      <c r="M18" s="85">
        <f t="shared" si="5"/>
        <v>0</v>
      </c>
      <c r="N18" s="103">
        <f t="shared" si="6"/>
        <v>0</v>
      </c>
      <c r="O18" s="85">
        <f t="shared" si="7"/>
        <v>0</v>
      </c>
      <c r="P18" s="85">
        <f t="shared" si="8"/>
        <v>0</v>
      </c>
      <c r="Q18" s="86">
        <f t="shared" si="9"/>
        <v>0</v>
      </c>
      <c r="R18" s="102" t="str">
        <f t="shared" si="10"/>
        <v/>
      </c>
      <c r="S18" s="104"/>
    </row>
    <row r="19" spans="1:19" s="82" customFormat="1">
      <c r="A19" s="299" t="str">
        <f>IF('Direct Labor Rate Schedule'!B23="","",'Direct Labor Rate Schedule'!B16)</f>
        <v/>
      </c>
      <c r="B19" s="300">
        <f>'Direct Labor Rate Schedule'!C16</f>
        <v>0</v>
      </c>
      <c r="C19" s="299" t="str">
        <f>'Direct Labor Rate Schedule'!A16</f>
        <v>Operations Research Analyst</v>
      </c>
      <c r="D19" s="97" t="s">
        <v>11</v>
      </c>
      <c r="E19" s="97"/>
      <c r="F19" s="304">
        <f t="shared" si="0"/>
        <v>0</v>
      </c>
      <c r="G19" s="305">
        <v>0</v>
      </c>
      <c r="H19" s="301">
        <f>'Direct Labor Rate Schedule'!F16</f>
        <v>0</v>
      </c>
      <c r="I19" s="84">
        <f t="shared" si="1"/>
        <v>0</v>
      </c>
      <c r="J19" s="84">
        <f t="shared" si="2"/>
        <v>0</v>
      </c>
      <c r="K19" s="145">
        <f t="shared" si="3"/>
        <v>0</v>
      </c>
      <c r="L19" s="85">
        <f t="shared" si="4"/>
        <v>0</v>
      </c>
      <c r="M19" s="85">
        <f t="shared" si="5"/>
        <v>0</v>
      </c>
      <c r="N19" s="103">
        <f t="shared" si="6"/>
        <v>0</v>
      </c>
      <c r="O19" s="85">
        <f t="shared" si="7"/>
        <v>0</v>
      </c>
      <c r="P19" s="85">
        <f t="shared" si="8"/>
        <v>0</v>
      </c>
      <c r="Q19" s="86" t="str">
        <f t="shared" si="9"/>
        <v/>
      </c>
      <c r="R19" s="102" t="str">
        <f t="shared" si="10"/>
        <v/>
      </c>
      <c r="S19" s="104"/>
    </row>
    <row r="20" spans="1:19" s="82" customFormat="1">
      <c r="A20" s="299" t="str">
        <f>IF('Direct Labor Rate Schedule'!B24="","",'Direct Labor Rate Schedule'!B17)</f>
        <v/>
      </c>
      <c r="B20" s="300">
        <f>'Direct Labor Rate Schedule'!C17</f>
        <v>0</v>
      </c>
      <c r="C20" s="299" t="str">
        <f>'Direct Labor Rate Schedule'!A17</f>
        <v>Graphics Design Senior Analyst</v>
      </c>
      <c r="D20" s="97" t="s">
        <v>11</v>
      </c>
      <c r="E20" s="97"/>
      <c r="F20" s="304">
        <f t="shared" si="0"/>
        <v>8.1250000000000003E-2</v>
      </c>
      <c r="G20" s="305">
        <v>156</v>
      </c>
      <c r="H20" s="301">
        <f>'Direct Labor Rate Schedule'!F17</f>
        <v>0</v>
      </c>
      <c r="I20" s="84">
        <f t="shared" si="1"/>
        <v>0</v>
      </c>
      <c r="J20" s="84">
        <f t="shared" si="2"/>
        <v>0</v>
      </c>
      <c r="K20" s="145">
        <f t="shared" si="3"/>
        <v>0</v>
      </c>
      <c r="L20" s="85">
        <f t="shared" si="4"/>
        <v>0</v>
      </c>
      <c r="M20" s="85">
        <f t="shared" si="5"/>
        <v>0</v>
      </c>
      <c r="N20" s="103">
        <f t="shared" si="6"/>
        <v>0</v>
      </c>
      <c r="O20" s="85">
        <f t="shared" si="7"/>
        <v>0</v>
      </c>
      <c r="P20" s="85">
        <f t="shared" si="8"/>
        <v>0</v>
      </c>
      <c r="Q20" s="86">
        <f t="shared" si="9"/>
        <v>0</v>
      </c>
      <c r="R20" s="102" t="str">
        <f t="shared" si="10"/>
        <v/>
      </c>
      <c r="S20" s="104"/>
    </row>
    <row r="21" spans="1:19" s="82" customFormat="1">
      <c r="A21" s="299" t="str">
        <f>IF('Direct Labor Rate Schedule'!B25="","",'Direct Labor Rate Schedule'!B18)</f>
        <v/>
      </c>
      <c r="B21" s="300">
        <f>'Direct Labor Rate Schedule'!C18</f>
        <v>0</v>
      </c>
      <c r="C21" s="299" t="str">
        <f>'Direct Labor Rate Schedule'!A18</f>
        <v>Force Documentation Senior Analyst</v>
      </c>
      <c r="D21" s="97" t="s">
        <v>11</v>
      </c>
      <c r="E21" s="97"/>
      <c r="F21" s="304">
        <f t="shared" si="0"/>
        <v>8.1250000000000003E-2</v>
      </c>
      <c r="G21" s="305">
        <v>156</v>
      </c>
      <c r="H21" s="301">
        <f>'Direct Labor Rate Schedule'!F18</f>
        <v>0</v>
      </c>
      <c r="I21" s="84">
        <f t="shared" si="1"/>
        <v>0</v>
      </c>
      <c r="J21" s="84">
        <f t="shared" si="2"/>
        <v>0</v>
      </c>
      <c r="K21" s="145">
        <f t="shared" si="3"/>
        <v>0</v>
      </c>
      <c r="L21" s="85">
        <f t="shared" si="4"/>
        <v>0</v>
      </c>
      <c r="M21" s="85">
        <f t="shared" si="5"/>
        <v>0</v>
      </c>
      <c r="N21" s="103">
        <f t="shared" si="6"/>
        <v>0</v>
      </c>
      <c r="O21" s="85">
        <f t="shared" si="7"/>
        <v>0</v>
      </c>
      <c r="P21" s="85">
        <f t="shared" si="8"/>
        <v>0</v>
      </c>
      <c r="Q21" s="86">
        <f t="shared" si="9"/>
        <v>0</v>
      </c>
      <c r="R21" s="102" t="str">
        <f t="shared" si="10"/>
        <v/>
      </c>
      <c r="S21" s="104"/>
    </row>
    <row r="22" spans="1:19" s="82" customFormat="1">
      <c r="A22" s="299" t="str">
        <f>IF('Direct Labor Rate Schedule'!B26="","",'Direct Labor Rate Schedule'!B19)</f>
        <v/>
      </c>
      <c r="B22" s="300">
        <f>'Direct Labor Rate Schedule'!C19</f>
        <v>0</v>
      </c>
      <c r="C22" s="299">
        <f>'Direct Labor Rate Schedule'!A19</f>
        <v>0</v>
      </c>
      <c r="D22" s="97" t="s">
        <v>11</v>
      </c>
      <c r="E22" s="97"/>
      <c r="F22" s="304">
        <f t="shared" si="0"/>
        <v>0</v>
      </c>
      <c r="G22" s="305">
        <v>0</v>
      </c>
      <c r="H22" s="301">
        <f>'Direct Labor Rate Schedule'!F19</f>
        <v>0</v>
      </c>
      <c r="I22" s="84">
        <f t="shared" si="1"/>
        <v>0</v>
      </c>
      <c r="J22" s="84">
        <f t="shared" si="2"/>
        <v>0</v>
      </c>
      <c r="K22" s="145">
        <f t="shared" si="3"/>
        <v>0</v>
      </c>
      <c r="L22" s="85">
        <f t="shared" si="4"/>
        <v>0</v>
      </c>
      <c r="M22" s="85">
        <f t="shared" si="5"/>
        <v>0</v>
      </c>
      <c r="N22" s="103">
        <f t="shared" si="6"/>
        <v>0</v>
      </c>
      <c r="O22" s="85">
        <f t="shared" si="7"/>
        <v>0</v>
      </c>
      <c r="P22" s="85">
        <f t="shared" si="8"/>
        <v>0</v>
      </c>
      <c r="Q22" s="86" t="str">
        <f t="shared" si="9"/>
        <v/>
      </c>
      <c r="R22" s="102" t="str">
        <f t="shared" si="10"/>
        <v/>
      </c>
      <c r="S22" s="104"/>
    </row>
    <row r="23" spans="1:19" s="82" customFormat="1">
      <c r="A23" s="299" t="str">
        <f>IF('Direct Labor Rate Schedule'!B27="","",'Direct Labor Rate Schedule'!B20)</f>
        <v/>
      </c>
      <c r="B23" s="300">
        <f>'Direct Labor Rate Schedule'!C20</f>
        <v>0</v>
      </c>
      <c r="C23" s="299">
        <f>'Direct Labor Rate Schedule'!A20</f>
        <v>0</v>
      </c>
      <c r="D23" s="97" t="s">
        <v>11</v>
      </c>
      <c r="E23" s="97"/>
      <c r="F23" s="304">
        <f t="shared" si="0"/>
        <v>0</v>
      </c>
      <c r="G23" s="305">
        <v>0</v>
      </c>
      <c r="H23" s="301">
        <f>'Direct Labor Rate Schedule'!F20</f>
        <v>0</v>
      </c>
      <c r="I23" s="84">
        <f t="shared" si="1"/>
        <v>0</v>
      </c>
      <c r="J23" s="84">
        <f t="shared" si="2"/>
        <v>0</v>
      </c>
      <c r="K23" s="145">
        <f t="shared" si="3"/>
        <v>0</v>
      </c>
      <c r="L23" s="85">
        <f t="shared" si="4"/>
        <v>0</v>
      </c>
      <c r="M23" s="85">
        <f t="shared" si="5"/>
        <v>0</v>
      </c>
      <c r="N23" s="103">
        <f t="shared" si="6"/>
        <v>0</v>
      </c>
      <c r="O23" s="85">
        <f t="shared" si="7"/>
        <v>0</v>
      </c>
      <c r="P23" s="85">
        <f t="shared" si="8"/>
        <v>0</v>
      </c>
      <c r="Q23" s="86" t="str">
        <f t="shared" si="9"/>
        <v/>
      </c>
      <c r="R23" s="102" t="str">
        <f t="shared" si="10"/>
        <v/>
      </c>
      <c r="S23" s="104"/>
    </row>
    <row r="24" spans="1:19" s="82" customFormat="1">
      <c r="A24" s="299" t="str">
        <f>IF('Direct Labor Rate Schedule'!B28="","",'Direct Labor Rate Schedule'!B21)</f>
        <v/>
      </c>
      <c r="B24" s="300">
        <f>'Direct Labor Rate Schedule'!C21</f>
        <v>0</v>
      </c>
      <c r="C24" s="299">
        <f>'Direct Labor Rate Schedule'!A21</f>
        <v>0</v>
      </c>
      <c r="D24" s="97" t="s">
        <v>11</v>
      </c>
      <c r="E24" s="97"/>
      <c r="F24" s="304">
        <f t="shared" si="0"/>
        <v>0</v>
      </c>
      <c r="G24" s="305">
        <v>0</v>
      </c>
      <c r="H24" s="301">
        <f>'Direct Labor Rate Schedule'!F21</f>
        <v>0</v>
      </c>
      <c r="I24" s="84">
        <f t="shared" si="1"/>
        <v>0</v>
      </c>
      <c r="J24" s="84">
        <f t="shared" si="2"/>
        <v>0</v>
      </c>
      <c r="K24" s="145">
        <f t="shared" si="3"/>
        <v>0</v>
      </c>
      <c r="L24" s="85">
        <f t="shared" si="4"/>
        <v>0</v>
      </c>
      <c r="M24" s="85">
        <f t="shared" si="5"/>
        <v>0</v>
      </c>
      <c r="N24" s="103">
        <f t="shared" si="6"/>
        <v>0</v>
      </c>
      <c r="O24" s="85">
        <f t="shared" si="7"/>
        <v>0</v>
      </c>
      <c r="P24" s="85">
        <f t="shared" si="8"/>
        <v>0</v>
      </c>
      <c r="Q24" s="86" t="str">
        <f t="shared" si="9"/>
        <v/>
      </c>
      <c r="R24" s="102" t="str">
        <f t="shared" si="10"/>
        <v/>
      </c>
      <c r="S24" s="104"/>
    </row>
    <row r="25" spans="1:19" s="82" customFormat="1" ht="13.5" thickBot="1">
      <c r="A25" s="299" t="str">
        <f>IF('Direct Labor Rate Schedule'!B29="","",'Direct Labor Rate Schedule'!B22)</f>
        <v/>
      </c>
      <c r="B25" s="300">
        <f>'Direct Labor Rate Schedule'!C22</f>
        <v>0</v>
      </c>
      <c r="C25" s="299">
        <f>'Direct Labor Rate Schedule'!A22</f>
        <v>0</v>
      </c>
      <c r="D25" s="97" t="s">
        <v>11</v>
      </c>
      <c r="E25" s="97"/>
      <c r="F25" s="304">
        <f t="shared" si="0"/>
        <v>0</v>
      </c>
      <c r="G25" s="305">
        <v>0</v>
      </c>
      <c r="H25" s="301">
        <f>'Direct Labor Rate Schedule'!F22</f>
        <v>0</v>
      </c>
      <c r="I25" s="84">
        <f t="shared" si="1"/>
        <v>0</v>
      </c>
      <c r="J25" s="84">
        <f t="shared" si="2"/>
        <v>0</v>
      </c>
      <c r="K25" s="145">
        <f t="shared" si="3"/>
        <v>0</v>
      </c>
      <c r="L25" s="85">
        <f t="shared" si="4"/>
        <v>0</v>
      </c>
      <c r="M25" s="85">
        <f t="shared" si="5"/>
        <v>0</v>
      </c>
      <c r="N25" s="103">
        <f t="shared" si="6"/>
        <v>0</v>
      </c>
      <c r="O25" s="85">
        <f t="shared" si="7"/>
        <v>0</v>
      </c>
      <c r="P25" s="85">
        <f t="shared" si="8"/>
        <v>0</v>
      </c>
      <c r="Q25" s="86" t="str">
        <f t="shared" si="9"/>
        <v/>
      </c>
      <c r="R25" s="102" t="str">
        <f t="shared" si="10"/>
        <v/>
      </c>
      <c r="S25" s="104"/>
    </row>
    <row r="26" spans="1:19" s="82" customFormat="1" ht="14.25" thickTop="1" thickBot="1">
      <c r="A26" s="360" t="s">
        <v>85</v>
      </c>
      <c r="B26" s="361"/>
      <c r="C26" s="361"/>
      <c r="D26" s="361"/>
      <c r="E26" s="362"/>
      <c r="F26" s="146">
        <f>SUM(F14:F25)</f>
        <v>1.3812500000000001</v>
      </c>
      <c r="G26" s="146">
        <f>SUM(G14:G25)</f>
        <v>2652</v>
      </c>
      <c r="H26" s="108">
        <f>SUMPRODUCT(H14:H25,$G14:$G25)</f>
        <v>0</v>
      </c>
      <c r="I26" s="108">
        <f>SUMPRODUCT(I14:I25,$G14:$G25)</f>
        <v>0</v>
      </c>
      <c r="J26" s="108">
        <f>SUMPRODUCT(J14:J25,$G14:$G25)</f>
        <v>0</v>
      </c>
      <c r="K26" s="108">
        <f>SUMPRODUCT(K14:K25,$G14:$G25)</f>
        <v>0</v>
      </c>
      <c r="L26" s="108">
        <f>SUM(L14:L25)</f>
        <v>0</v>
      </c>
      <c r="M26" s="108">
        <f>SUM(M14:M25)</f>
        <v>0</v>
      </c>
      <c r="N26" s="108">
        <f>SUM(N14:N25)</f>
        <v>0</v>
      </c>
      <c r="O26" s="108">
        <f>SUM(O14:O25)</f>
        <v>0</v>
      </c>
      <c r="P26" s="108">
        <f>SUM(P14:P25)</f>
        <v>0</v>
      </c>
      <c r="Q26" s="108">
        <f>SUMPRODUCT(Q14:Q25,$G14:$G25)</f>
        <v>0</v>
      </c>
      <c r="R26" s="109"/>
    </row>
    <row r="27" spans="1:19" s="82" customFormat="1" ht="14.25" thickTop="1" thickBot="1">
      <c r="A27" s="360" t="s">
        <v>86</v>
      </c>
      <c r="B27" s="361"/>
      <c r="C27" s="361"/>
      <c r="D27" s="361"/>
      <c r="E27" s="362"/>
      <c r="F27" s="116"/>
      <c r="G27" s="173">
        <f>G26/SUM(F14:F25)</f>
        <v>1919.9999999999998</v>
      </c>
      <c r="H27" s="110">
        <f>H26/$G26</f>
        <v>0</v>
      </c>
      <c r="I27" s="110">
        <f t="shared" ref="I27:J27" si="11">I26/$G26</f>
        <v>0</v>
      </c>
      <c r="J27" s="110">
        <f t="shared" si="11"/>
        <v>0</v>
      </c>
      <c r="K27" s="110">
        <f>K26/$G26</f>
        <v>0</v>
      </c>
      <c r="L27" s="110">
        <f>L26/$G26</f>
        <v>0</v>
      </c>
      <c r="M27" s="110">
        <f t="shared" ref="M27:P27" si="12">M26/$G26</f>
        <v>0</v>
      </c>
      <c r="N27" s="110">
        <f t="shared" si="12"/>
        <v>0</v>
      </c>
      <c r="O27" s="110">
        <f t="shared" si="12"/>
        <v>0</v>
      </c>
      <c r="P27" s="110">
        <f t="shared" si="12"/>
        <v>0</v>
      </c>
      <c r="Q27" s="110">
        <f>Q26/$G26</f>
        <v>0</v>
      </c>
      <c r="R27" s="115" t="e">
        <f>Q27/H27</f>
        <v>#DIV/0!</v>
      </c>
    </row>
    <row r="28" spans="1:19" s="82" customFormat="1" ht="13.5" thickTop="1">
      <c r="C28" s="16"/>
      <c r="D28" s="17"/>
      <c r="E28" s="9"/>
      <c r="F28" s="10"/>
      <c r="G28" s="10"/>
      <c r="H28" s="10"/>
      <c r="I28" s="9"/>
      <c r="J28" s="9"/>
      <c r="K28" s="14"/>
      <c r="L28" s="12"/>
      <c r="M28" s="12"/>
      <c r="N28" s="12"/>
      <c r="O28" s="12"/>
      <c r="P28" s="12"/>
      <c r="Q28" s="12"/>
    </row>
    <row r="29" spans="1:19" s="82" customFormat="1" hidden="1">
      <c r="C29" s="23"/>
      <c r="D29" s="24"/>
      <c r="E29" s="18"/>
      <c r="F29" s="19"/>
      <c r="G29" s="356" t="s">
        <v>28</v>
      </c>
      <c r="H29" s="363"/>
      <c r="I29" s="366" t="s">
        <v>29</v>
      </c>
      <c r="J29" s="366"/>
      <c r="K29" s="367"/>
      <c r="L29" s="367"/>
      <c r="M29" s="367"/>
      <c r="N29" s="20"/>
      <c r="O29" s="21"/>
      <c r="P29" s="22"/>
      <c r="Q29" s="22"/>
    </row>
    <row r="30" spans="1:19" s="82" customFormat="1" hidden="1">
      <c r="C30" s="35"/>
      <c r="D30" s="25"/>
      <c r="E30" s="26"/>
      <c r="F30" s="27"/>
      <c r="G30" s="364"/>
      <c r="H30" s="365"/>
      <c r="I30" s="91">
        <f>'Indirect Rate Summary'!C10</f>
        <v>0</v>
      </c>
      <c r="J30" s="28">
        <f>'Indirect Rate Summary'!D10</f>
        <v>0</v>
      </c>
      <c r="K30" s="28"/>
      <c r="L30" s="29"/>
      <c r="M30" s="95">
        <f>'Indirect Rate Summary'!E10</f>
        <v>0</v>
      </c>
      <c r="N30" s="30"/>
      <c r="O30" s="333">
        <f>'Indirect Rate Summary'!F10</f>
        <v>0</v>
      </c>
      <c r="P30" s="22"/>
      <c r="Q30" s="22"/>
    </row>
    <row r="31" spans="1:19" s="144" customFormat="1" ht="89.25" hidden="1">
      <c r="A31" s="79" t="str">
        <f t="shared" ref="A31:R32" si="13">+A11</f>
        <v>Location (Note 1)</v>
      </c>
      <c r="B31" s="79" t="str">
        <f t="shared" si="13"/>
        <v>Labor Type (Note 2)</v>
      </c>
      <c r="C31" s="79" t="str">
        <f t="shared" si="13"/>
        <v>Labor Categories (Note 3)</v>
      </c>
      <c r="D31" s="79" t="str">
        <f t="shared" si="13"/>
        <v>Effort To Be Performed By The Prime (P) or Subcontractor (S) (Note 4)</v>
      </c>
      <c r="E31" s="79" t="str">
        <f t="shared" si="13"/>
        <v>If Column D=S, Enter Name of Subcontractor(s) (Note 5)</v>
      </c>
      <c r="F31" s="80" t="str">
        <f t="shared" si="13"/>
        <v>FTEs (Note 6)</v>
      </c>
      <c r="G31" s="141" t="str">
        <f t="shared" si="13"/>
        <v>Total Productive Hours (Note 7)</v>
      </c>
      <c r="H31" s="142" t="str">
        <f t="shared" si="13"/>
        <v>Hourly Base Pay Rate (Note 8)</v>
      </c>
      <c r="I31" s="81" t="str">
        <f t="shared" si="13"/>
        <v>Fringe (Note 9)</v>
      </c>
      <c r="J31" s="81" t="str">
        <f t="shared" si="13"/>
        <v>Overhead (Note 10)</v>
      </c>
      <c r="K31" s="81" t="str">
        <f t="shared" si="13"/>
        <v xml:space="preserve"> Prime/Sub Hourly Rate Before Application Of  Prime G&amp;A &amp; Fee (IF Col C=S Enter Sub Rate) (Note 11)</v>
      </c>
      <c r="L31" s="81" t="str">
        <f t="shared" si="13"/>
        <v>Total Prime &amp; Sub Labor Before Prime G&amp;A &amp; Fee</v>
      </c>
      <c r="M31" s="81" t="str">
        <f t="shared" si="13"/>
        <v>G&amp;A (Note 12)</v>
      </c>
      <c r="N31" s="81" t="str">
        <f t="shared" si="13"/>
        <v>Total Cost</v>
      </c>
      <c r="O31" s="81" t="str">
        <f t="shared" si="13"/>
        <v>Fee</v>
      </c>
      <c r="P31" s="81" t="str">
        <f t="shared" si="13"/>
        <v>Total Price</v>
      </c>
      <c r="Q31" s="81" t="str">
        <f t="shared" si="13"/>
        <v xml:space="preserve">Proposal Fully Burdened Hourly Billing Rate </v>
      </c>
      <c r="R31" s="81" t="str">
        <f t="shared" si="13"/>
        <v>Wrap Rate</v>
      </c>
    </row>
    <row r="32" spans="1:19" s="82" customFormat="1" ht="13.5" hidden="1" thickBot="1">
      <c r="A32" s="31" t="str">
        <f t="shared" si="13"/>
        <v>a</v>
      </c>
      <c r="B32" s="31" t="str">
        <f t="shared" si="13"/>
        <v>b</v>
      </c>
      <c r="C32" s="31" t="str">
        <f t="shared" si="13"/>
        <v>c</v>
      </c>
      <c r="D32" s="31" t="str">
        <f t="shared" si="13"/>
        <v>d</v>
      </c>
      <c r="E32" s="31" t="str">
        <f t="shared" si="13"/>
        <v>e</v>
      </c>
      <c r="F32" s="31" t="str">
        <f t="shared" si="13"/>
        <v>f</v>
      </c>
      <c r="G32" s="36" t="str">
        <f t="shared" si="13"/>
        <v>g</v>
      </c>
      <c r="H32" s="31" t="str">
        <f t="shared" si="13"/>
        <v>h</v>
      </c>
      <c r="I32" s="32" t="str">
        <f t="shared" si="13"/>
        <v>i</v>
      </c>
      <c r="J32" s="32" t="str">
        <f t="shared" si="13"/>
        <v>j</v>
      </c>
      <c r="K32" s="32" t="str">
        <f t="shared" si="13"/>
        <v>k = h + i + j</v>
      </c>
      <c r="L32" s="32" t="str">
        <f t="shared" si="13"/>
        <v>l = g x k</v>
      </c>
      <c r="M32" s="32" t="str">
        <f t="shared" si="13"/>
        <v>m</v>
      </c>
      <c r="N32" s="32" t="str">
        <f t="shared" si="13"/>
        <v>n = l + o</v>
      </c>
      <c r="O32" s="32" t="str">
        <f t="shared" si="13"/>
        <v>o</v>
      </c>
      <c r="P32" s="32" t="str">
        <f t="shared" si="13"/>
        <v>p = n + o</v>
      </c>
      <c r="Q32" s="32" t="str">
        <f t="shared" si="13"/>
        <v>q = p/g</v>
      </c>
      <c r="R32" s="32" t="str">
        <f t="shared" si="13"/>
        <v>r = q/h</v>
      </c>
    </row>
    <row r="33" spans="1:18" s="82" customFormat="1" hidden="1">
      <c r="A33" s="168" t="str">
        <f>IF('Direct Labor Rate Schedule'!$A$10="","",'Direct Labor Rate Schedule'!$A$10)</f>
        <v/>
      </c>
      <c r="B33" s="196"/>
      <c r="C33" s="167"/>
      <c r="D33" s="159"/>
      <c r="E33" s="159"/>
      <c r="F33" s="160"/>
      <c r="G33" s="161"/>
      <c r="H33" s="162"/>
      <c r="I33" s="163"/>
      <c r="J33" s="163"/>
      <c r="K33" s="163"/>
      <c r="L33" s="164"/>
      <c r="M33" s="164"/>
      <c r="N33" s="164"/>
      <c r="O33" s="164"/>
      <c r="P33" s="164"/>
      <c r="Q33" s="165"/>
      <c r="R33" s="166"/>
    </row>
    <row r="34" spans="1:18" s="82" customFormat="1" hidden="1">
      <c r="A34" s="303" t="str">
        <f t="shared" ref="A34:C45" si="14">A14</f>
        <v/>
      </c>
      <c r="B34" s="212">
        <f t="shared" si="14"/>
        <v>0</v>
      </c>
      <c r="C34" s="211" t="str">
        <f t="shared" si="14"/>
        <v>Program Manager</v>
      </c>
      <c r="D34" s="97" t="s">
        <v>11</v>
      </c>
      <c r="E34" s="97"/>
      <c r="F34" s="304">
        <f t="shared" ref="F34:F45" si="15">(G34/AnnualProductiveHours)*(12/11)</f>
        <v>0</v>
      </c>
      <c r="G34" s="305"/>
      <c r="H34" s="83">
        <f>'Direct Labor Rate Schedule'!F11</f>
        <v>0</v>
      </c>
      <c r="I34" s="84">
        <f>ROUND((+H34*$I$30),2)</f>
        <v>0</v>
      </c>
      <c r="J34" s="84">
        <f>ROUND((+H34*$J$30),2)</f>
        <v>0</v>
      </c>
      <c r="K34" s="145">
        <f t="shared" ref="K34" si="16">+H34+SUM(I34:J34)</f>
        <v>0</v>
      </c>
      <c r="L34" s="85">
        <f t="shared" ref="L34:L45" si="17">ROUND((+G34*K34),2)</f>
        <v>0</v>
      </c>
      <c r="M34" s="85">
        <f>ROUND((+L34*$M$30),2)</f>
        <v>0</v>
      </c>
      <c r="N34" s="85">
        <f t="shared" ref="N34:N45" si="18">SUM(L34:M34)</f>
        <v>0</v>
      </c>
      <c r="O34" s="85">
        <f>ROUND((+N34*$O$30),2)</f>
        <v>0</v>
      </c>
      <c r="P34" s="85">
        <f t="shared" ref="P34:P45" si="19">SUM(N34:O34)</f>
        <v>0</v>
      </c>
      <c r="Q34" s="86" t="str">
        <f t="shared" ref="Q34:Q45" si="20">IFERROR((+P34/G34),"")</f>
        <v/>
      </c>
      <c r="R34" s="102" t="str">
        <f t="shared" ref="R34:R45" si="21">IFERROR(Q34/H34-1,"")</f>
        <v/>
      </c>
    </row>
    <row r="35" spans="1:18" s="82" customFormat="1" hidden="1">
      <c r="A35" s="303" t="str">
        <f t="shared" si="14"/>
        <v/>
      </c>
      <c r="B35" s="212">
        <f t="shared" si="14"/>
        <v>0</v>
      </c>
      <c r="C35" s="211" t="str">
        <f t="shared" si="14"/>
        <v>Senior Analyst</v>
      </c>
      <c r="D35" s="97" t="s">
        <v>11</v>
      </c>
      <c r="E35" s="97"/>
      <c r="F35" s="304">
        <f t="shared" si="15"/>
        <v>0</v>
      </c>
      <c r="G35" s="305"/>
      <c r="H35" s="83">
        <f>'Direct Labor Rate Schedule'!F12</f>
        <v>0</v>
      </c>
      <c r="I35" s="84">
        <f t="shared" ref="I35:I45" si="22">ROUND((+H35*$I$30),2)</f>
        <v>0</v>
      </c>
      <c r="J35" s="84">
        <f t="shared" ref="J35:J45" si="23">ROUND((+H35*$J$30),2)</f>
        <v>0</v>
      </c>
      <c r="K35" s="145">
        <f t="shared" ref="K35:K45" si="24">+H35+SUM(I35:J35)</f>
        <v>0</v>
      </c>
      <c r="L35" s="85">
        <f t="shared" si="17"/>
        <v>0</v>
      </c>
      <c r="M35" s="85">
        <f t="shared" ref="M35:M45" si="25">ROUND((+L35*$M$30),2)</f>
        <v>0</v>
      </c>
      <c r="N35" s="85">
        <f t="shared" si="18"/>
        <v>0</v>
      </c>
      <c r="O35" s="85">
        <f t="shared" ref="O35:O45" si="26">ROUND((+N35*$O$30),2)</f>
        <v>0</v>
      </c>
      <c r="P35" s="85">
        <f t="shared" si="19"/>
        <v>0</v>
      </c>
      <c r="Q35" s="86" t="str">
        <f t="shared" si="20"/>
        <v/>
      </c>
      <c r="R35" s="102" t="str">
        <f t="shared" si="21"/>
        <v/>
      </c>
    </row>
    <row r="36" spans="1:18" s="82" customFormat="1" hidden="1">
      <c r="A36" s="303" t="str">
        <f t="shared" si="14"/>
        <v/>
      </c>
      <c r="B36" s="212">
        <f t="shared" si="14"/>
        <v>0</v>
      </c>
      <c r="C36" s="211" t="str">
        <f t="shared" si="14"/>
        <v>Analyst</v>
      </c>
      <c r="D36" s="97" t="s">
        <v>11</v>
      </c>
      <c r="E36" s="97"/>
      <c r="F36" s="304">
        <f t="shared" si="15"/>
        <v>0</v>
      </c>
      <c r="G36" s="305"/>
      <c r="H36" s="83">
        <f>'Direct Labor Rate Schedule'!F13</f>
        <v>0</v>
      </c>
      <c r="I36" s="84">
        <f t="shared" si="22"/>
        <v>0</v>
      </c>
      <c r="J36" s="84">
        <f t="shared" si="23"/>
        <v>0</v>
      </c>
      <c r="K36" s="145">
        <f t="shared" si="24"/>
        <v>0</v>
      </c>
      <c r="L36" s="85">
        <f t="shared" si="17"/>
        <v>0</v>
      </c>
      <c r="M36" s="85">
        <f t="shared" si="25"/>
        <v>0</v>
      </c>
      <c r="N36" s="85">
        <f t="shared" si="18"/>
        <v>0</v>
      </c>
      <c r="O36" s="85">
        <f t="shared" si="26"/>
        <v>0</v>
      </c>
      <c r="P36" s="85">
        <f t="shared" si="19"/>
        <v>0</v>
      </c>
      <c r="Q36" s="86" t="str">
        <f t="shared" si="20"/>
        <v/>
      </c>
      <c r="R36" s="102" t="str">
        <f t="shared" si="21"/>
        <v/>
      </c>
    </row>
    <row r="37" spans="1:18" s="82" customFormat="1" hidden="1">
      <c r="A37" s="303" t="str">
        <f t="shared" si="14"/>
        <v/>
      </c>
      <c r="B37" s="212">
        <f t="shared" si="14"/>
        <v>0</v>
      </c>
      <c r="C37" s="211" t="str">
        <f t="shared" si="14"/>
        <v>Junior Analyst</v>
      </c>
      <c r="D37" s="97" t="s">
        <v>11</v>
      </c>
      <c r="E37" s="97"/>
      <c r="F37" s="304">
        <f t="shared" si="15"/>
        <v>0</v>
      </c>
      <c r="G37" s="305"/>
      <c r="H37" s="83">
        <f>'Direct Labor Rate Schedule'!F14</f>
        <v>0</v>
      </c>
      <c r="I37" s="84">
        <f t="shared" si="22"/>
        <v>0</v>
      </c>
      <c r="J37" s="84">
        <f t="shared" si="23"/>
        <v>0</v>
      </c>
      <c r="K37" s="145">
        <f t="shared" si="24"/>
        <v>0</v>
      </c>
      <c r="L37" s="85">
        <f>ROUND((+G37*K37),2)</f>
        <v>0</v>
      </c>
      <c r="M37" s="85">
        <f t="shared" si="25"/>
        <v>0</v>
      </c>
      <c r="N37" s="85">
        <f t="shared" si="18"/>
        <v>0</v>
      </c>
      <c r="O37" s="85">
        <f t="shared" si="26"/>
        <v>0</v>
      </c>
      <c r="P37" s="85">
        <f t="shared" si="19"/>
        <v>0</v>
      </c>
      <c r="Q37" s="86" t="str">
        <f t="shared" si="20"/>
        <v/>
      </c>
      <c r="R37" s="102" t="str">
        <f t="shared" si="21"/>
        <v/>
      </c>
    </row>
    <row r="38" spans="1:18" s="82" customFormat="1" hidden="1">
      <c r="A38" s="303" t="str">
        <f t="shared" si="14"/>
        <v/>
      </c>
      <c r="B38" s="212">
        <f t="shared" si="14"/>
        <v>0</v>
      </c>
      <c r="C38" s="211" t="str">
        <f t="shared" si="14"/>
        <v>Senior Operations Research Analyst</v>
      </c>
      <c r="D38" s="97" t="s">
        <v>11</v>
      </c>
      <c r="E38" s="97"/>
      <c r="F38" s="304">
        <f t="shared" si="15"/>
        <v>0</v>
      </c>
      <c r="G38" s="305"/>
      <c r="H38" s="83">
        <f>'Direct Labor Rate Schedule'!F15</f>
        <v>0</v>
      </c>
      <c r="I38" s="84">
        <f t="shared" si="22"/>
        <v>0</v>
      </c>
      <c r="J38" s="84">
        <f t="shared" si="23"/>
        <v>0</v>
      </c>
      <c r="K38" s="145">
        <f t="shared" si="24"/>
        <v>0</v>
      </c>
      <c r="L38" s="85">
        <f t="shared" si="17"/>
        <v>0</v>
      </c>
      <c r="M38" s="85">
        <f t="shared" si="25"/>
        <v>0</v>
      </c>
      <c r="N38" s="85">
        <f t="shared" si="18"/>
        <v>0</v>
      </c>
      <c r="O38" s="85">
        <f t="shared" si="26"/>
        <v>0</v>
      </c>
      <c r="P38" s="85">
        <f t="shared" si="19"/>
        <v>0</v>
      </c>
      <c r="Q38" s="86" t="str">
        <f t="shared" si="20"/>
        <v/>
      </c>
      <c r="R38" s="102" t="str">
        <f t="shared" si="21"/>
        <v/>
      </c>
    </row>
    <row r="39" spans="1:18" s="82" customFormat="1" hidden="1">
      <c r="A39" s="303" t="str">
        <f t="shared" si="14"/>
        <v/>
      </c>
      <c r="B39" s="212">
        <f t="shared" si="14"/>
        <v>0</v>
      </c>
      <c r="C39" s="211" t="str">
        <f t="shared" si="14"/>
        <v>Operations Research Analyst</v>
      </c>
      <c r="D39" s="97" t="s">
        <v>11</v>
      </c>
      <c r="E39" s="97"/>
      <c r="F39" s="304">
        <f t="shared" si="15"/>
        <v>0</v>
      </c>
      <c r="G39" s="305"/>
      <c r="H39" s="83">
        <f>'Direct Labor Rate Schedule'!F16</f>
        <v>0</v>
      </c>
      <c r="I39" s="84">
        <f t="shared" si="22"/>
        <v>0</v>
      </c>
      <c r="J39" s="84">
        <f t="shared" si="23"/>
        <v>0</v>
      </c>
      <c r="K39" s="145">
        <f t="shared" si="24"/>
        <v>0</v>
      </c>
      <c r="L39" s="85">
        <f t="shared" si="17"/>
        <v>0</v>
      </c>
      <c r="M39" s="85">
        <f t="shared" si="25"/>
        <v>0</v>
      </c>
      <c r="N39" s="85">
        <f t="shared" si="18"/>
        <v>0</v>
      </c>
      <c r="O39" s="85">
        <f t="shared" si="26"/>
        <v>0</v>
      </c>
      <c r="P39" s="85">
        <f t="shared" si="19"/>
        <v>0</v>
      </c>
      <c r="Q39" s="86" t="str">
        <f t="shared" si="20"/>
        <v/>
      </c>
      <c r="R39" s="102" t="str">
        <f t="shared" si="21"/>
        <v/>
      </c>
    </row>
    <row r="40" spans="1:18" s="82" customFormat="1" hidden="1">
      <c r="A40" s="303" t="str">
        <f t="shared" si="14"/>
        <v/>
      </c>
      <c r="B40" s="212">
        <f t="shared" si="14"/>
        <v>0</v>
      </c>
      <c r="C40" s="211" t="str">
        <f t="shared" si="14"/>
        <v>Graphics Design Senior Analyst</v>
      </c>
      <c r="D40" s="97" t="s">
        <v>11</v>
      </c>
      <c r="E40" s="97"/>
      <c r="F40" s="304">
        <f t="shared" si="15"/>
        <v>0</v>
      </c>
      <c r="G40" s="305"/>
      <c r="H40" s="83">
        <f>'Direct Labor Rate Schedule'!F17</f>
        <v>0</v>
      </c>
      <c r="I40" s="84">
        <f t="shared" si="22"/>
        <v>0</v>
      </c>
      <c r="J40" s="84">
        <f t="shared" si="23"/>
        <v>0</v>
      </c>
      <c r="K40" s="145">
        <f t="shared" si="24"/>
        <v>0</v>
      </c>
      <c r="L40" s="85">
        <f t="shared" si="17"/>
        <v>0</v>
      </c>
      <c r="M40" s="85">
        <f t="shared" si="25"/>
        <v>0</v>
      </c>
      <c r="N40" s="85">
        <f t="shared" si="18"/>
        <v>0</v>
      </c>
      <c r="O40" s="85">
        <f t="shared" si="26"/>
        <v>0</v>
      </c>
      <c r="P40" s="85">
        <f t="shared" si="19"/>
        <v>0</v>
      </c>
      <c r="Q40" s="86" t="str">
        <f t="shared" si="20"/>
        <v/>
      </c>
      <c r="R40" s="102" t="str">
        <f t="shared" si="21"/>
        <v/>
      </c>
    </row>
    <row r="41" spans="1:18" s="82" customFormat="1" hidden="1">
      <c r="A41" s="303" t="str">
        <f t="shared" si="14"/>
        <v/>
      </c>
      <c r="B41" s="212">
        <f t="shared" si="14"/>
        <v>0</v>
      </c>
      <c r="C41" s="211" t="str">
        <f t="shared" si="14"/>
        <v>Force Documentation Senior Analyst</v>
      </c>
      <c r="D41" s="97" t="s">
        <v>11</v>
      </c>
      <c r="E41" s="97"/>
      <c r="F41" s="304">
        <f t="shared" si="15"/>
        <v>0</v>
      </c>
      <c r="G41" s="305"/>
      <c r="H41" s="83">
        <f>'Direct Labor Rate Schedule'!F18</f>
        <v>0</v>
      </c>
      <c r="I41" s="84">
        <f t="shared" si="22"/>
        <v>0</v>
      </c>
      <c r="J41" s="84">
        <f t="shared" si="23"/>
        <v>0</v>
      </c>
      <c r="K41" s="145">
        <f t="shared" si="24"/>
        <v>0</v>
      </c>
      <c r="L41" s="85">
        <f t="shared" si="17"/>
        <v>0</v>
      </c>
      <c r="M41" s="85">
        <f t="shared" si="25"/>
        <v>0</v>
      </c>
      <c r="N41" s="85">
        <f t="shared" si="18"/>
        <v>0</v>
      </c>
      <c r="O41" s="85">
        <f t="shared" si="26"/>
        <v>0</v>
      </c>
      <c r="P41" s="85">
        <f t="shared" si="19"/>
        <v>0</v>
      </c>
      <c r="Q41" s="86" t="str">
        <f t="shared" si="20"/>
        <v/>
      </c>
      <c r="R41" s="102" t="str">
        <f t="shared" si="21"/>
        <v/>
      </c>
    </row>
    <row r="42" spans="1:18" s="82" customFormat="1" hidden="1">
      <c r="A42" s="303" t="str">
        <f t="shared" si="14"/>
        <v/>
      </c>
      <c r="B42" s="212">
        <f t="shared" si="14"/>
        <v>0</v>
      </c>
      <c r="C42" s="211">
        <f t="shared" si="14"/>
        <v>0</v>
      </c>
      <c r="D42" s="97" t="s">
        <v>11</v>
      </c>
      <c r="E42" s="97"/>
      <c r="F42" s="304">
        <f t="shared" si="15"/>
        <v>0</v>
      </c>
      <c r="G42" s="305"/>
      <c r="H42" s="83">
        <f>'Direct Labor Rate Schedule'!F19</f>
        <v>0</v>
      </c>
      <c r="I42" s="84">
        <f t="shared" si="22"/>
        <v>0</v>
      </c>
      <c r="J42" s="84">
        <f t="shared" si="23"/>
        <v>0</v>
      </c>
      <c r="K42" s="145">
        <f t="shared" si="24"/>
        <v>0</v>
      </c>
      <c r="L42" s="85">
        <f t="shared" si="17"/>
        <v>0</v>
      </c>
      <c r="M42" s="85">
        <f t="shared" si="25"/>
        <v>0</v>
      </c>
      <c r="N42" s="85">
        <f t="shared" si="18"/>
        <v>0</v>
      </c>
      <c r="O42" s="85">
        <f t="shared" si="26"/>
        <v>0</v>
      </c>
      <c r="P42" s="85">
        <f t="shared" si="19"/>
        <v>0</v>
      </c>
      <c r="Q42" s="86" t="str">
        <f t="shared" si="20"/>
        <v/>
      </c>
      <c r="R42" s="102" t="str">
        <f t="shared" si="21"/>
        <v/>
      </c>
    </row>
    <row r="43" spans="1:18" s="82" customFormat="1" hidden="1">
      <c r="A43" s="303" t="str">
        <f t="shared" si="14"/>
        <v/>
      </c>
      <c r="B43" s="212">
        <f t="shared" si="14"/>
        <v>0</v>
      </c>
      <c r="C43" s="211">
        <f t="shared" si="14"/>
        <v>0</v>
      </c>
      <c r="D43" s="97" t="s">
        <v>11</v>
      </c>
      <c r="E43" s="97"/>
      <c r="F43" s="304">
        <f t="shared" si="15"/>
        <v>0</v>
      </c>
      <c r="G43" s="305"/>
      <c r="H43" s="83">
        <f>'Direct Labor Rate Schedule'!F20</f>
        <v>0</v>
      </c>
      <c r="I43" s="84">
        <f t="shared" si="22"/>
        <v>0</v>
      </c>
      <c r="J43" s="84">
        <f t="shared" si="23"/>
        <v>0</v>
      </c>
      <c r="K43" s="145">
        <f t="shared" si="24"/>
        <v>0</v>
      </c>
      <c r="L43" s="85">
        <f t="shared" si="17"/>
        <v>0</v>
      </c>
      <c r="M43" s="85">
        <f t="shared" si="25"/>
        <v>0</v>
      </c>
      <c r="N43" s="85">
        <f t="shared" si="18"/>
        <v>0</v>
      </c>
      <c r="O43" s="85">
        <f t="shared" si="26"/>
        <v>0</v>
      </c>
      <c r="P43" s="85">
        <f t="shared" si="19"/>
        <v>0</v>
      </c>
      <c r="Q43" s="86" t="str">
        <f t="shared" si="20"/>
        <v/>
      </c>
      <c r="R43" s="102" t="str">
        <f t="shared" si="21"/>
        <v/>
      </c>
    </row>
    <row r="44" spans="1:18" s="82" customFormat="1" hidden="1">
      <c r="A44" s="303" t="str">
        <f t="shared" si="14"/>
        <v/>
      </c>
      <c r="B44" s="212">
        <f t="shared" si="14"/>
        <v>0</v>
      </c>
      <c r="C44" s="211">
        <f t="shared" si="14"/>
        <v>0</v>
      </c>
      <c r="D44" s="97" t="s">
        <v>11</v>
      </c>
      <c r="E44" s="97"/>
      <c r="F44" s="304">
        <f t="shared" si="15"/>
        <v>0</v>
      </c>
      <c r="G44" s="305"/>
      <c r="H44" s="83">
        <f>'Direct Labor Rate Schedule'!F21</f>
        <v>0</v>
      </c>
      <c r="I44" s="84">
        <f t="shared" si="22"/>
        <v>0</v>
      </c>
      <c r="J44" s="84">
        <f t="shared" si="23"/>
        <v>0</v>
      </c>
      <c r="K44" s="145">
        <f t="shared" si="24"/>
        <v>0</v>
      </c>
      <c r="L44" s="85">
        <f t="shared" si="17"/>
        <v>0</v>
      </c>
      <c r="M44" s="85">
        <f t="shared" si="25"/>
        <v>0</v>
      </c>
      <c r="N44" s="85">
        <f t="shared" si="18"/>
        <v>0</v>
      </c>
      <c r="O44" s="85">
        <f t="shared" si="26"/>
        <v>0</v>
      </c>
      <c r="P44" s="85">
        <f t="shared" si="19"/>
        <v>0</v>
      </c>
      <c r="Q44" s="86" t="str">
        <f t="shared" si="20"/>
        <v/>
      </c>
      <c r="R44" s="102" t="str">
        <f t="shared" si="21"/>
        <v/>
      </c>
    </row>
    <row r="45" spans="1:18" s="82" customFormat="1" hidden="1">
      <c r="A45" s="303" t="str">
        <f t="shared" si="14"/>
        <v/>
      </c>
      <c r="B45" s="212">
        <f t="shared" si="14"/>
        <v>0</v>
      </c>
      <c r="C45" s="211">
        <f t="shared" si="14"/>
        <v>0</v>
      </c>
      <c r="D45" s="97" t="s">
        <v>11</v>
      </c>
      <c r="E45" s="97"/>
      <c r="F45" s="304">
        <f t="shared" si="15"/>
        <v>0</v>
      </c>
      <c r="G45" s="305"/>
      <c r="H45" s="83">
        <f>'Direct Labor Rate Schedule'!F22</f>
        <v>0</v>
      </c>
      <c r="I45" s="84">
        <f t="shared" si="22"/>
        <v>0</v>
      </c>
      <c r="J45" s="84">
        <f t="shared" si="23"/>
        <v>0</v>
      </c>
      <c r="K45" s="145">
        <f t="shared" si="24"/>
        <v>0</v>
      </c>
      <c r="L45" s="85">
        <f t="shared" si="17"/>
        <v>0</v>
      </c>
      <c r="M45" s="85">
        <f t="shared" si="25"/>
        <v>0</v>
      </c>
      <c r="N45" s="85">
        <f t="shared" si="18"/>
        <v>0</v>
      </c>
      <c r="O45" s="85">
        <f t="shared" si="26"/>
        <v>0</v>
      </c>
      <c r="P45" s="85">
        <f t="shared" si="19"/>
        <v>0</v>
      </c>
      <c r="Q45" s="86" t="str">
        <f t="shared" si="20"/>
        <v/>
      </c>
      <c r="R45" s="102" t="str">
        <f t="shared" si="21"/>
        <v/>
      </c>
    </row>
    <row r="46" spans="1:18" s="82" customFormat="1" ht="14.25" hidden="1" thickTop="1" thickBot="1">
      <c r="A46" s="360" t="s">
        <v>85</v>
      </c>
      <c r="B46" s="361"/>
      <c r="C46" s="361"/>
      <c r="D46" s="361"/>
      <c r="E46" s="362"/>
      <c r="F46" s="146">
        <f>SUM(F34:F45)</f>
        <v>0</v>
      </c>
      <c r="G46" s="146">
        <f>SUM(G34:G45)</f>
        <v>0</v>
      </c>
      <c r="H46" s="108">
        <f>SUMPRODUCT(H34:H45,$G34:$G45)</f>
        <v>0</v>
      </c>
      <c r="I46" s="108">
        <f>SUMPRODUCT(I34:I45,$G34:$G45)</f>
        <v>0</v>
      </c>
      <c r="J46" s="108">
        <f>SUMPRODUCT(J34:J45,$G34:$G45)</f>
        <v>0</v>
      </c>
      <c r="K46" s="108">
        <f>SUMPRODUCT(K34:K45,$G34:$G45)</f>
        <v>0</v>
      </c>
      <c r="L46" s="108">
        <f>SUM(L34:L45)</f>
        <v>0</v>
      </c>
      <c r="M46" s="108">
        <f>SUM(M34:M45)</f>
        <v>0</v>
      </c>
      <c r="N46" s="108">
        <f>SUM(N34:N45)</f>
        <v>0</v>
      </c>
      <c r="O46" s="108">
        <f>SUM(O34:O45)</f>
        <v>0</v>
      </c>
      <c r="P46" s="108">
        <f>SUM(P34:P45)</f>
        <v>0</v>
      </c>
      <c r="Q46" s="108">
        <f>SUMPRODUCT(Q34:Q45,$G34:$G45)</f>
        <v>0</v>
      </c>
      <c r="R46" s="109"/>
    </row>
    <row r="47" spans="1:18" s="82" customFormat="1" ht="14.25" hidden="1" thickTop="1" thickBot="1">
      <c r="A47" s="360" t="s">
        <v>86</v>
      </c>
      <c r="B47" s="361"/>
      <c r="C47" s="361"/>
      <c r="D47" s="361"/>
      <c r="E47" s="362"/>
      <c r="F47" s="116"/>
      <c r="G47" s="173" t="e">
        <f>G46/SUM(F34:F45)</f>
        <v>#DIV/0!</v>
      </c>
      <c r="H47" s="110" t="e">
        <f>H46/$G46</f>
        <v>#DIV/0!</v>
      </c>
      <c r="I47" s="110" t="e">
        <f t="shared" ref="I47:J47" si="27">I46/$G46</f>
        <v>#DIV/0!</v>
      </c>
      <c r="J47" s="110" t="e">
        <f t="shared" si="27"/>
        <v>#DIV/0!</v>
      </c>
      <c r="K47" s="110" t="e">
        <f>K46/$G46</f>
        <v>#DIV/0!</v>
      </c>
      <c r="L47" s="110" t="e">
        <f>L46/$G46</f>
        <v>#DIV/0!</v>
      </c>
      <c r="M47" s="110" t="e">
        <f t="shared" ref="M47:P47" si="28">M46/$G46</f>
        <v>#DIV/0!</v>
      </c>
      <c r="N47" s="110" t="e">
        <f t="shared" si="28"/>
        <v>#DIV/0!</v>
      </c>
      <c r="O47" s="110" t="e">
        <f t="shared" si="28"/>
        <v>#DIV/0!</v>
      </c>
      <c r="P47" s="110" t="e">
        <f t="shared" si="28"/>
        <v>#DIV/0!</v>
      </c>
      <c r="Q47" s="110" t="e">
        <f>Q46/$G46</f>
        <v>#DIV/0!</v>
      </c>
      <c r="R47" s="115" t="e">
        <f>Q47/H47</f>
        <v>#DIV/0!</v>
      </c>
    </row>
    <row r="48" spans="1:18" s="82" customFormat="1" hidden="1">
      <c r="C48" s="16"/>
      <c r="D48" s="17"/>
      <c r="E48" s="9"/>
      <c r="F48" s="10"/>
      <c r="G48" s="10"/>
      <c r="H48" s="10"/>
      <c r="I48" s="9"/>
      <c r="J48" s="9"/>
      <c r="K48" s="14"/>
      <c r="L48" s="12"/>
      <c r="M48" s="12"/>
      <c r="N48" s="12"/>
      <c r="O48" s="12"/>
      <c r="P48" s="12"/>
      <c r="Q48" s="12"/>
    </row>
    <row r="49" spans="1:18" s="82" customFormat="1">
      <c r="C49" s="23"/>
      <c r="D49" s="24"/>
      <c r="E49" s="18"/>
      <c r="F49" s="19"/>
      <c r="G49" s="356" t="s">
        <v>28</v>
      </c>
      <c r="H49" s="363"/>
      <c r="I49" s="366" t="s">
        <v>29</v>
      </c>
      <c r="J49" s="366"/>
      <c r="K49" s="367"/>
      <c r="L49" s="367"/>
      <c r="M49" s="367"/>
      <c r="N49" s="20"/>
      <c r="O49" s="21"/>
      <c r="P49" s="22"/>
      <c r="Q49" s="22"/>
    </row>
    <row r="50" spans="1:18" s="82" customFormat="1">
      <c r="C50" s="35" t="s">
        <v>263</v>
      </c>
      <c r="D50" s="25"/>
      <c r="E50" s="26"/>
      <c r="F50" s="27"/>
      <c r="G50" s="364"/>
      <c r="H50" s="365"/>
      <c r="I50" s="91">
        <f>'Indirect Rate Summary'!C38</f>
        <v>0</v>
      </c>
      <c r="J50" s="91">
        <f>'Indirect Rate Summary'!D38</f>
        <v>0</v>
      </c>
      <c r="K50" s="28"/>
      <c r="L50" s="29"/>
      <c r="M50" s="95">
        <f>'Indirect Rate Summary'!E38</f>
        <v>0</v>
      </c>
      <c r="N50" s="30"/>
      <c r="O50" s="333">
        <f>'Indirect Rate Summary'!F38</f>
        <v>0</v>
      </c>
      <c r="P50" s="22"/>
      <c r="Q50" s="22"/>
    </row>
    <row r="51" spans="1:18" s="144" customFormat="1" ht="89.25">
      <c r="A51" s="79" t="str">
        <f t="shared" ref="A51:R52" si="29">+A31</f>
        <v>Location (Note 1)</v>
      </c>
      <c r="B51" s="79" t="str">
        <f t="shared" si="29"/>
        <v>Labor Type (Note 2)</v>
      </c>
      <c r="C51" s="79" t="str">
        <f t="shared" si="29"/>
        <v>Labor Categories (Note 3)</v>
      </c>
      <c r="D51" s="79" t="str">
        <f t="shared" si="29"/>
        <v>Effort To Be Performed By The Prime (P) or Subcontractor (S) (Note 4)</v>
      </c>
      <c r="E51" s="79" t="str">
        <f t="shared" si="29"/>
        <v>If Column D=S, Enter Name of Subcontractor(s) (Note 5)</v>
      </c>
      <c r="F51" s="80" t="str">
        <f t="shared" si="29"/>
        <v>FTEs (Note 6)</v>
      </c>
      <c r="G51" s="141" t="str">
        <f t="shared" si="29"/>
        <v>Total Productive Hours (Note 7)</v>
      </c>
      <c r="H51" s="142" t="str">
        <f t="shared" si="29"/>
        <v>Hourly Base Pay Rate (Note 8)</v>
      </c>
      <c r="I51" s="81" t="str">
        <f t="shared" si="29"/>
        <v>Fringe (Note 9)</v>
      </c>
      <c r="J51" s="81" t="str">
        <f t="shared" si="29"/>
        <v>Overhead (Note 10)</v>
      </c>
      <c r="K51" s="81" t="str">
        <f t="shared" si="29"/>
        <v xml:space="preserve"> Prime/Sub Hourly Rate Before Application Of  Prime G&amp;A &amp; Fee (IF Col C=S Enter Sub Rate) (Note 11)</v>
      </c>
      <c r="L51" s="81" t="str">
        <f t="shared" si="29"/>
        <v>Total Prime &amp; Sub Labor Before Prime G&amp;A &amp; Fee</v>
      </c>
      <c r="M51" s="81" t="str">
        <f t="shared" si="29"/>
        <v>G&amp;A (Note 12)</v>
      </c>
      <c r="N51" s="81" t="str">
        <f t="shared" si="29"/>
        <v>Total Cost</v>
      </c>
      <c r="O51" s="81" t="str">
        <f t="shared" si="29"/>
        <v>Fee</v>
      </c>
      <c r="P51" s="81" t="str">
        <f t="shared" si="29"/>
        <v>Total Price</v>
      </c>
      <c r="Q51" s="81" t="str">
        <f t="shared" si="29"/>
        <v xml:space="preserve">Proposal Fully Burdened Hourly Billing Rate </v>
      </c>
      <c r="R51" s="81" t="str">
        <f t="shared" si="29"/>
        <v>Wrap Rate</v>
      </c>
    </row>
    <row r="52" spans="1:18" s="82" customFormat="1" ht="13.5" thickBot="1">
      <c r="A52" s="31" t="str">
        <f t="shared" si="29"/>
        <v>a</v>
      </c>
      <c r="B52" s="31" t="str">
        <f t="shared" si="29"/>
        <v>b</v>
      </c>
      <c r="C52" s="31" t="str">
        <f t="shared" si="29"/>
        <v>c</v>
      </c>
      <c r="D52" s="31" t="str">
        <f t="shared" si="29"/>
        <v>d</v>
      </c>
      <c r="E52" s="31" t="str">
        <f t="shared" si="29"/>
        <v>e</v>
      </c>
      <c r="F52" s="31" t="str">
        <f t="shared" si="29"/>
        <v>f</v>
      </c>
      <c r="G52" s="36" t="str">
        <f t="shared" si="29"/>
        <v>g</v>
      </c>
      <c r="H52" s="31" t="str">
        <f t="shared" si="29"/>
        <v>h</v>
      </c>
      <c r="I52" s="32" t="str">
        <f t="shared" si="29"/>
        <v>i</v>
      </c>
      <c r="J52" s="32" t="str">
        <f t="shared" si="29"/>
        <v>j</v>
      </c>
      <c r="K52" s="32" t="str">
        <f t="shared" si="29"/>
        <v>k = h + i + j</v>
      </c>
      <c r="L52" s="32" t="str">
        <f t="shared" si="29"/>
        <v>l = g x k</v>
      </c>
      <c r="M52" s="32" t="str">
        <f t="shared" si="29"/>
        <v>m</v>
      </c>
      <c r="N52" s="32" t="str">
        <f t="shared" si="29"/>
        <v>n = l + o</v>
      </c>
      <c r="O52" s="32" t="str">
        <f t="shared" si="29"/>
        <v>o</v>
      </c>
      <c r="P52" s="32" t="str">
        <f t="shared" si="29"/>
        <v>p = n + o</v>
      </c>
      <c r="Q52" s="32" t="str">
        <f t="shared" si="29"/>
        <v>q = p/g</v>
      </c>
      <c r="R52" s="32" t="str">
        <f t="shared" si="29"/>
        <v>r = q/h</v>
      </c>
    </row>
    <row r="53" spans="1:18" s="82" customFormat="1">
      <c r="A53" s="168" t="str">
        <f>IF('Direct Labor Rate Schedule'!$A$10="","",'Direct Labor Rate Schedule'!$A$10)</f>
        <v/>
      </c>
      <c r="B53" s="196"/>
      <c r="C53" s="167"/>
      <c r="D53" s="159"/>
      <c r="E53" s="159"/>
      <c r="F53" s="160"/>
      <c r="G53" s="161"/>
      <c r="H53" s="162"/>
      <c r="I53" s="163"/>
      <c r="J53" s="163"/>
      <c r="K53" s="163"/>
      <c r="L53" s="164"/>
      <c r="M53" s="164"/>
      <c r="N53" s="164"/>
      <c r="O53" s="164"/>
      <c r="P53" s="164"/>
      <c r="Q53" s="165"/>
      <c r="R53" s="166"/>
    </row>
    <row r="54" spans="1:18" s="82" customFormat="1">
      <c r="A54" s="303" t="str">
        <f>A34</f>
        <v/>
      </c>
      <c r="B54" s="212">
        <f>B34</f>
        <v>0</v>
      </c>
      <c r="C54" s="211" t="str">
        <f>C34</f>
        <v>Program Manager</v>
      </c>
      <c r="D54" s="97" t="s">
        <v>11</v>
      </c>
      <c r="E54" s="97"/>
      <c r="F54" s="304">
        <f t="shared" ref="F54:F65" si="30">G54/AnnualProductiveHours</f>
        <v>0.48958333333333331</v>
      </c>
      <c r="G54" s="305">
        <v>940</v>
      </c>
      <c r="H54" s="83">
        <f>'Direct Labor Rate Schedule'!N11</f>
        <v>0</v>
      </c>
      <c r="I54" s="84">
        <f t="shared" ref="I54:I65" si="31">ROUND((+H54*$I$50),2)</f>
        <v>0</v>
      </c>
      <c r="J54" s="84">
        <f t="shared" ref="J54:J65" si="32">ROUND((+H54*$J$50),2)</f>
        <v>0</v>
      </c>
      <c r="K54" s="145">
        <f t="shared" ref="K54" si="33">+H54+SUM(I54:J54)</f>
        <v>0</v>
      </c>
      <c r="L54" s="85">
        <f t="shared" ref="L54:L65" si="34">ROUND((+G54*K54),2)</f>
        <v>0</v>
      </c>
      <c r="M54" s="85">
        <f t="shared" ref="M54:M65" si="35">ROUND((+L54*$M$50),2)</f>
        <v>0</v>
      </c>
      <c r="N54" s="85">
        <f t="shared" ref="N54:N65" si="36">SUM(L54:M54)</f>
        <v>0</v>
      </c>
      <c r="O54" s="85">
        <f t="shared" ref="O54:O65" si="37">ROUND((+N54*$O$50),2)</f>
        <v>0</v>
      </c>
      <c r="P54" s="85">
        <f>SUM(N54:O54)</f>
        <v>0</v>
      </c>
      <c r="Q54" s="86">
        <f t="shared" ref="Q54:Q65" si="38">IFERROR((+P54/G54),"")</f>
        <v>0</v>
      </c>
      <c r="R54" s="102" t="str">
        <f t="shared" ref="R54:R65" si="39">IFERROR(Q54/H54-1,"")</f>
        <v/>
      </c>
    </row>
    <row r="55" spans="1:18" s="82" customFormat="1">
      <c r="A55" s="303" t="str">
        <f t="shared" ref="A55:C65" si="40">A35</f>
        <v/>
      </c>
      <c r="B55" s="212">
        <f t="shared" si="40"/>
        <v>0</v>
      </c>
      <c r="C55" s="211" t="str">
        <f t="shared" si="40"/>
        <v>Senior Analyst</v>
      </c>
      <c r="D55" s="97" t="s">
        <v>11</v>
      </c>
      <c r="E55" s="97"/>
      <c r="F55" s="304">
        <f t="shared" si="30"/>
        <v>23.002604166666668</v>
      </c>
      <c r="G55" s="305">
        <v>44165</v>
      </c>
      <c r="H55" s="83">
        <f>'Direct Labor Rate Schedule'!N12</f>
        <v>0</v>
      </c>
      <c r="I55" s="84">
        <f t="shared" si="31"/>
        <v>0</v>
      </c>
      <c r="J55" s="84">
        <f t="shared" si="32"/>
        <v>0</v>
      </c>
      <c r="K55" s="145">
        <f t="shared" ref="K55:K65" si="41">+H55+SUM(I55:J55)</f>
        <v>0</v>
      </c>
      <c r="L55" s="85">
        <f t="shared" si="34"/>
        <v>0</v>
      </c>
      <c r="M55" s="85">
        <f t="shared" si="35"/>
        <v>0</v>
      </c>
      <c r="N55" s="85">
        <f t="shared" si="36"/>
        <v>0</v>
      </c>
      <c r="O55" s="85">
        <f t="shared" si="37"/>
        <v>0</v>
      </c>
      <c r="P55" s="85">
        <f t="shared" ref="P55:P65" si="42">SUM(N55:O55)</f>
        <v>0</v>
      </c>
      <c r="Q55" s="86">
        <f t="shared" si="38"/>
        <v>0</v>
      </c>
      <c r="R55" s="102" t="str">
        <f t="shared" si="39"/>
        <v/>
      </c>
    </row>
    <row r="56" spans="1:18" s="82" customFormat="1">
      <c r="A56" s="303" t="str">
        <f t="shared" si="40"/>
        <v/>
      </c>
      <c r="B56" s="212">
        <f t="shared" si="40"/>
        <v>0</v>
      </c>
      <c r="C56" s="211" t="str">
        <f t="shared" si="40"/>
        <v>Analyst</v>
      </c>
      <c r="D56" s="97" t="s">
        <v>11</v>
      </c>
      <c r="E56" s="97"/>
      <c r="F56" s="304">
        <f t="shared" si="30"/>
        <v>1.46875</v>
      </c>
      <c r="G56" s="305">
        <v>2820</v>
      </c>
      <c r="H56" s="83">
        <f>'Direct Labor Rate Schedule'!N13</f>
        <v>0</v>
      </c>
      <c r="I56" s="84">
        <f t="shared" si="31"/>
        <v>0</v>
      </c>
      <c r="J56" s="84">
        <f t="shared" si="32"/>
        <v>0</v>
      </c>
      <c r="K56" s="145">
        <f t="shared" si="41"/>
        <v>0</v>
      </c>
      <c r="L56" s="85">
        <f t="shared" si="34"/>
        <v>0</v>
      </c>
      <c r="M56" s="85">
        <f t="shared" si="35"/>
        <v>0</v>
      </c>
      <c r="N56" s="85">
        <f t="shared" si="36"/>
        <v>0</v>
      </c>
      <c r="O56" s="85">
        <f t="shared" si="37"/>
        <v>0</v>
      </c>
      <c r="P56" s="85">
        <f t="shared" si="42"/>
        <v>0</v>
      </c>
      <c r="Q56" s="86">
        <f t="shared" si="38"/>
        <v>0</v>
      </c>
      <c r="R56" s="102" t="str">
        <f t="shared" si="39"/>
        <v/>
      </c>
    </row>
    <row r="57" spans="1:18" s="82" customFormat="1">
      <c r="A57" s="303" t="str">
        <f t="shared" si="40"/>
        <v/>
      </c>
      <c r="B57" s="212">
        <f t="shared" si="40"/>
        <v>0</v>
      </c>
      <c r="C57" s="211" t="str">
        <f t="shared" si="40"/>
        <v>Junior Analyst</v>
      </c>
      <c r="D57" s="97" t="s">
        <v>11</v>
      </c>
      <c r="E57" s="97"/>
      <c r="F57" s="304">
        <f t="shared" si="30"/>
        <v>1.46875</v>
      </c>
      <c r="G57" s="305">
        <v>2820</v>
      </c>
      <c r="H57" s="83">
        <f>'Direct Labor Rate Schedule'!N14</f>
        <v>0</v>
      </c>
      <c r="I57" s="84">
        <f t="shared" si="31"/>
        <v>0</v>
      </c>
      <c r="J57" s="84">
        <f t="shared" si="32"/>
        <v>0</v>
      </c>
      <c r="K57" s="145">
        <f t="shared" si="41"/>
        <v>0</v>
      </c>
      <c r="L57" s="85">
        <f t="shared" si="34"/>
        <v>0</v>
      </c>
      <c r="M57" s="85">
        <f t="shared" si="35"/>
        <v>0</v>
      </c>
      <c r="N57" s="85">
        <f t="shared" si="36"/>
        <v>0</v>
      </c>
      <c r="O57" s="85">
        <f t="shared" si="37"/>
        <v>0</v>
      </c>
      <c r="P57" s="85">
        <f t="shared" si="42"/>
        <v>0</v>
      </c>
      <c r="Q57" s="86">
        <f t="shared" si="38"/>
        <v>0</v>
      </c>
      <c r="R57" s="102" t="str">
        <f t="shared" si="39"/>
        <v/>
      </c>
    </row>
    <row r="58" spans="1:18" s="82" customFormat="1">
      <c r="A58" s="303" t="str">
        <f t="shared" si="40"/>
        <v/>
      </c>
      <c r="B58" s="212">
        <f t="shared" si="40"/>
        <v>0</v>
      </c>
      <c r="C58" s="211" t="str">
        <f t="shared" si="40"/>
        <v>Senior Operations Research Analyst</v>
      </c>
      <c r="D58" s="97" t="s">
        <v>11</v>
      </c>
      <c r="E58" s="97"/>
      <c r="F58" s="304">
        <f t="shared" si="30"/>
        <v>1.46875</v>
      </c>
      <c r="G58" s="305">
        <v>2820</v>
      </c>
      <c r="H58" s="83">
        <f>'Direct Labor Rate Schedule'!N15</f>
        <v>0</v>
      </c>
      <c r="I58" s="84">
        <f t="shared" si="31"/>
        <v>0</v>
      </c>
      <c r="J58" s="84">
        <f t="shared" si="32"/>
        <v>0</v>
      </c>
      <c r="K58" s="145">
        <f t="shared" si="41"/>
        <v>0</v>
      </c>
      <c r="L58" s="85">
        <f t="shared" si="34"/>
        <v>0</v>
      </c>
      <c r="M58" s="85">
        <f t="shared" si="35"/>
        <v>0</v>
      </c>
      <c r="N58" s="85">
        <f t="shared" si="36"/>
        <v>0</v>
      </c>
      <c r="O58" s="85">
        <f t="shared" si="37"/>
        <v>0</v>
      </c>
      <c r="P58" s="85">
        <f t="shared" si="42"/>
        <v>0</v>
      </c>
      <c r="Q58" s="86">
        <f t="shared" si="38"/>
        <v>0</v>
      </c>
      <c r="R58" s="102" t="str">
        <f t="shared" si="39"/>
        <v/>
      </c>
    </row>
    <row r="59" spans="1:18" s="82" customFormat="1">
      <c r="A59" s="303" t="str">
        <f t="shared" si="40"/>
        <v/>
      </c>
      <c r="B59" s="212">
        <f t="shared" si="40"/>
        <v>0</v>
      </c>
      <c r="C59" s="211" t="str">
        <f t="shared" si="40"/>
        <v>Operations Research Analyst</v>
      </c>
      <c r="D59" s="97" t="s">
        <v>11</v>
      </c>
      <c r="E59" s="97"/>
      <c r="F59" s="304">
        <f t="shared" si="30"/>
        <v>0.97916666666666663</v>
      </c>
      <c r="G59" s="305">
        <v>1880</v>
      </c>
      <c r="H59" s="83">
        <f>'Direct Labor Rate Schedule'!N16</f>
        <v>0</v>
      </c>
      <c r="I59" s="84">
        <f t="shared" si="31"/>
        <v>0</v>
      </c>
      <c r="J59" s="84">
        <f t="shared" si="32"/>
        <v>0</v>
      </c>
      <c r="K59" s="145">
        <f t="shared" si="41"/>
        <v>0</v>
      </c>
      <c r="L59" s="85">
        <f t="shared" si="34"/>
        <v>0</v>
      </c>
      <c r="M59" s="85">
        <f t="shared" si="35"/>
        <v>0</v>
      </c>
      <c r="N59" s="85">
        <f t="shared" si="36"/>
        <v>0</v>
      </c>
      <c r="O59" s="85">
        <f t="shared" si="37"/>
        <v>0</v>
      </c>
      <c r="P59" s="85">
        <f t="shared" si="42"/>
        <v>0</v>
      </c>
      <c r="Q59" s="86">
        <f t="shared" si="38"/>
        <v>0</v>
      </c>
      <c r="R59" s="102" t="str">
        <f t="shared" si="39"/>
        <v/>
      </c>
    </row>
    <row r="60" spans="1:18" s="82" customFormat="1">
      <c r="A60" s="303" t="str">
        <f t="shared" si="40"/>
        <v/>
      </c>
      <c r="B60" s="212">
        <f t="shared" si="40"/>
        <v>0</v>
      </c>
      <c r="C60" s="211" t="str">
        <f t="shared" si="40"/>
        <v>Graphics Design Senior Analyst</v>
      </c>
      <c r="D60" s="97" t="s">
        <v>11</v>
      </c>
      <c r="E60" s="97"/>
      <c r="F60" s="304">
        <f t="shared" si="30"/>
        <v>0.48958333333333331</v>
      </c>
      <c r="G60" s="305">
        <v>940</v>
      </c>
      <c r="H60" s="83">
        <f>'Direct Labor Rate Schedule'!N17</f>
        <v>0</v>
      </c>
      <c r="I60" s="84">
        <f t="shared" si="31"/>
        <v>0</v>
      </c>
      <c r="J60" s="84">
        <f t="shared" si="32"/>
        <v>0</v>
      </c>
      <c r="K60" s="145">
        <f t="shared" si="41"/>
        <v>0</v>
      </c>
      <c r="L60" s="85">
        <f t="shared" si="34"/>
        <v>0</v>
      </c>
      <c r="M60" s="85">
        <f t="shared" si="35"/>
        <v>0</v>
      </c>
      <c r="N60" s="85">
        <f t="shared" si="36"/>
        <v>0</v>
      </c>
      <c r="O60" s="85">
        <f t="shared" si="37"/>
        <v>0</v>
      </c>
      <c r="P60" s="85">
        <f t="shared" si="42"/>
        <v>0</v>
      </c>
      <c r="Q60" s="86">
        <f t="shared" si="38"/>
        <v>0</v>
      </c>
      <c r="R60" s="102" t="str">
        <f t="shared" si="39"/>
        <v/>
      </c>
    </row>
    <row r="61" spans="1:18" s="82" customFormat="1">
      <c r="A61" s="303" t="str">
        <f t="shared" si="40"/>
        <v/>
      </c>
      <c r="B61" s="212">
        <f t="shared" si="40"/>
        <v>0</v>
      </c>
      <c r="C61" s="211" t="str">
        <f t="shared" si="40"/>
        <v>Force Documentation Senior Analyst</v>
      </c>
      <c r="D61" s="97" t="s">
        <v>11</v>
      </c>
      <c r="E61" s="97"/>
      <c r="F61" s="304">
        <f t="shared" si="30"/>
        <v>0.48958333333333331</v>
      </c>
      <c r="G61" s="305">
        <v>940</v>
      </c>
      <c r="H61" s="83">
        <f>'Direct Labor Rate Schedule'!N18</f>
        <v>0</v>
      </c>
      <c r="I61" s="84">
        <f t="shared" si="31"/>
        <v>0</v>
      </c>
      <c r="J61" s="84">
        <f t="shared" si="32"/>
        <v>0</v>
      </c>
      <c r="K61" s="145">
        <f t="shared" si="41"/>
        <v>0</v>
      </c>
      <c r="L61" s="85">
        <f t="shared" si="34"/>
        <v>0</v>
      </c>
      <c r="M61" s="85">
        <f t="shared" si="35"/>
        <v>0</v>
      </c>
      <c r="N61" s="85">
        <f t="shared" si="36"/>
        <v>0</v>
      </c>
      <c r="O61" s="85">
        <f t="shared" si="37"/>
        <v>0</v>
      </c>
      <c r="P61" s="85">
        <f t="shared" si="42"/>
        <v>0</v>
      </c>
      <c r="Q61" s="86">
        <f t="shared" si="38"/>
        <v>0</v>
      </c>
      <c r="R61" s="102" t="str">
        <f t="shared" si="39"/>
        <v/>
      </c>
    </row>
    <row r="62" spans="1:18" s="82" customFormat="1">
      <c r="A62" s="303" t="str">
        <f t="shared" si="40"/>
        <v/>
      </c>
      <c r="B62" s="212">
        <f t="shared" si="40"/>
        <v>0</v>
      </c>
      <c r="C62" s="211">
        <f t="shared" si="40"/>
        <v>0</v>
      </c>
      <c r="D62" s="97" t="s">
        <v>11</v>
      </c>
      <c r="E62" s="97"/>
      <c r="F62" s="304">
        <f t="shared" si="30"/>
        <v>0</v>
      </c>
      <c r="G62" s="305">
        <v>0</v>
      </c>
      <c r="H62" s="83">
        <f>'Direct Labor Rate Schedule'!N19</f>
        <v>0</v>
      </c>
      <c r="I62" s="84">
        <f t="shared" si="31"/>
        <v>0</v>
      </c>
      <c r="J62" s="84">
        <f t="shared" si="32"/>
        <v>0</v>
      </c>
      <c r="K62" s="145">
        <f t="shared" si="41"/>
        <v>0</v>
      </c>
      <c r="L62" s="85">
        <f t="shared" si="34"/>
        <v>0</v>
      </c>
      <c r="M62" s="85">
        <f t="shared" si="35"/>
        <v>0</v>
      </c>
      <c r="N62" s="85">
        <f t="shared" si="36"/>
        <v>0</v>
      </c>
      <c r="O62" s="85">
        <f t="shared" si="37"/>
        <v>0</v>
      </c>
      <c r="P62" s="85">
        <f t="shared" si="42"/>
        <v>0</v>
      </c>
      <c r="Q62" s="86" t="str">
        <f t="shared" si="38"/>
        <v/>
      </c>
      <c r="R62" s="102" t="str">
        <f t="shared" si="39"/>
        <v/>
      </c>
    </row>
    <row r="63" spans="1:18" s="82" customFormat="1">
      <c r="A63" s="303" t="str">
        <f t="shared" si="40"/>
        <v/>
      </c>
      <c r="B63" s="212">
        <f t="shared" si="40"/>
        <v>0</v>
      </c>
      <c r="C63" s="211">
        <f t="shared" si="40"/>
        <v>0</v>
      </c>
      <c r="D63" s="97" t="s">
        <v>11</v>
      </c>
      <c r="E63" s="97"/>
      <c r="F63" s="304">
        <f t="shared" si="30"/>
        <v>0</v>
      </c>
      <c r="G63" s="305">
        <v>0</v>
      </c>
      <c r="H63" s="83">
        <f>'Direct Labor Rate Schedule'!N20</f>
        <v>0</v>
      </c>
      <c r="I63" s="84">
        <f t="shared" si="31"/>
        <v>0</v>
      </c>
      <c r="J63" s="84">
        <f t="shared" si="32"/>
        <v>0</v>
      </c>
      <c r="K63" s="145">
        <f t="shared" si="41"/>
        <v>0</v>
      </c>
      <c r="L63" s="85">
        <f t="shared" si="34"/>
        <v>0</v>
      </c>
      <c r="M63" s="85">
        <f t="shared" si="35"/>
        <v>0</v>
      </c>
      <c r="N63" s="85">
        <f t="shared" si="36"/>
        <v>0</v>
      </c>
      <c r="O63" s="85">
        <f t="shared" si="37"/>
        <v>0</v>
      </c>
      <c r="P63" s="85">
        <f t="shared" si="42"/>
        <v>0</v>
      </c>
      <c r="Q63" s="86" t="str">
        <f t="shared" si="38"/>
        <v/>
      </c>
      <c r="R63" s="102" t="str">
        <f t="shared" si="39"/>
        <v/>
      </c>
    </row>
    <row r="64" spans="1:18" s="82" customFormat="1">
      <c r="A64" s="303" t="str">
        <f t="shared" si="40"/>
        <v/>
      </c>
      <c r="B64" s="212">
        <f t="shared" si="40"/>
        <v>0</v>
      </c>
      <c r="C64" s="211">
        <f t="shared" si="40"/>
        <v>0</v>
      </c>
      <c r="D64" s="97" t="s">
        <v>11</v>
      </c>
      <c r="E64" s="97"/>
      <c r="F64" s="304">
        <f t="shared" si="30"/>
        <v>0</v>
      </c>
      <c r="G64" s="305">
        <v>0</v>
      </c>
      <c r="H64" s="83">
        <f>'Direct Labor Rate Schedule'!N21</f>
        <v>0</v>
      </c>
      <c r="I64" s="84">
        <f t="shared" si="31"/>
        <v>0</v>
      </c>
      <c r="J64" s="84">
        <f t="shared" si="32"/>
        <v>0</v>
      </c>
      <c r="K64" s="145">
        <f t="shared" si="41"/>
        <v>0</v>
      </c>
      <c r="L64" s="85">
        <f t="shared" si="34"/>
        <v>0</v>
      </c>
      <c r="M64" s="85">
        <f t="shared" si="35"/>
        <v>0</v>
      </c>
      <c r="N64" s="85">
        <f t="shared" si="36"/>
        <v>0</v>
      </c>
      <c r="O64" s="85">
        <f t="shared" si="37"/>
        <v>0</v>
      </c>
      <c r="P64" s="85">
        <f t="shared" si="42"/>
        <v>0</v>
      </c>
      <c r="Q64" s="86" t="str">
        <f t="shared" si="38"/>
        <v/>
      </c>
      <c r="R64" s="102" t="str">
        <f t="shared" si="39"/>
        <v/>
      </c>
    </row>
    <row r="65" spans="1:18" s="82" customFormat="1" ht="13.5" thickBot="1">
      <c r="A65" s="303" t="str">
        <f t="shared" si="40"/>
        <v/>
      </c>
      <c r="B65" s="212">
        <f t="shared" si="40"/>
        <v>0</v>
      </c>
      <c r="C65" s="211">
        <f t="shared" si="40"/>
        <v>0</v>
      </c>
      <c r="D65" s="97" t="s">
        <v>11</v>
      </c>
      <c r="E65" s="97"/>
      <c r="F65" s="304">
        <f t="shared" si="30"/>
        <v>0</v>
      </c>
      <c r="G65" s="305">
        <v>0</v>
      </c>
      <c r="H65" s="83">
        <f>'Direct Labor Rate Schedule'!N22</f>
        <v>0</v>
      </c>
      <c r="I65" s="84">
        <f t="shared" si="31"/>
        <v>0</v>
      </c>
      <c r="J65" s="84">
        <f t="shared" si="32"/>
        <v>0</v>
      </c>
      <c r="K65" s="145">
        <f t="shared" si="41"/>
        <v>0</v>
      </c>
      <c r="L65" s="85">
        <f t="shared" si="34"/>
        <v>0</v>
      </c>
      <c r="M65" s="85">
        <f t="shared" si="35"/>
        <v>0</v>
      </c>
      <c r="N65" s="85">
        <f t="shared" si="36"/>
        <v>0</v>
      </c>
      <c r="O65" s="85">
        <f t="shared" si="37"/>
        <v>0</v>
      </c>
      <c r="P65" s="85">
        <f t="shared" si="42"/>
        <v>0</v>
      </c>
      <c r="Q65" s="86" t="str">
        <f t="shared" si="38"/>
        <v/>
      </c>
      <c r="R65" s="102" t="str">
        <f t="shared" si="39"/>
        <v/>
      </c>
    </row>
    <row r="66" spans="1:18" s="82" customFormat="1" ht="14.25" thickTop="1" thickBot="1">
      <c r="A66" s="360" t="s">
        <v>85</v>
      </c>
      <c r="B66" s="361"/>
      <c r="C66" s="361"/>
      <c r="D66" s="361"/>
      <c r="E66" s="362"/>
      <c r="F66" s="146">
        <f>SUM(F54:F65)</f>
        <v>29.856770833333332</v>
      </c>
      <c r="G66" s="146">
        <f>SUM(G54:G65)</f>
        <v>57325</v>
      </c>
      <c r="H66" s="108">
        <f>SUMPRODUCT(H54:H65,$G54:$G65)</f>
        <v>0</v>
      </c>
      <c r="I66" s="108">
        <f>SUMPRODUCT(I54:I65,$G54:$G65)</f>
        <v>0</v>
      </c>
      <c r="J66" s="108">
        <f>SUMPRODUCT(J54:J65,$G54:$G65)</f>
        <v>0</v>
      </c>
      <c r="K66" s="108">
        <f>SUMPRODUCT(K54:K65,$G54:$G65)</f>
        <v>0</v>
      </c>
      <c r="L66" s="108">
        <f>SUM(L54:L65)</f>
        <v>0</v>
      </c>
      <c r="M66" s="108">
        <f>SUM(M54:M65)</f>
        <v>0</v>
      </c>
      <c r="N66" s="108">
        <f>SUM(N54:N65)</f>
        <v>0</v>
      </c>
      <c r="O66" s="108">
        <f>SUM(O54:O65)</f>
        <v>0</v>
      </c>
      <c r="P66" s="108">
        <f>SUM(P54:P65)</f>
        <v>0</v>
      </c>
      <c r="Q66" s="108">
        <f>SUMPRODUCT(Q54:Q65,$G54:$G65)</f>
        <v>0</v>
      </c>
      <c r="R66" s="109"/>
    </row>
    <row r="67" spans="1:18" s="82" customFormat="1" ht="14.25" thickTop="1" thickBot="1">
      <c r="A67" s="360" t="s">
        <v>86</v>
      </c>
      <c r="B67" s="361"/>
      <c r="C67" s="361"/>
      <c r="D67" s="361"/>
      <c r="E67" s="362"/>
      <c r="F67" s="116"/>
      <c r="G67" s="173">
        <f>G66/SUM(F54:F65)</f>
        <v>1920</v>
      </c>
      <c r="H67" s="110">
        <f>H66/$G66</f>
        <v>0</v>
      </c>
      <c r="I67" s="110">
        <f t="shared" ref="I67:J67" si="43">I66/$G66</f>
        <v>0</v>
      </c>
      <c r="J67" s="110">
        <f t="shared" si="43"/>
        <v>0</v>
      </c>
      <c r="K67" s="110">
        <f>K66/$G66</f>
        <v>0</v>
      </c>
      <c r="L67" s="110">
        <f>L66/$G66</f>
        <v>0</v>
      </c>
      <c r="M67" s="110">
        <f t="shared" ref="M67:P67" si="44">M66/$G66</f>
        <v>0</v>
      </c>
      <c r="N67" s="110">
        <f t="shared" si="44"/>
        <v>0</v>
      </c>
      <c r="O67" s="110">
        <f t="shared" si="44"/>
        <v>0</v>
      </c>
      <c r="P67" s="110">
        <f t="shared" si="44"/>
        <v>0</v>
      </c>
      <c r="Q67" s="110">
        <f>Q66/$G66</f>
        <v>0</v>
      </c>
      <c r="R67" s="115" t="e">
        <f>Q67/H67</f>
        <v>#DIV/0!</v>
      </c>
    </row>
    <row r="68" spans="1:18" s="82" customFormat="1" ht="13.5" thickTop="1">
      <c r="C68" s="16"/>
      <c r="D68" s="17"/>
      <c r="E68" s="9"/>
      <c r="F68" s="10"/>
      <c r="G68" s="10"/>
      <c r="H68" s="10"/>
      <c r="I68" s="9"/>
      <c r="J68" s="9"/>
      <c r="K68" s="14"/>
      <c r="L68" s="12"/>
      <c r="M68" s="12"/>
      <c r="N68" s="12"/>
      <c r="O68" s="12"/>
      <c r="P68" s="12"/>
      <c r="Q68" s="12"/>
    </row>
    <row r="69" spans="1:18">
      <c r="C69" s="23"/>
      <c r="D69" s="24"/>
      <c r="E69" s="18"/>
      <c r="F69" s="19"/>
      <c r="G69" s="356" t="s">
        <v>28</v>
      </c>
      <c r="H69" s="363"/>
      <c r="I69" s="366" t="s">
        <v>29</v>
      </c>
      <c r="J69" s="366"/>
      <c r="K69" s="367"/>
      <c r="L69" s="367"/>
      <c r="M69" s="367"/>
      <c r="N69" s="20"/>
      <c r="O69" s="21"/>
      <c r="P69" s="22"/>
      <c r="Q69" s="22"/>
    </row>
    <row r="70" spans="1:18">
      <c r="C70" s="35" t="s">
        <v>264</v>
      </c>
      <c r="D70" s="25"/>
      <c r="E70" s="26"/>
      <c r="F70" s="27"/>
      <c r="G70" s="364"/>
      <c r="H70" s="365"/>
      <c r="I70" s="91">
        <f>I50</f>
        <v>0</v>
      </c>
      <c r="J70" s="91">
        <f>J50</f>
        <v>0</v>
      </c>
      <c r="K70" s="28"/>
      <c r="L70" s="29"/>
      <c r="M70" s="95">
        <f>M50</f>
        <v>0</v>
      </c>
      <c r="N70" s="30"/>
      <c r="O70" s="333">
        <f>O50</f>
        <v>0</v>
      </c>
      <c r="P70" s="22"/>
      <c r="Q70" s="22"/>
    </row>
    <row r="71" spans="1:18" s="144" customFormat="1" ht="89.25">
      <c r="A71" s="79" t="str">
        <f t="shared" ref="A71:R72" si="45">+A51</f>
        <v>Location (Note 1)</v>
      </c>
      <c r="B71" s="79" t="str">
        <f t="shared" si="45"/>
        <v>Labor Type (Note 2)</v>
      </c>
      <c r="C71" s="79" t="str">
        <f t="shared" si="45"/>
        <v>Labor Categories (Note 3)</v>
      </c>
      <c r="D71" s="79" t="str">
        <f t="shared" si="45"/>
        <v>Effort To Be Performed By The Prime (P) or Subcontractor (S) (Note 4)</v>
      </c>
      <c r="E71" s="79" t="str">
        <f t="shared" si="45"/>
        <v>If Column D=S, Enter Name of Subcontractor(s) (Note 5)</v>
      </c>
      <c r="F71" s="80" t="str">
        <f t="shared" si="45"/>
        <v>FTEs (Note 6)</v>
      </c>
      <c r="G71" s="141" t="str">
        <f t="shared" si="45"/>
        <v>Total Productive Hours (Note 7)</v>
      </c>
      <c r="H71" s="142" t="str">
        <f t="shared" si="45"/>
        <v>Hourly Base Pay Rate (Note 8)</v>
      </c>
      <c r="I71" s="81" t="str">
        <f t="shared" si="45"/>
        <v>Fringe (Note 9)</v>
      </c>
      <c r="J71" s="81" t="str">
        <f t="shared" si="45"/>
        <v>Overhead (Note 10)</v>
      </c>
      <c r="K71" s="81" t="str">
        <f t="shared" si="45"/>
        <v xml:space="preserve"> Prime/Sub Hourly Rate Before Application Of  Prime G&amp;A &amp; Fee (IF Col C=S Enter Sub Rate) (Note 11)</v>
      </c>
      <c r="L71" s="81" t="str">
        <f t="shared" si="45"/>
        <v>Total Prime &amp; Sub Labor Before Prime G&amp;A &amp; Fee</v>
      </c>
      <c r="M71" s="81" t="str">
        <f t="shared" si="45"/>
        <v>G&amp;A (Note 12)</v>
      </c>
      <c r="N71" s="81" t="str">
        <f t="shared" si="45"/>
        <v>Total Cost</v>
      </c>
      <c r="O71" s="81" t="str">
        <f t="shared" si="45"/>
        <v>Fee</v>
      </c>
      <c r="P71" s="81" t="str">
        <f t="shared" si="45"/>
        <v>Total Price</v>
      </c>
      <c r="Q71" s="81" t="str">
        <f t="shared" si="45"/>
        <v xml:space="preserve">Proposal Fully Burdened Hourly Billing Rate </v>
      </c>
      <c r="R71" s="81" t="str">
        <f t="shared" si="45"/>
        <v>Wrap Rate</v>
      </c>
    </row>
    <row r="72" spans="1:18" ht="13.5" thickBot="1">
      <c r="A72" s="31" t="str">
        <f t="shared" si="45"/>
        <v>a</v>
      </c>
      <c r="B72" s="31" t="str">
        <f t="shared" si="45"/>
        <v>b</v>
      </c>
      <c r="C72" s="31" t="str">
        <f t="shared" si="45"/>
        <v>c</v>
      </c>
      <c r="D72" s="31" t="str">
        <f t="shared" si="45"/>
        <v>d</v>
      </c>
      <c r="E72" s="31" t="str">
        <f t="shared" si="45"/>
        <v>e</v>
      </c>
      <c r="F72" s="31" t="str">
        <f t="shared" si="45"/>
        <v>f</v>
      </c>
      <c r="G72" s="36" t="str">
        <f t="shared" si="45"/>
        <v>g</v>
      </c>
      <c r="H72" s="31" t="str">
        <f t="shared" si="45"/>
        <v>h</v>
      </c>
      <c r="I72" s="32" t="str">
        <f t="shared" si="45"/>
        <v>i</v>
      </c>
      <c r="J72" s="32" t="str">
        <f t="shared" si="45"/>
        <v>j</v>
      </c>
      <c r="K72" s="32" t="str">
        <f t="shared" si="45"/>
        <v>k = h + i + j</v>
      </c>
      <c r="L72" s="32" t="str">
        <f t="shared" si="45"/>
        <v>l = g x k</v>
      </c>
      <c r="M72" s="32" t="str">
        <f t="shared" si="45"/>
        <v>m</v>
      </c>
      <c r="N72" s="32" t="str">
        <f t="shared" si="45"/>
        <v>n = l + o</v>
      </c>
      <c r="O72" s="32" t="str">
        <f t="shared" si="45"/>
        <v>o</v>
      </c>
      <c r="P72" s="32" t="str">
        <f t="shared" si="45"/>
        <v>p = n + o</v>
      </c>
      <c r="Q72" s="32" t="str">
        <f t="shared" si="45"/>
        <v>q = p/g</v>
      </c>
      <c r="R72" s="32" t="str">
        <f t="shared" si="45"/>
        <v>r = q/h</v>
      </c>
    </row>
    <row r="73" spans="1:18" s="82" customFormat="1">
      <c r="A73" s="168" t="str">
        <f>IF('Direct Labor Rate Schedule'!$A$10="","",'Direct Labor Rate Schedule'!$A$10)</f>
        <v/>
      </c>
      <c r="B73" s="196"/>
      <c r="C73" s="167"/>
      <c r="D73" s="159"/>
      <c r="E73" s="159"/>
      <c r="F73" s="160"/>
      <c r="G73" s="161"/>
      <c r="H73" s="162"/>
      <c r="I73" s="163"/>
      <c r="J73" s="163"/>
      <c r="K73" s="163"/>
      <c r="L73" s="164"/>
      <c r="M73" s="164"/>
      <c r="N73" s="164"/>
      <c r="O73" s="164"/>
      <c r="P73" s="164"/>
      <c r="Q73" s="165"/>
      <c r="R73" s="166"/>
    </row>
    <row r="74" spans="1:18">
      <c r="A74" s="303" t="str">
        <f>A54</f>
        <v/>
      </c>
      <c r="B74" s="212">
        <f>B54</f>
        <v>0</v>
      </c>
      <c r="C74" s="211" t="str">
        <f>C54</f>
        <v>Program Manager</v>
      </c>
      <c r="D74" s="97" t="s">
        <v>11</v>
      </c>
      <c r="E74" s="97"/>
      <c r="F74" s="304">
        <f t="shared" ref="F74:F85" si="46">G74/AnnualProductiveHours</f>
        <v>0</v>
      </c>
      <c r="G74" s="305">
        <v>0</v>
      </c>
      <c r="H74" s="83">
        <f>H54</f>
        <v>0</v>
      </c>
      <c r="I74" s="84">
        <f t="shared" ref="I74:I85" si="47">ROUND((+H74*$I$70),2)</f>
        <v>0</v>
      </c>
      <c r="J74" s="84">
        <f t="shared" ref="J74:J85" si="48">ROUND((+H74*$J$70),2)</f>
        <v>0</v>
      </c>
      <c r="K74" s="145">
        <f t="shared" ref="K74" si="49">+H74+SUM(I74:J74)</f>
        <v>0</v>
      </c>
      <c r="L74" s="85">
        <f t="shared" ref="L74:L85" si="50">ROUND((+G74*K74),2)</f>
        <v>0</v>
      </c>
      <c r="M74" s="85">
        <f t="shared" ref="M74:M85" si="51">ROUND((+L74*$M$70),2)</f>
        <v>0</v>
      </c>
      <c r="N74" s="85">
        <f t="shared" ref="N74:N85" si="52">SUM(L74:M74)</f>
        <v>0</v>
      </c>
      <c r="O74" s="85">
        <f t="shared" ref="O74:O85" si="53">ROUND((+N74*$O$70),2)</f>
        <v>0</v>
      </c>
      <c r="P74" s="85">
        <f t="shared" ref="P74:P85" si="54">SUM(N74:O74)</f>
        <v>0</v>
      </c>
      <c r="Q74" s="86" t="str">
        <f t="shared" ref="Q74:Q85" si="55">IFERROR((+P74/G74),"")</f>
        <v/>
      </c>
      <c r="R74" s="102" t="str">
        <f t="shared" ref="R74:R85" si="56">IFERROR(Q74/H74-1,"")</f>
        <v/>
      </c>
    </row>
    <row r="75" spans="1:18">
      <c r="A75" s="303" t="str">
        <f t="shared" ref="A75:C85" si="57">A55</f>
        <v/>
      </c>
      <c r="B75" s="212">
        <f t="shared" si="57"/>
        <v>0</v>
      </c>
      <c r="C75" s="211" t="str">
        <f t="shared" si="57"/>
        <v>Senior Analyst</v>
      </c>
      <c r="D75" s="97" t="s">
        <v>11</v>
      </c>
      <c r="E75" s="97"/>
      <c r="F75" s="304">
        <f t="shared" si="46"/>
        <v>5.875</v>
      </c>
      <c r="G75" s="305">
        <v>11280</v>
      </c>
      <c r="H75" s="83">
        <f t="shared" ref="H75:H85" si="58">H55</f>
        <v>0</v>
      </c>
      <c r="I75" s="84">
        <f t="shared" si="47"/>
        <v>0</v>
      </c>
      <c r="J75" s="84">
        <f t="shared" si="48"/>
        <v>0</v>
      </c>
      <c r="K75" s="145">
        <f t="shared" ref="K75:K85" si="59">+H75+SUM(I75:J75)</f>
        <v>0</v>
      </c>
      <c r="L75" s="85">
        <f t="shared" si="50"/>
        <v>0</v>
      </c>
      <c r="M75" s="85">
        <f t="shared" si="51"/>
        <v>0</v>
      </c>
      <c r="N75" s="85">
        <f t="shared" si="52"/>
        <v>0</v>
      </c>
      <c r="O75" s="85">
        <f t="shared" si="53"/>
        <v>0</v>
      </c>
      <c r="P75" s="85">
        <f t="shared" si="54"/>
        <v>0</v>
      </c>
      <c r="Q75" s="86">
        <f t="shared" si="55"/>
        <v>0</v>
      </c>
      <c r="R75" s="102" t="str">
        <f t="shared" si="56"/>
        <v/>
      </c>
    </row>
    <row r="76" spans="1:18">
      <c r="A76" s="303" t="str">
        <f t="shared" si="57"/>
        <v/>
      </c>
      <c r="B76" s="212">
        <f t="shared" si="57"/>
        <v>0</v>
      </c>
      <c r="C76" s="211" t="str">
        <f t="shared" si="57"/>
        <v>Analyst</v>
      </c>
      <c r="D76" s="97" t="s">
        <v>11</v>
      </c>
      <c r="E76" s="97"/>
      <c r="F76" s="304">
        <f t="shared" si="46"/>
        <v>1.9583333333333333</v>
      </c>
      <c r="G76" s="305">
        <v>3760</v>
      </c>
      <c r="H76" s="83">
        <f t="shared" si="58"/>
        <v>0</v>
      </c>
      <c r="I76" s="84">
        <f t="shared" si="47"/>
        <v>0</v>
      </c>
      <c r="J76" s="84">
        <f t="shared" si="48"/>
        <v>0</v>
      </c>
      <c r="K76" s="145">
        <f t="shared" si="59"/>
        <v>0</v>
      </c>
      <c r="L76" s="85">
        <f t="shared" si="50"/>
        <v>0</v>
      </c>
      <c r="M76" s="85">
        <f t="shared" si="51"/>
        <v>0</v>
      </c>
      <c r="N76" s="85">
        <f t="shared" si="52"/>
        <v>0</v>
      </c>
      <c r="O76" s="85">
        <f t="shared" si="53"/>
        <v>0</v>
      </c>
      <c r="P76" s="85">
        <f t="shared" si="54"/>
        <v>0</v>
      </c>
      <c r="Q76" s="86">
        <f t="shared" si="55"/>
        <v>0</v>
      </c>
      <c r="R76" s="102" t="str">
        <f t="shared" si="56"/>
        <v/>
      </c>
    </row>
    <row r="77" spans="1:18">
      <c r="A77" s="303" t="str">
        <f t="shared" si="57"/>
        <v/>
      </c>
      <c r="B77" s="212">
        <f t="shared" si="57"/>
        <v>0</v>
      </c>
      <c r="C77" s="211" t="str">
        <f t="shared" si="57"/>
        <v>Junior Analyst</v>
      </c>
      <c r="D77" s="97" t="s">
        <v>11</v>
      </c>
      <c r="E77" s="97"/>
      <c r="F77" s="304">
        <f t="shared" si="46"/>
        <v>0</v>
      </c>
      <c r="G77" s="305">
        <v>0</v>
      </c>
      <c r="H77" s="83">
        <f t="shared" si="58"/>
        <v>0</v>
      </c>
      <c r="I77" s="84">
        <f t="shared" si="47"/>
        <v>0</v>
      </c>
      <c r="J77" s="84">
        <f t="shared" si="48"/>
        <v>0</v>
      </c>
      <c r="K77" s="145">
        <f t="shared" si="59"/>
        <v>0</v>
      </c>
      <c r="L77" s="85">
        <f t="shared" si="50"/>
        <v>0</v>
      </c>
      <c r="M77" s="85">
        <f t="shared" si="51"/>
        <v>0</v>
      </c>
      <c r="N77" s="85">
        <f t="shared" si="52"/>
        <v>0</v>
      </c>
      <c r="O77" s="85">
        <f t="shared" si="53"/>
        <v>0</v>
      </c>
      <c r="P77" s="85">
        <f t="shared" si="54"/>
        <v>0</v>
      </c>
      <c r="Q77" s="86" t="str">
        <f t="shared" si="55"/>
        <v/>
      </c>
      <c r="R77" s="102" t="str">
        <f t="shared" si="56"/>
        <v/>
      </c>
    </row>
    <row r="78" spans="1:18">
      <c r="A78" s="303" t="str">
        <f t="shared" si="57"/>
        <v/>
      </c>
      <c r="B78" s="212">
        <f t="shared" si="57"/>
        <v>0</v>
      </c>
      <c r="C78" s="211" t="str">
        <f t="shared" si="57"/>
        <v>Senior Operations Research Analyst</v>
      </c>
      <c r="D78" s="97" t="s">
        <v>11</v>
      </c>
      <c r="E78" s="97"/>
      <c r="F78" s="304">
        <f t="shared" si="46"/>
        <v>2.9375</v>
      </c>
      <c r="G78" s="305">
        <v>5640</v>
      </c>
      <c r="H78" s="83">
        <f t="shared" si="58"/>
        <v>0</v>
      </c>
      <c r="I78" s="84">
        <f t="shared" si="47"/>
        <v>0</v>
      </c>
      <c r="J78" s="84">
        <f t="shared" si="48"/>
        <v>0</v>
      </c>
      <c r="K78" s="145">
        <f t="shared" si="59"/>
        <v>0</v>
      </c>
      <c r="L78" s="85">
        <f t="shared" si="50"/>
        <v>0</v>
      </c>
      <c r="M78" s="85">
        <f t="shared" si="51"/>
        <v>0</v>
      </c>
      <c r="N78" s="85">
        <f t="shared" si="52"/>
        <v>0</v>
      </c>
      <c r="O78" s="85">
        <f t="shared" si="53"/>
        <v>0</v>
      </c>
      <c r="P78" s="85">
        <f t="shared" si="54"/>
        <v>0</v>
      </c>
      <c r="Q78" s="86">
        <f t="shared" si="55"/>
        <v>0</v>
      </c>
      <c r="R78" s="102" t="str">
        <f t="shared" si="56"/>
        <v/>
      </c>
    </row>
    <row r="79" spans="1:18">
      <c r="A79" s="303" t="str">
        <f t="shared" si="57"/>
        <v/>
      </c>
      <c r="B79" s="212">
        <f t="shared" si="57"/>
        <v>0</v>
      </c>
      <c r="C79" s="211" t="str">
        <f t="shared" si="57"/>
        <v>Operations Research Analyst</v>
      </c>
      <c r="D79" s="97" t="s">
        <v>11</v>
      </c>
      <c r="E79" s="97"/>
      <c r="F79" s="304">
        <f t="shared" si="46"/>
        <v>1.46875</v>
      </c>
      <c r="G79" s="305">
        <v>2820</v>
      </c>
      <c r="H79" s="83">
        <f t="shared" si="58"/>
        <v>0</v>
      </c>
      <c r="I79" s="84">
        <f t="shared" si="47"/>
        <v>0</v>
      </c>
      <c r="J79" s="84">
        <f t="shared" si="48"/>
        <v>0</v>
      </c>
      <c r="K79" s="145">
        <f t="shared" si="59"/>
        <v>0</v>
      </c>
      <c r="L79" s="85">
        <f t="shared" si="50"/>
        <v>0</v>
      </c>
      <c r="M79" s="85">
        <f t="shared" si="51"/>
        <v>0</v>
      </c>
      <c r="N79" s="85">
        <f t="shared" si="52"/>
        <v>0</v>
      </c>
      <c r="O79" s="85">
        <f t="shared" si="53"/>
        <v>0</v>
      </c>
      <c r="P79" s="85">
        <f t="shared" si="54"/>
        <v>0</v>
      </c>
      <c r="Q79" s="86">
        <f t="shared" si="55"/>
        <v>0</v>
      </c>
      <c r="R79" s="102" t="str">
        <f t="shared" si="56"/>
        <v/>
      </c>
    </row>
    <row r="80" spans="1:18">
      <c r="A80" s="303" t="str">
        <f t="shared" si="57"/>
        <v/>
      </c>
      <c r="B80" s="212">
        <f t="shared" si="57"/>
        <v>0</v>
      </c>
      <c r="C80" s="211" t="str">
        <f t="shared" si="57"/>
        <v>Graphics Design Senior Analyst</v>
      </c>
      <c r="D80" s="97" t="s">
        <v>11</v>
      </c>
      <c r="E80" s="97"/>
      <c r="F80" s="304">
        <f t="shared" si="46"/>
        <v>0</v>
      </c>
      <c r="G80" s="305">
        <v>0</v>
      </c>
      <c r="H80" s="83">
        <f t="shared" si="58"/>
        <v>0</v>
      </c>
      <c r="I80" s="84">
        <f t="shared" si="47"/>
        <v>0</v>
      </c>
      <c r="J80" s="84">
        <f t="shared" si="48"/>
        <v>0</v>
      </c>
      <c r="K80" s="145">
        <f t="shared" si="59"/>
        <v>0</v>
      </c>
      <c r="L80" s="85">
        <f t="shared" si="50"/>
        <v>0</v>
      </c>
      <c r="M80" s="85">
        <f t="shared" si="51"/>
        <v>0</v>
      </c>
      <c r="N80" s="85">
        <f t="shared" si="52"/>
        <v>0</v>
      </c>
      <c r="O80" s="85">
        <f t="shared" si="53"/>
        <v>0</v>
      </c>
      <c r="P80" s="85">
        <f t="shared" si="54"/>
        <v>0</v>
      </c>
      <c r="Q80" s="86" t="str">
        <f t="shared" si="55"/>
        <v/>
      </c>
      <c r="R80" s="102" t="str">
        <f t="shared" si="56"/>
        <v/>
      </c>
    </row>
    <row r="81" spans="1:21">
      <c r="A81" s="303" t="str">
        <f t="shared" si="57"/>
        <v/>
      </c>
      <c r="B81" s="212">
        <f t="shared" si="57"/>
        <v>0</v>
      </c>
      <c r="C81" s="211" t="str">
        <f t="shared" si="57"/>
        <v>Force Documentation Senior Analyst</v>
      </c>
      <c r="D81" s="97" t="s">
        <v>11</v>
      </c>
      <c r="E81" s="97"/>
      <c r="F81" s="304">
        <f t="shared" si="46"/>
        <v>0</v>
      </c>
      <c r="G81" s="305">
        <v>0</v>
      </c>
      <c r="H81" s="83">
        <f t="shared" si="58"/>
        <v>0</v>
      </c>
      <c r="I81" s="84">
        <f t="shared" si="47"/>
        <v>0</v>
      </c>
      <c r="J81" s="84">
        <f t="shared" si="48"/>
        <v>0</v>
      </c>
      <c r="K81" s="145">
        <f t="shared" si="59"/>
        <v>0</v>
      </c>
      <c r="L81" s="85">
        <f t="shared" si="50"/>
        <v>0</v>
      </c>
      <c r="M81" s="85">
        <f t="shared" si="51"/>
        <v>0</v>
      </c>
      <c r="N81" s="85">
        <f t="shared" si="52"/>
        <v>0</v>
      </c>
      <c r="O81" s="85">
        <f t="shared" si="53"/>
        <v>0</v>
      </c>
      <c r="P81" s="85">
        <f t="shared" si="54"/>
        <v>0</v>
      </c>
      <c r="Q81" s="86" t="str">
        <f t="shared" si="55"/>
        <v/>
      </c>
      <c r="R81" s="102" t="str">
        <f t="shared" si="56"/>
        <v/>
      </c>
    </row>
    <row r="82" spans="1:21">
      <c r="A82" s="303" t="str">
        <f t="shared" si="57"/>
        <v/>
      </c>
      <c r="B82" s="212">
        <f t="shared" si="57"/>
        <v>0</v>
      </c>
      <c r="C82" s="211">
        <f t="shared" si="57"/>
        <v>0</v>
      </c>
      <c r="D82" s="97" t="s">
        <v>11</v>
      </c>
      <c r="E82" s="97"/>
      <c r="F82" s="304">
        <f t="shared" si="46"/>
        <v>0</v>
      </c>
      <c r="G82" s="305">
        <v>0</v>
      </c>
      <c r="H82" s="83">
        <f t="shared" si="58"/>
        <v>0</v>
      </c>
      <c r="I82" s="84">
        <f t="shared" si="47"/>
        <v>0</v>
      </c>
      <c r="J82" s="84">
        <f t="shared" si="48"/>
        <v>0</v>
      </c>
      <c r="K82" s="145">
        <f t="shared" si="59"/>
        <v>0</v>
      </c>
      <c r="L82" s="85">
        <f t="shared" si="50"/>
        <v>0</v>
      </c>
      <c r="M82" s="85">
        <f t="shared" si="51"/>
        <v>0</v>
      </c>
      <c r="N82" s="85">
        <f t="shared" si="52"/>
        <v>0</v>
      </c>
      <c r="O82" s="85">
        <f t="shared" si="53"/>
        <v>0</v>
      </c>
      <c r="P82" s="85">
        <f t="shared" si="54"/>
        <v>0</v>
      </c>
      <c r="Q82" s="86" t="str">
        <f t="shared" si="55"/>
        <v/>
      </c>
      <c r="R82" s="102" t="str">
        <f t="shared" si="56"/>
        <v/>
      </c>
    </row>
    <row r="83" spans="1:21">
      <c r="A83" s="303" t="str">
        <f t="shared" si="57"/>
        <v/>
      </c>
      <c r="B83" s="212">
        <f t="shared" si="57"/>
        <v>0</v>
      </c>
      <c r="C83" s="211">
        <f t="shared" si="57"/>
        <v>0</v>
      </c>
      <c r="D83" s="97" t="s">
        <v>11</v>
      </c>
      <c r="E83" s="97"/>
      <c r="F83" s="304">
        <f t="shared" si="46"/>
        <v>0</v>
      </c>
      <c r="G83" s="305">
        <v>0</v>
      </c>
      <c r="H83" s="83">
        <f t="shared" si="58"/>
        <v>0</v>
      </c>
      <c r="I83" s="84">
        <f t="shared" si="47"/>
        <v>0</v>
      </c>
      <c r="J83" s="84">
        <f t="shared" si="48"/>
        <v>0</v>
      </c>
      <c r="K83" s="145">
        <f t="shared" si="59"/>
        <v>0</v>
      </c>
      <c r="L83" s="85">
        <f t="shared" si="50"/>
        <v>0</v>
      </c>
      <c r="M83" s="85">
        <f t="shared" si="51"/>
        <v>0</v>
      </c>
      <c r="N83" s="85">
        <f t="shared" si="52"/>
        <v>0</v>
      </c>
      <c r="O83" s="85">
        <f t="shared" si="53"/>
        <v>0</v>
      </c>
      <c r="P83" s="85">
        <f t="shared" si="54"/>
        <v>0</v>
      </c>
      <c r="Q83" s="86" t="str">
        <f t="shared" si="55"/>
        <v/>
      </c>
      <c r="R83" s="102" t="str">
        <f t="shared" si="56"/>
        <v/>
      </c>
    </row>
    <row r="84" spans="1:21">
      <c r="A84" s="303" t="str">
        <f t="shared" si="57"/>
        <v/>
      </c>
      <c r="B84" s="212">
        <f t="shared" si="57"/>
        <v>0</v>
      </c>
      <c r="C84" s="211">
        <f t="shared" si="57"/>
        <v>0</v>
      </c>
      <c r="D84" s="97" t="s">
        <v>11</v>
      </c>
      <c r="E84" s="97"/>
      <c r="F84" s="304">
        <f t="shared" si="46"/>
        <v>0</v>
      </c>
      <c r="G84" s="305">
        <v>0</v>
      </c>
      <c r="H84" s="83">
        <f t="shared" si="58"/>
        <v>0</v>
      </c>
      <c r="I84" s="84">
        <f t="shared" si="47"/>
        <v>0</v>
      </c>
      <c r="J84" s="84">
        <f t="shared" si="48"/>
        <v>0</v>
      </c>
      <c r="K84" s="145">
        <f t="shared" si="59"/>
        <v>0</v>
      </c>
      <c r="L84" s="85">
        <f t="shared" si="50"/>
        <v>0</v>
      </c>
      <c r="M84" s="85">
        <f t="shared" si="51"/>
        <v>0</v>
      </c>
      <c r="N84" s="85">
        <f t="shared" si="52"/>
        <v>0</v>
      </c>
      <c r="O84" s="85">
        <f t="shared" si="53"/>
        <v>0</v>
      </c>
      <c r="P84" s="85">
        <f t="shared" si="54"/>
        <v>0</v>
      </c>
      <c r="Q84" s="86" t="str">
        <f t="shared" si="55"/>
        <v/>
      </c>
      <c r="R84" s="102" t="str">
        <f t="shared" si="56"/>
        <v/>
      </c>
    </row>
    <row r="85" spans="1:21" ht="13.5" thickBot="1">
      <c r="A85" s="303" t="str">
        <f t="shared" si="57"/>
        <v/>
      </c>
      <c r="B85" s="212">
        <f t="shared" si="57"/>
        <v>0</v>
      </c>
      <c r="C85" s="211">
        <f t="shared" si="57"/>
        <v>0</v>
      </c>
      <c r="D85" s="97" t="s">
        <v>11</v>
      </c>
      <c r="E85" s="97"/>
      <c r="F85" s="304">
        <f t="shared" si="46"/>
        <v>0</v>
      </c>
      <c r="G85" s="305">
        <v>0</v>
      </c>
      <c r="H85" s="83">
        <f t="shared" si="58"/>
        <v>0</v>
      </c>
      <c r="I85" s="84">
        <f t="shared" si="47"/>
        <v>0</v>
      </c>
      <c r="J85" s="84">
        <f t="shared" si="48"/>
        <v>0</v>
      </c>
      <c r="K85" s="145">
        <f t="shared" si="59"/>
        <v>0</v>
      </c>
      <c r="L85" s="85">
        <f t="shared" si="50"/>
        <v>0</v>
      </c>
      <c r="M85" s="85">
        <f t="shared" si="51"/>
        <v>0</v>
      </c>
      <c r="N85" s="85">
        <f t="shared" si="52"/>
        <v>0</v>
      </c>
      <c r="O85" s="85">
        <f t="shared" si="53"/>
        <v>0</v>
      </c>
      <c r="P85" s="85">
        <f t="shared" si="54"/>
        <v>0</v>
      </c>
      <c r="Q85" s="86" t="str">
        <f t="shared" si="55"/>
        <v/>
      </c>
      <c r="R85" s="102" t="str">
        <f t="shared" si="56"/>
        <v/>
      </c>
    </row>
    <row r="86" spans="1:21" s="82" customFormat="1" ht="14.25" thickTop="1" thickBot="1">
      <c r="A86" s="360" t="s">
        <v>85</v>
      </c>
      <c r="B86" s="361"/>
      <c r="C86" s="361"/>
      <c r="D86" s="361"/>
      <c r="E86" s="362"/>
      <c r="F86" s="146">
        <f>SUM(F74:F85)</f>
        <v>12.239583333333332</v>
      </c>
      <c r="G86" s="146">
        <f>SUM(G74:G85)</f>
        <v>23500</v>
      </c>
      <c r="H86" s="108">
        <f>SUMPRODUCT(H74:H85,$G74:$G85)</f>
        <v>0</v>
      </c>
      <c r="I86" s="108">
        <f>SUMPRODUCT(I74:I85,$G74:$G85)</f>
        <v>0</v>
      </c>
      <c r="J86" s="108">
        <f>SUMPRODUCT(J74:J85,$G74:$G85)</f>
        <v>0</v>
      </c>
      <c r="K86" s="108">
        <f>SUMPRODUCT(K74:K85,$G74:$G85)</f>
        <v>0</v>
      </c>
      <c r="L86" s="108">
        <f>SUM(L74:L85)</f>
        <v>0</v>
      </c>
      <c r="M86" s="108">
        <f>SUM(M74:M85)</f>
        <v>0</v>
      </c>
      <c r="N86" s="108">
        <f>SUM(N74:N85)</f>
        <v>0</v>
      </c>
      <c r="O86" s="108">
        <f>SUM(O74:O85)</f>
        <v>0</v>
      </c>
      <c r="P86" s="108">
        <f>SUM(P74:P85)</f>
        <v>0</v>
      </c>
      <c r="Q86" s="108">
        <f>SUMPRODUCT(Q74:Q85,$G74:$G85)</f>
        <v>0</v>
      </c>
      <c r="R86" s="109"/>
    </row>
    <row r="87" spans="1:21" s="82" customFormat="1" ht="14.25" thickTop="1" thickBot="1">
      <c r="A87" s="360" t="s">
        <v>86</v>
      </c>
      <c r="B87" s="361"/>
      <c r="C87" s="361"/>
      <c r="D87" s="361"/>
      <c r="E87" s="362"/>
      <c r="F87" s="116"/>
      <c r="G87" s="173">
        <f>G86/SUM(F74:F85)</f>
        <v>1920.0000000000002</v>
      </c>
      <c r="H87" s="110">
        <f>H86/$G86</f>
        <v>0</v>
      </c>
      <c r="I87" s="110">
        <f t="shared" ref="I87:J87" si="60">I86/$G86</f>
        <v>0</v>
      </c>
      <c r="J87" s="110">
        <f t="shared" si="60"/>
        <v>0</v>
      </c>
      <c r="K87" s="110">
        <f>K86/$G86</f>
        <v>0</v>
      </c>
      <c r="L87" s="110">
        <f>L86/$G86</f>
        <v>0</v>
      </c>
      <c r="M87" s="110">
        <f t="shared" ref="M87:P87" si="61">M86/$G86</f>
        <v>0</v>
      </c>
      <c r="N87" s="110">
        <f t="shared" si="61"/>
        <v>0</v>
      </c>
      <c r="O87" s="110">
        <f t="shared" si="61"/>
        <v>0</v>
      </c>
      <c r="P87" s="110">
        <f t="shared" si="61"/>
        <v>0</v>
      </c>
      <c r="Q87" s="110">
        <f>Q86/$G86</f>
        <v>0</v>
      </c>
      <c r="R87" s="115" t="e">
        <f>Q87/H87</f>
        <v>#DIV/0!</v>
      </c>
    </row>
    <row r="88" spans="1:21" ht="13.5" thickTop="1"/>
    <row r="89" spans="1:21" customFormat="1" ht="13.5" thickBot="1"/>
    <row r="90" spans="1:21" ht="13.5" thickBot="1">
      <c r="A90" s="368" t="s">
        <v>85</v>
      </c>
      <c r="B90" s="369"/>
      <c r="C90" s="369"/>
      <c r="D90" s="369"/>
      <c r="E90" s="370"/>
      <c r="F90" s="117"/>
      <c r="G90" s="111">
        <f>G86+G66+G46+G26</f>
        <v>83477</v>
      </c>
      <c r="H90" s="111">
        <f t="shared" ref="H90:Q90" si="62">H86+H66+H46+H26</f>
        <v>0</v>
      </c>
      <c r="I90" s="111">
        <f t="shared" si="62"/>
        <v>0</v>
      </c>
      <c r="J90" s="111">
        <f t="shared" si="62"/>
        <v>0</v>
      </c>
      <c r="K90" s="111">
        <f t="shared" si="62"/>
        <v>0</v>
      </c>
      <c r="L90" s="111">
        <f t="shared" si="62"/>
        <v>0</v>
      </c>
      <c r="M90" s="111">
        <f t="shared" si="62"/>
        <v>0</v>
      </c>
      <c r="N90" s="111">
        <f t="shared" si="62"/>
        <v>0</v>
      </c>
      <c r="O90" s="111">
        <f t="shared" si="62"/>
        <v>0</v>
      </c>
      <c r="P90" s="111">
        <f t="shared" si="62"/>
        <v>0</v>
      </c>
      <c r="Q90" s="111">
        <f t="shared" si="62"/>
        <v>0</v>
      </c>
      <c r="R90" s="113"/>
      <c r="T90"/>
      <c r="U90"/>
    </row>
    <row r="91" spans="1:21" ht="13.5" thickBot="1">
      <c r="A91" s="368" t="s">
        <v>86</v>
      </c>
      <c r="B91" s="369"/>
      <c r="C91" s="369"/>
      <c r="D91" s="369"/>
      <c r="E91" s="370"/>
      <c r="F91" s="117"/>
      <c r="G91" s="118"/>
      <c r="H91" s="114">
        <f>H90/$G$90</f>
        <v>0</v>
      </c>
      <c r="I91" s="114">
        <f t="shared" ref="I91:Q91" si="63">I90/$G$90</f>
        <v>0</v>
      </c>
      <c r="J91" s="114">
        <f t="shared" si="63"/>
        <v>0</v>
      </c>
      <c r="K91" s="114">
        <f t="shared" si="63"/>
        <v>0</v>
      </c>
      <c r="L91" s="114">
        <f t="shared" si="63"/>
        <v>0</v>
      </c>
      <c r="M91" s="114">
        <f t="shared" si="63"/>
        <v>0</v>
      </c>
      <c r="N91" s="114">
        <f t="shared" si="63"/>
        <v>0</v>
      </c>
      <c r="O91" s="114">
        <f t="shared" si="63"/>
        <v>0</v>
      </c>
      <c r="P91" s="114">
        <f t="shared" si="63"/>
        <v>0</v>
      </c>
      <c r="Q91" s="114">
        <f t="shared" si="63"/>
        <v>0</v>
      </c>
      <c r="R91" s="115" t="e">
        <f>Q91/H91</f>
        <v>#DIV/0!</v>
      </c>
      <c r="T91"/>
      <c r="U91"/>
    </row>
  </sheetData>
  <mergeCells count="18">
    <mergeCell ref="A67:E67"/>
    <mergeCell ref="G9:H10"/>
    <mergeCell ref="I9:M9"/>
    <mergeCell ref="A26:E26"/>
    <mergeCell ref="A27:E27"/>
    <mergeCell ref="G29:H30"/>
    <mergeCell ref="I29:M29"/>
    <mergeCell ref="A46:E46"/>
    <mergeCell ref="A47:E47"/>
    <mergeCell ref="G49:H50"/>
    <mergeCell ref="I49:M49"/>
    <mergeCell ref="A66:E66"/>
    <mergeCell ref="A91:E91"/>
    <mergeCell ref="G69:H70"/>
    <mergeCell ref="I69:M69"/>
    <mergeCell ref="A86:E86"/>
    <mergeCell ref="A87:E87"/>
    <mergeCell ref="A90:E90"/>
  </mergeCells>
  <conditionalFormatting sqref="K13:K25">
    <cfRule type="expression" dxfId="1" priority="2">
      <formula>D13="S"</formula>
    </cfRule>
  </conditionalFormatting>
  <conditionalFormatting sqref="K34:K45 K54:K65 K74:K85">
    <cfRule type="expression" dxfId="0" priority="3">
      <formula>D34="S"</formula>
    </cfRule>
  </conditionalFormatting>
  <printOptions gridLines="1"/>
  <pageMargins left="0.25" right="0.25" top="0.5" bottom="0.5" header="0" footer="0"/>
  <pageSetup paperSize="5" scale="59" fitToHeight="110" orientation="landscape" r:id="rId1"/>
  <headerFooter scaleWithDoc="0" alignWithMargins="0"/>
  <rowBreaks count="3" manualBreakCount="3">
    <brk id="28" min="2" max="17" man="1"/>
    <brk id="48" min="2" max="17" man="1"/>
    <brk id="68" min="2" max="1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5">
    <tabColor theme="6" tint="0.39997558519241921"/>
    <pageSetUpPr fitToPage="1"/>
  </sheetPr>
  <dimension ref="A1:J18"/>
  <sheetViews>
    <sheetView workbookViewId="0"/>
  </sheetViews>
  <sheetFormatPr defaultColWidth="9.140625" defaultRowHeight="12.75" customHeight="1"/>
  <cols>
    <col min="1" max="1" width="6.7109375" style="2" bestFit="1" customWidth="1"/>
    <col min="2" max="2" width="32.42578125" style="2" bestFit="1" customWidth="1"/>
    <col min="3" max="3" width="14.5703125" style="2" bestFit="1" customWidth="1"/>
    <col min="4" max="4" width="13" style="2" customWidth="1"/>
    <col min="5" max="5" width="13.5703125" style="2" bestFit="1" customWidth="1"/>
    <col min="6" max="6" width="19.28515625" style="2" customWidth="1"/>
    <col min="7" max="7" width="15.7109375" style="2" customWidth="1"/>
    <col min="8" max="8" width="17" style="2" bestFit="1" customWidth="1"/>
    <col min="9" max="9" width="17.42578125" style="2" bestFit="1" customWidth="1"/>
    <col min="10" max="10" width="11.28515625" style="2" bestFit="1" customWidth="1"/>
    <col min="11" max="11" width="7.5703125" style="2" customWidth="1"/>
    <col min="12" max="12" width="18.28515625" style="2" bestFit="1" customWidth="1"/>
    <col min="13" max="16384" width="9.140625" style="2"/>
  </cols>
  <sheetData>
    <row r="1" spans="1:10" s="12" customFormat="1" ht="12.75" customHeight="1">
      <c r="A1" s="94" t="s">
        <v>101</v>
      </c>
      <c r="C1" s="10"/>
      <c r="D1" s="8"/>
      <c r="E1" s="8"/>
      <c r="F1" s="8"/>
    </row>
    <row r="2" spans="1:10" s="12" customFormat="1" ht="12.75" customHeight="1">
      <c r="A2" s="46" t="str">
        <f>"Solicitation Number: "&amp;Instructions!H9&amp;""</f>
        <v>Solicitation Number: W91CRB-25-R-0002</v>
      </c>
      <c r="C2" s="10"/>
      <c r="D2" s="17"/>
      <c r="E2" s="17"/>
    </row>
    <row r="3" spans="1:10" s="12" customFormat="1" ht="12.75" customHeight="1">
      <c r="A3" s="46" t="str">
        <f>"Name of Action: "&amp;Instructions!H10</f>
        <v>Name of Action: Force Development</v>
      </c>
      <c r="C3" s="10"/>
      <c r="D3" s="17"/>
      <c r="E3" s="17"/>
    </row>
    <row r="4" spans="1:10" s="12" customFormat="1" ht="12.75" customHeight="1">
      <c r="A4" s="94" t="str">
        <f>"Prime Contractor/Subcontractor Name/Division: "&amp;Instructions!H15</f>
        <v xml:space="preserve">Prime Contractor/Subcontractor Name/Division: </v>
      </c>
      <c r="C4" s="10"/>
      <c r="D4" s="13"/>
      <c r="E4" s="287"/>
      <c r="F4" s="13"/>
    </row>
    <row r="5" spans="1:10" s="12" customFormat="1" ht="12.75" customHeight="1">
      <c r="A5" s="94" t="str">
        <f>"Period of Performance: "&amp;Instructions!H11</f>
        <v xml:space="preserve">Period of Performance: </v>
      </c>
      <c r="E5" s="67"/>
    </row>
    <row r="6" spans="1:10" s="12" customFormat="1" ht="12.75" customHeight="1">
      <c r="A6" s="94" t="str">
        <f>"Date of Proposal:"&amp;IF(ISBLANK(Instructions!H18)," TBD",(TEXT(Instructions!H18," mm/dd/yyyy")))</f>
        <v>Date of Proposal: TBD</v>
      </c>
      <c r="E6" s="67"/>
    </row>
    <row r="7" spans="1:10" ht="12.75" customHeight="1" thickBot="1">
      <c r="B7" s="78"/>
    </row>
    <row r="8" spans="1:10" ht="25.5">
      <c r="A8" s="68" t="s">
        <v>5</v>
      </c>
      <c r="B8" s="76" t="s">
        <v>45</v>
      </c>
      <c r="C8" s="69" t="s">
        <v>186</v>
      </c>
      <c r="D8" s="69" t="s">
        <v>184</v>
      </c>
      <c r="E8" s="69" t="s">
        <v>183</v>
      </c>
      <c r="F8" s="70" t="s">
        <v>198</v>
      </c>
    </row>
    <row r="9" spans="1:10" ht="12.75" customHeight="1" thickBot="1">
      <c r="A9" s="71" t="s">
        <v>8</v>
      </c>
      <c r="B9" s="77" t="s">
        <v>9</v>
      </c>
      <c r="C9" s="72" t="s">
        <v>10</v>
      </c>
      <c r="D9" s="72" t="s">
        <v>32</v>
      </c>
      <c r="E9" s="72" t="s">
        <v>70</v>
      </c>
      <c r="F9" s="73" t="s">
        <v>199</v>
      </c>
    </row>
    <row r="10" spans="1:10" ht="12.75" customHeight="1">
      <c r="A10" s="293" t="s">
        <v>270</v>
      </c>
      <c r="B10" s="74" t="s">
        <v>276</v>
      </c>
      <c r="C10" s="88">
        <v>100000</v>
      </c>
      <c r="D10" s="208"/>
      <c r="E10" s="75">
        <f t="shared" ref="E10:E15" si="0">ROUND((+C10*D10),2)</f>
        <v>0</v>
      </c>
      <c r="F10" s="119">
        <f>C10+E10</f>
        <v>100000</v>
      </c>
      <c r="J10" s="5"/>
    </row>
    <row r="11" spans="1:10" ht="12.75" customHeight="1">
      <c r="A11" s="293" t="s">
        <v>271</v>
      </c>
      <c r="B11" s="74" t="s">
        <v>277</v>
      </c>
      <c r="C11" s="88">
        <v>100000</v>
      </c>
      <c r="D11" s="208"/>
      <c r="E11" s="75">
        <f t="shared" si="0"/>
        <v>0</v>
      </c>
      <c r="F11" s="119">
        <f t="shared" ref="F11:F15" si="1">C11+E11</f>
        <v>100000</v>
      </c>
      <c r="J11" s="5"/>
    </row>
    <row r="12" spans="1:10" ht="12.75" customHeight="1">
      <c r="A12" s="293" t="s">
        <v>272</v>
      </c>
      <c r="B12" s="74" t="s">
        <v>278</v>
      </c>
      <c r="C12" s="88">
        <v>100000</v>
      </c>
      <c r="D12" s="208"/>
      <c r="E12" s="75">
        <f t="shared" si="0"/>
        <v>0</v>
      </c>
      <c r="F12" s="119">
        <f t="shared" si="1"/>
        <v>100000</v>
      </c>
      <c r="J12" s="5"/>
    </row>
    <row r="13" spans="1:10" ht="12.75" customHeight="1">
      <c r="A13" s="293" t="s">
        <v>273</v>
      </c>
      <c r="B13" s="74" t="s">
        <v>279</v>
      </c>
      <c r="C13" s="88">
        <v>100000</v>
      </c>
      <c r="D13" s="208"/>
      <c r="E13" s="75">
        <f t="shared" si="0"/>
        <v>0</v>
      </c>
      <c r="F13" s="119">
        <f t="shared" si="1"/>
        <v>100000</v>
      </c>
      <c r="J13" s="5"/>
    </row>
    <row r="14" spans="1:10" ht="12.75" customHeight="1">
      <c r="A14" s="293" t="s">
        <v>274</v>
      </c>
      <c r="B14" s="74" t="s">
        <v>280</v>
      </c>
      <c r="C14" s="88">
        <v>100000</v>
      </c>
      <c r="D14" s="208"/>
      <c r="E14" s="75">
        <f t="shared" si="0"/>
        <v>0</v>
      </c>
      <c r="F14" s="119">
        <f t="shared" si="1"/>
        <v>100000</v>
      </c>
      <c r="J14" s="5"/>
    </row>
    <row r="15" spans="1:10" ht="12.75" customHeight="1">
      <c r="A15" s="293" t="s">
        <v>275</v>
      </c>
      <c r="B15" s="74" t="s">
        <v>265</v>
      </c>
      <c r="C15" s="88">
        <v>50000</v>
      </c>
      <c r="D15" s="208"/>
      <c r="E15" s="75">
        <f t="shared" si="0"/>
        <v>0</v>
      </c>
      <c r="F15" s="119">
        <f t="shared" si="1"/>
        <v>50000</v>
      </c>
      <c r="J15" s="5"/>
    </row>
    <row r="16" spans="1:10" ht="12.75" customHeight="1" thickBot="1">
      <c r="A16" s="120"/>
      <c r="B16" s="286" t="s">
        <v>85</v>
      </c>
      <c r="C16" s="121">
        <f>SUM(C10:C15)</f>
        <v>550000</v>
      </c>
      <c r="D16" s="284"/>
      <c r="E16" s="121">
        <f>SUM(E10:E15)</f>
        <v>0</v>
      </c>
      <c r="F16" s="122">
        <f>SUM(F10:F15)</f>
        <v>550000</v>
      </c>
    </row>
    <row r="17" spans="3:8" ht="12.75" customHeight="1" thickBot="1">
      <c r="C17" s="4" t="s">
        <v>25</v>
      </c>
      <c r="D17" s="285">
        <f>SUMPRODUCT(C10:C15,D10:D15)/C16</f>
        <v>0</v>
      </c>
      <c r="E17" s="294" t="s">
        <v>187</v>
      </c>
    </row>
    <row r="18" spans="3:8" ht="12.75" customHeight="1">
      <c r="H18" s="210"/>
    </row>
  </sheetData>
  <phoneticPr fontId="45" type="noConversion"/>
  <printOptions headings="1" gridLines="1"/>
  <pageMargins left="0.5" right="0.5" top="0.5" bottom="0.5" header="0" footer="0"/>
  <pageSetup scale="80" orientation="portrait" r:id="rId1"/>
  <ignoredErrors>
    <ignoredError sqref="A10:A15"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E1C13-18BF-4451-8D38-3FD122B8A0C2}">
  <sheetPr>
    <tabColor theme="6" tint="0.39997558519241921"/>
  </sheetPr>
  <dimension ref="A1:F50"/>
  <sheetViews>
    <sheetView workbookViewId="0"/>
  </sheetViews>
  <sheetFormatPr defaultRowHeight="12.75"/>
  <cols>
    <col min="1" max="1" width="40.42578125" style="313" bestFit="1" customWidth="1"/>
    <col min="2" max="2" width="35.7109375" style="313" customWidth="1"/>
    <col min="3" max="5" width="20.7109375" style="313" customWidth="1"/>
    <col min="6" max="6" width="35.7109375" style="313" customWidth="1"/>
    <col min="7" max="16384" width="9.140625" style="313"/>
  </cols>
  <sheetData>
    <row r="1" spans="1:6">
      <c r="A1" s="213" t="s">
        <v>242</v>
      </c>
    </row>
    <row r="2" spans="1:6">
      <c r="A2" s="46" t="str">
        <f>"Solicitation Number: "&amp;Instructions!H9&amp;""</f>
        <v>Solicitation Number: W91CRB-25-R-0002</v>
      </c>
    </row>
    <row r="3" spans="1:6">
      <c r="A3" s="46" t="str">
        <f>"Name of Action: "&amp;Instructions!H10</f>
        <v>Name of Action: Force Development</v>
      </c>
    </row>
    <row r="4" spans="1:6">
      <c r="A4" s="94" t="str">
        <f>"Prime Contractor/Subcontractor Name/Division: "&amp;Instructions!H15</f>
        <v xml:space="preserve">Prime Contractor/Subcontractor Name/Division: </v>
      </c>
    </row>
    <row r="5" spans="1:6">
      <c r="A5" s="94" t="str">
        <f>"Period of Performance: "&amp;Instructions!H11</f>
        <v xml:space="preserve">Period of Performance: </v>
      </c>
    </row>
    <row r="6" spans="1:6">
      <c r="A6" s="94" t="str">
        <f>"Date of Proposal:"&amp;IF(ISBLANK(Instructions!H18)," TBD",(TEXT(Instructions!H18," mm/dd/yyyy")))</f>
        <v>Date of Proposal: TBD</v>
      </c>
    </row>
    <row r="7" spans="1:6">
      <c r="A7" s="94"/>
    </row>
    <row r="8" spans="1:6">
      <c r="A8" s="315" t="s">
        <v>209</v>
      </c>
      <c r="B8" s="316" t="s">
        <v>210</v>
      </c>
      <c r="C8" s="317"/>
      <c r="D8" s="317"/>
    </row>
    <row r="9" spans="1:6">
      <c r="A9" s="318" t="s">
        <v>211</v>
      </c>
      <c r="B9" s="319">
        <v>0</v>
      </c>
      <c r="C9" s="320"/>
      <c r="D9" s="320"/>
    </row>
    <row r="10" spans="1:6">
      <c r="A10" s="318" t="s">
        <v>212</v>
      </c>
      <c r="B10" s="319">
        <v>0</v>
      </c>
      <c r="C10" s="320"/>
      <c r="D10" s="320"/>
    </row>
    <row r="11" spans="1:6">
      <c r="A11" s="318" t="s">
        <v>213</v>
      </c>
      <c r="B11" s="319">
        <v>0</v>
      </c>
      <c r="C11" s="320"/>
      <c r="D11" s="320"/>
    </row>
    <row r="12" spans="1:6">
      <c r="A12" s="318" t="s">
        <v>214</v>
      </c>
      <c r="B12" s="319">
        <v>0</v>
      </c>
      <c r="C12" s="320"/>
      <c r="D12" s="320"/>
    </row>
    <row r="13" spans="1:6">
      <c r="A13" s="321" t="s">
        <v>215</v>
      </c>
      <c r="B13" s="319">
        <v>0</v>
      </c>
      <c r="C13" s="320"/>
      <c r="D13" s="320"/>
    </row>
    <row r="16" spans="1:6" s="324" customFormat="1" ht="25.5">
      <c r="A16" s="322" t="s">
        <v>216</v>
      </c>
      <c r="B16" s="323" t="s">
        <v>217</v>
      </c>
      <c r="C16" s="323" t="s">
        <v>218</v>
      </c>
      <c r="D16" s="323" t="s">
        <v>219</v>
      </c>
      <c r="E16" s="323" t="s">
        <v>210</v>
      </c>
      <c r="F16" s="323" t="s">
        <v>220</v>
      </c>
    </row>
    <row r="17" spans="1:6">
      <c r="A17" s="321" t="s">
        <v>221</v>
      </c>
      <c r="B17" s="325"/>
      <c r="C17" s="326"/>
      <c r="D17" s="326"/>
      <c r="E17" s="327">
        <v>0</v>
      </c>
      <c r="F17" s="325"/>
    </row>
    <row r="18" spans="1:6">
      <c r="A18" s="321" t="s">
        <v>222</v>
      </c>
      <c r="B18" s="325"/>
      <c r="C18" s="326"/>
      <c r="D18" s="326"/>
      <c r="E18" s="327">
        <v>0</v>
      </c>
      <c r="F18" s="325"/>
    </row>
    <row r="19" spans="1:6">
      <c r="A19" s="321" t="s">
        <v>0</v>
      </c>
      <c r="B19" s="325"/>
      <c r="C19" s="326"/>
      <c r="D19" s="326"/>
      <c r="E19" s="327">
        <v>0</v>
      </c>
      <c r="F19" s="325"/>
    </row>
    <row r="20" spans="1:6">
      <c r="A20" s="321" t="s">
        <v>223</v>
      </c>
      <c r="B20" s="325"/>
      <c r="C20" s="326"/>
      <c r="D20" s="326"/>
      <c r="E20" s="327">
        <v>0</v>
      </c>
      <c r="F20" s="325"/>
    </row>
    <row r="21" spans="1:6">
      <c r="A21" s="321" t="s">
        <v>224</v>
      </c>
      <c r="B21" s="325"/>
      <c r="C21" s="326"/>
      <c r="D21" s="326"/>
      <c r="E21" s="327">
        <v>0</v>
      </c>
      <c r="F21" s="325"/>
    </row>
    <row r="22" spans="1:6">
      <c r="A22" s="321" t="s">
        <v>225</v>
      </c>
      <c r="B22" s="325"/>
      <c r="C22" s="326"/>
      <c r="D22" s="326"/>
      <c r="E22" s="327">
        <v>0</v>
      </c>
      <c r="F22" s="325"/>
    </row>
    <row r="23" spans="1:6">
      <c r="A23" s="321" t="s">
        <v>226</v>
      </c>
      <c r="B23" s="325"/>
      <c r="C23" s="326"/>
      <c r="D23" s="326"/>
      <c r="E23" s="327">
        <v>0</v>
      </c>
      <c r="F23" s="325"/>
    </row>
    <row r="24" spans="1:6">
      <c r="A24" s="321" t="s">
        <v>227</v>
      </c>
      <c r="B24" s="325"/>
      <c r="C24" s="326"/>
      <c r="D24" s="326"/>
      <c r="E24" s="327">
        <v>0</v>
      </c>
      <c r="F24" s="325"/>
    </row>
    <row r="25" spans="1:6">
      <c r="A25" s="321" t="s">
        <v>228</v>
      </c>
      <c r="B25" s="325"/>
      <c r="C25" s="326"/>
      <c r="D25" s="326"/>
      <c r="E25" s="327">
        <v>0</v>
      </c>
      <c r="F25" s="325"/>
    </row>
    <row r="26" spans="1:6">
      <c r="A26" s="321" t="s">
        <v>229</v>
      </c>
      <c r="B26" s="325"/>
      <c r="C26" s="326"/>
      <c r="D26" s="326"/>
      <c r="E26" s="327">
        <v>0</v>
      </c>
      <c r="F26" s="325"/>
    </row>
    <row r="27" spans="1:6">
      <c r="A27" s="321" t="s">
        <v>230</v>
      </c>
      <c r="B27" s="325"/>
      <c r="C27" s="326"/>
      <c r="D27" s="326"/>
      <c r="E27" s="327">
        <v>0</v>
      </c>
      <c r="F27" s="325"/>
    </row>
    <row r="28" spans="1:6">
      <c r="A28" s="321" t="s">
        <v>231</v>
      </c>
      <c r="B28" s="325"/>
      <c r="C28" s="326"/>
      <c r="D28" s="326"/>
      <c r="E28" s="327">
        <v>0</v>
      </c>
      <c r="F28" s="325"/>
    </row>
    <row r="29" spans="1:6">
      <c r="A29" s="321" t="s">
        <v>232</v>
      </c>
      <c r="B29" s="325"/>
      <c r="C29" s="326"/>
      <c r="D29" s="326"/>
      <c r="E29" s="327">
        <v>0</v>
      </c>
      <c r="F29" s="325"/>
    </row>
    <row r="30" spans="1:6">
      <c r="A30" s="321" t="s">
        <v>233</v>
      </c>
      <c r="B30" s="325"/>
      <c r="C30" s="326"/>
      <c r="D30" s="326"/>
      <c r="E30" s="327">
        <v>0</v>
      </c>
      <c r="F30" s="325"/>
    </row>
    <row r="31" spans="1:6">
      <c r="A31" s="321" t="s">
        <v>234</v>
      </c>
      <c r="B31" s="325"/>
      <c r="C31" s="326"/>
      <c r="D31" s="326"/>
      <c r="E31" s="327">
        <v>0</v>
      </c>
      <c r="F31" s="325"/>
    </row>
    <row r="32" spans="1:6">
      <c r="A32" s="321" t="s">
        <v>235</v>
      </c>
      <c r="B32" s="325"/>
      <c r="C32" s="326"/>
      <c r="D32" s="326"/>
      <c r="E32" s="327">
        <v>0</v>
      </c>
      <c r="F32" s="325"/>
    </row>
    <row r="33" spans="1:6">
      <c r="A33" s="321" t="s">
        <v>236</v>
      </c>
      <c r="B33" s="325"/>
      <c r="C33" s="326"/>
      <c r="D33" s="326"/>
      <c r="E33" s="327">
        <v>0</v>
      </c>
      <c r="F33" s="325"/>
    </row>
    <row r="34" spans="1:6">
      <c r="A34" s="321" t="s">
        <v>215</v>
      </c>
      <c r="B34" s="325"/>
      <c r="C34" s="326"/>
      <c r="D34" s="326"/>
      <c r="E34" s="327">
        <v>0</v>
      </c>
      <c r="F34" s="325"/>
    </row>
    <row r="35" spans="1:6">
      <c r="A35" s="321"/>
      <c r="B35" s="321"/>
      <c r="C35" s="321"/>
      <c r="D35" s="321"/>
      <c r="E35" s="321"/>
      <c r="F35" s="321"/>
    </row>
    <row r="36" spans="1:6">
      <c r="A36" s="321"/>
      <c r="B36" s="321"/>
      <c r="C36" s="321"/>
      <c r="D36" s="321"/>
      <c r="E36" s="321"/>
      <c r="F36" s="321"/>
    </row>
    <row r="37" spans="1:6" s="330" customFormat="1">
      <c r="A37" s="328" t="s">
        <v>237</v>
      </c>
      <c r="B37" s="329" t="s">
        <v>238</v>
      </c>
      <c r="C37" s="329" t="s">
        <v>239</v>
      </c>
      <c r="D37" s="314"/>
      <c r="E37" s="314"/>
      <c r="F37" s="314"/>
    </row>
    <row r="38" spans="1:6">
      <c r="A38" s="331"/>
      <c r="B38" s="331"/>
      <c r="C38" s="331"/>
      <c r="D38" s="321"/>
      <c r="E38" s="321"/>
      <c r="F38" s="321"/>
    </row>
    <row r="39" spans="1:6">
      <c r="A39" s="331"/>
      <c r="B39" s="331"/>
      <c r="C39" s="331"/>
      <c r="D39" s="321"/>
      <c r="E39" s="321"/>
      <c r="F39" s="321"/>
    </row>
    <row r="40" spans="1:6">
      <c r="A40" s="331"/>
      <c r="B40" s="331"/>
      <c r="C40" s="331"/>
      <c r="D40" s="321"/>
      <c r="E40" s="321"/>
      <c r="F40" s="321"/>
    </row>
    <row r="41" spans="1:6">
      <c r="A41" s="331"/>
      <c r="B41" s="331"/>
      <c r="C41" s="331"/>
      <c r="D41" s="321"/>
      <c r="E41" s="321"/>
      <c r="F41" s="321"/>
    </row>
    <row r="42" spans="1:6">
      <c r="A42" s="331"/>
      <c r="B42" s="331"/>
      <c r="C42" s="331"/>
      <c r="D42" s="321"/>
      <c r="E42" s="321"/>
      <c r="F42" s="321"/>
    </row>
    <row r="43" spans="1:6">
      <c r="A43" s="331"/>
      <c r="B43" s="331"/>
      <c r="C43" s="331"/>
      <c r="D43" s="321"/>
      <c r="E43" s="321"/>
      <c r="F43" s="321"/>
    </row>
    <row r="44" spans="1:6">
      <c r="A44" s="331"/>
      <c r="B44" s="331"/>
      <c r="C44" s="331"/>
      <c r="D44" s="321"/>
      <c r="E44" s="321"/>
      <c r="F44" s="321"/>
    </row>
    <row r="45" spans="1:6">
      <c r="A45" s="331"/>
      <c r="B45" s="331"/>
      <c r="C45" s="331"/>
      <c r="D45" s="321"/>
      <c r="E45" s="321"/>
      <c r="F45" s="321"/>
    </row>
    <row r="46" spans="1:6">
      <c r="A46" s="331"/>
      <c r="B46" s="331"/>
      <c r="C46" s="331"/>
      <c r="D46" s="321"/>
      <c r="E46" s="321"/>
      <c r="F46" s="321"/>
    </row>
    <row r="47" spans="1:6">
      <c r="A47" s="331"/>
      <c r="B47" s="331"/>
      <c r="C47" s="331"/>
      <c r="D47" s="321"/>
      <c r="E47" s="321"/>
      <c r="F47" s="321"/>
    </row>
    <row r="48" spans="1:6">
      <c r="A48" s="321"/>
      <c r="B48" s="321"/>
      <c r="C48" s="321"/>
      <c r="D48" s="321"/>
      <c r="E48" s="321"/>
      <c r="F48" s="321"/>
    </row>
    <row r="49" spans="1:6">
      <c r="A49" s="371" t="s">
        <v>240</v>
      </c>
      <c r="B49" s="371"/>
      <c r="C49" s="371"/>
      <c r="D49" s="371"/>
      <c r="E49" s="371"/>
      <c r="F49" s="371"/>
    </row>
    <row r="50" spans="1:6">
      <c r="A50" s="371" t="s">
        <v>241</v>
      </c>
      <c r="B50" s="371"/>
      <c r="C50" s="371"/>
      <c r="D50" s="371"/>
      <c r="E50" s="371"/>
      <c r="F50" s="371"/>
    </row>
  </sheetData>
  <mergeCells count="2">
    <mergeCell ref="A49:F49"/>
    <mergeCell ref="A50:F50"/>
  </mergeCells>
  <pageMargins left="0.7" right="0.7" top="0.75" bottom="0.75" header="0.3" footer="0.3"/>
  <pageSetup scale="53"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A162D-7723-4AA1-A239-4E3310361F97}">
  <sheetPr>
    <tabColor theme="6" tint="0.39997558519241921"/>
    <pageSetUpPr fitToPage="1"/>
  </sheetPr>
  <dimension ref="A1:N37"/>
  <sheetViews>
    <sheetView workbookViewId="0"/>
  </sheetViews>
  <sheetFormatPr defaultColWidth="9.140625" defaultRowHeight="12.75"/>
  <cols>
    <col min="1" max="1" width="42.7109375" style="215" customWidth="1"/>
    <col min="2" max="3" width="14.7109375" style="215" customWidth="1"/>
    <col min="4" max="4" width="14.7109375" style="214" customWidth="1"/>
    <col min="5" max="5" width="14.7109375" style="215" customWidth="1"/>
    <col min="6" max="6" width="22.28515625" style="215" customWidth="1"/>
    <col min="7" max="7" width="14.7109375" style="215" customWidth="1"/>
    <col min="8" max="8" width="22.28515625" style="215" customWidth="1"/>
    <col min="9" max="9" width="14.7109375" style="215" customWidth="1"/>
    <col min="10" max="10" width="22.28515625" style="215" customWidth="1"/>
    <col min="11" max="13" width="14.7109375" style="215" customWidth="1"/>
    <col min="14" max="14" width="18.140625" style="215" customWidth="1"/>
    <col min="15" max="16384" width="9.140625" style="215"/>
  </cols>
  <sheetData>
    <row r="1" spans="1:14">
      <c r="A1" s="213" t="s">
        <v>113</v>
      </c>
      <c r="B1" s="213"/>
      <c r="C1" s="213"/>
    </row>
    <row r="2" spans="1:14">
      <c r="A2" s="46" t="str">
        <f>"Solicitation Number: "&amp;Instructions!H9&amp;""</f>
        <v>Solicitation Number: W91CRB-25-R-0002</v>
      </c>
      <c r="B2" s="213"/>
      <c r="C2" s="213"/>
    </row>
    <row r="3" spans="1:14">
      <c r="A3" s="46" t="str">
        <f>"Name of Action: "&amp;Instructions!H10</f>
        <v>Name of Action: Force Development</v>
      </c>
      <c r="B3" s="213"/>
      <c r="C3" s="213"/>
    </row>
    <row r="4" spans="1:14">
      <c r="A4" s="94" t="str">
        <f>"Prime Contractor/Subcontractor Name/Division: "&amp;Instructions!H15</f>
        <v xml:space="preserve">Prime Contractor/Subcontractor Name/Division: </v>
      </c>
      <c r="B4" s="213"/>
      <c r="C4" s="213"/>
    </row>
    <row r="5" spans="1:14">
      <c r="A5" s="94" t="str">
        <f>"Period of Performance: "&amp;Instructions!H11</f>
        <v xml:space="preserve">Period of Performance: </v>
      </c>
      <c r="B5" s="213"/>
      <c r="C5" s="213"/>
    </row>
    <row r="6" spans="1:14">
      <c r="A6" s="94" t="str">
        <f>"Date of Proposal:"&amp;IF(ISBLANK(Instructions!H18)," TBD",(TEXT(Instructions!H18," mm/dd/yyyy")))</f>
        <v>Date of Proposal: TBD</v>
      </c>
      <c r="B6" s="213"/>
      <c r="C6" s="213"/>
    </row>
    <row r="8" spans="1:14">
      <c r="A8" s="213" t="s">
        <v>114</v>
      </c>
      <c r="B8" s="216" t="s">
        <v>115</v>
      </c>
      <c r="C8" s="216" t="s">
        <v>116</v>
      </c>
      <c r="D8" s="216" t="s">
        <v>243</v>
      </c>
      <c r="E8" s="216" t="s">
        <v>117</v>
      </c>
      <c r="F8" s="216" t="s">
        <v>190</v>
      </c>
      <c r="G8" s="216" t="s">
        <v>188</v>
      </c>
      <c r="H8" s="216" t="s">
        <v>191</v>
      </c>
      <c r="I8" s="216" t="s">
        <v>192</v>
      </c>
      <c r="J8" s="216" t="s">
        <v>193</v>
      </c>
      <c r="K8" s="372" t="s">
        <v>118</v>
      </c>
      <c r="L8" s="372"/>
      <c r="M8" s="372"/>
      <c r="N8" s="372"/>
    </row>
    <row r="9" spans="1:14">
      <c r="A9" s="215" t="s">
        <v>119</v>
      </c>
      <c r="B9" s="217">
        <v>0</v>
      </c>
      <c r="C9" s="218">
        <v>0</v>
      </c>
      <c r="D9" s="218">
        <v>0</v>
      </c>
      <c r="E9" s="218">
        <v>0</v>
      </c>
      <c r="F9" s="218">
        <v>0</v>
      </c>
      <c r="G9" s="218">
        <v>0</v>
      </c>
      <c r="H9" s="218">
        <v>0</v>
      </c>
      <c r="I9" s="218">
        <v>0</v>
      </c>
      <c r="J9" s="218">
        <v>0</v>
      </c>
      <c r="K9" s="218"/>
      <c r="L9" s="218"/>
      <c r="M9" s="218"/>
      <c r="N9" s="219"/>
    </row>
    <row r="10" spans="1:14">
      <c r="A10" s="215" t="s">
        <v>120</v>
      </c>
      <c r="B10" s="220">
        <v>0</v>
      </c>
      <c r="C10" s="221">
        <v>0</v>
      </c>
      <c r="D10" s="221">
        <v>0</v>
      </c>
      <c r="E10" s="221">
        <v>0</v>
      </c>
      <c r="F10" s="221">
        <v>0</v>
      </c>
      <c r="G10" s="221">
        <v>0</v>
      </c>
      <c r="H10" s="221">
        <v>0</v>
      </c>
      <c r="I10" s="221">
        <v>0</v>
      </c>
      <c r="J10" s="221">
        <v>0</v>
      </c>
      <c r="K10" s="221"/>
      <c r="L10" s="221"/>
      <c r="M10" s="221"/>
      <c r="N10" s="222"/>
    </row>
    <row r="11" spans="1:14">
      <c r="A11" s="215" t="s">
        <v>121</v>
      </c>
      <c r="B11" s="220">
        <v>0</v>
      </c>
      <c r="C11" s="221">
        <v>0</v>
      </c>
      <c r="D11" s="221">
        <v>0</v>
      </c>
      <c r="E11" s="221">
        <v>0</v>
      </c>
      <c r="F11" s="221">
        <v>0</v>
      </c>
      <c r="G11" s="221">
        <v>0</v>
      </c>
      <c r="H11" s="221">
        <v>0</v>
      </c>
      <c r="I11" s="221">
        <v>0</v>
      </c>
      <c r="J11" s="221">
        <v>0</v>
      </c>
      <c r="K11" s="221"/>
      <c r="L11" s="221"/>
      <c r="M11" s="221"/>
      <c r="N11" s="222"/>
    </row>
    <row r="12" spans="1:14">
      <c r="A12" s="215" t="s">
        <v>122</v>
      </c>
      <c r="B12" s="220">
        <v>0</v>
      </c>
      <c r="C12" s="221">
        <v>0</v>
      </c>
      <c r="D12" s="221">
        <v>0</v>
      </c>
      <c r="E12" s="221">
        <v>0</v>
      </c>
      <c r="F12" s="221">
        <v>0</v>
      </c>
      <c r="G12" s="221">
        <v>0</v>
      </c>
      <c r="H12" s="221">
        <v>0</v>
      </c>
      <c r="I12" s="221">
        <v>0</v>
      </c>
      <c r="J12" s="221">
        <v>0</v>
      </c>
      <c r="K12" s="221"/>
      <c r="L12" s="221"/>
      <c r="M12" s="221"/>
      <c r="N12" s="222"/>
    </row>
    <row r="13" spans="1:14">
      <c r="A13" s="215" t="s">
        <v>0</v>
      </c>
      <c r="B13" s="220">
        <v>0</v>
      </c>
      <c r="C13" s="221">
        <v>0</v>
      </c>
      <c r="D13" s="221">
        <v>0</v>
      </c>
      <c r="E13" s="221">
        <v>0</v>
      </c>
      <c r="F13" s="221">
        <v>0</v>
      </c>
      <c r="G13" s="221">
        <v>0</v>
      </c>
      <c r="H13" s="221">
        <v>0</v>
      </c>
      <c r="I13" s="221">
        <v>0</v>
      </c>
      <c r="J13" s="221">
        <v>0</v>
      </c>
      <c r="K13" s="221"/>
      <c r="L13" s="221"/>
      <c r="M13" s="221"/>
      <c r="N13" s="222"/>
    </row>
    <row r="14" spans="1:14">
      <c r="A14" s="215" t="s">
        <v>123</v>
      </c>
      <c r="B14" s="220">
        <v>0</v>
      </c>
      <c r="C14" s="221">
        <v>0</v>
      </c>
      <c r="D14" s="221">
        <v>0</v>
      </c>
      <c r="E14" s="221">
        <v>0</v>
      </c>
      <c r="F14" s="221">
        <v>0</v>
      </c>
      <c r="G14" s="221">
        <v>0</v>
      </c>
      <c r="H14" s="221">
        <v>0</v>
      </c>
      <c r="I14" s="221">
        <v>0</v>
      </c>
      <c r="J14" s="221">
        <v>0</v>
      </c>
      <c r="K14" s="221"/>
      <c r="L14" s="221"/>
      <c r="M14" s="221"/>
      <c r="N14" s="222"/>
    </row>
    <row r="15" spans="1:14">
      <c r="A15" s="215" t="s">
        <v>124</v>
      </c>
      <c r="B15" s="220">
        <v>0</v>
      </c>
      <c r="C15" s="221">
        <v>0</v>
      </c>
      <c r="D15" s="221">
        <v>0</v>
      </c>
      <c r="E15" s="221">
        <v>0</v>
      </c>
      <c r="F15" s="221">
        <v>0</v>
      </c>
      <c r="G15" s="221">
        <v>0</v>
      </c>
      <c r="H15" s="221">
        <v>0</v>
      </c>
      <c r="I15" s="221">
        <v>0</v>
      </c>
      <c r="J15" s="221">
        <v>0</v>
      </c>
      <c r="K15" s="221"/>
      <c r="L15" s="221"/>
      <c r="M15" s="221"/>
      <c r="N15" s="222"/>
    </row>
    <row r="16" spans="1:14">
      <c r="A16" s="215" t="s">
        <v>125</v>
      </c>
      <c r="B16" s="220">
        <v>0</v>
      </c>
      <c r="C16" s="221">
        <v>0</v>
      </c>
      <c r="D16" s="221">
        <v>0</v>
      </c>
      <c r="E16" s="221">
        <v>0</v>
      </c>
      <c r="F16" s="221">
        <v>0</v>
      </c>
      <c r="G16" s="221">
        <v>0</v>
      </c>
      <c r="H16" s="221">
        <v>0</v>
      </c>
      <c r="I16" s="221">
        <v>0</v>
      </c>
      <c r="J16" s="221">
        <v>0</v>
      </c>
      <c r="K16" s="221"/>
      <c r="L16" s="221"/>
      <c r="M16" s="221"/>
      <c r="N16" s="222"/>
    </row>
    <row r="17" spans="1:14">
      <c r="A17" s="215" t="s">
        <v>126</v>
      </c>
      <c r="B17" s="220">
        <v>0</v>
      </c>
      <c r="C17" s="221">
        <v>0</v>
      </c>
      <c r="D17" s="221">
        <v>0</v>
      </c>
      <c r="E17" s="221">
        <v>0</v>
      </c>
      <c r="F17" s="221">
        <v>0</v>
      </c>
      <c r="G17" s="221">
        <v>0</v>
      </c>
      <c r="H17" s="221">
        <v>0</v>
      </c>
      <c r="I17" s="221">
        <v>0</v>
      </c>
      <c r="J17" s="221">
        <v>0</v>
      </c>
      <c r="K17" s="221"/>
      <c r="L17" s="221"/>
      <c r="M17" s="221"/>
      <c r="N17" s="222"/>
    </row>
    <row r="18" spans="1:14">
      <c r="A18" s="215" t="s">
        <v>127</v>
      </c>
      <c r="B18" s="220">
        <v>0</v>
      </c>
      <c r="C18" s="221">
        <v>0</v>
      </c>
      <c r="D18" s="221">
        <v>0</v>
      </c>
      <c r="E18" s="221">
        <v>0</v>
      </c>
      <c r="F18" s="221">
        <v>0</v>
      </c>
      <c r="G18" s="221">
        <v>0</v>
      </c>
      <c r="H18" s="221">
        <v>0</v>
      </c>
      <c r="I18" s="221">
        <v>0</v>
      </c>
      <c r="J18" s="221">
        <v>0</v>
      </c>
      <c r="K18" s="221"/>
      <c r="L18" s="221"/>
      <c r="M18" s="221"/>
      <c r="N18" s="222"/>
    </row>
    <row r="19" spans="1:14">
      <c r="A19" s="215" t="s">
        <v>128</v>
      </c>
      <c r="B19" s="220">
        <v>0</v>
      </c>
      <c r="C19" s="221">
        <v>0</v>
      </c>
      <c r="D19" s="221">
        <v>0</v>
      </c>
      <c r="E19" s="221">
        <v>0</v>
      </c>
      <c r="F19" s="221">
        <v>0</v>
      </c>
      <c r="G19" s="221">
        <v>0</v>
      </c>
      <c r="H19" s="221">
        <v>0</v>
      </c>
      <c r="I19" s="221">
        <v>0</v>
      </c>
      <c r="J19" s="221">
        <v>0</v>
      </c>
      <c r="K19" s="221"/>
      <c r="L19" s="221"/>
      <c r="M19" s="221"/>
      <c r="N19" s="222"/>
    </row>
    <row r="20" spans="1:14">
      <c r="A20" s="215" t="s">
        <v>129</v>
      </c>
      <c r="B20" s="220">
        <v>0</v>
      </c>
      <c r="C20" s="221">
        <v>0</v>
      </c>
      <c r="D20" s="221">
        <v>0</v>
      </c>
      <c r="E20" s="221">
        <v>0</v>
      </c>
      <c r="F20" s="221">
        <v>0</v>
      </c>
      <c r="G20" s="221">
        <v>0</v>
      </c>
      <c r="H20" s="221">
        <v>0</v>
      </c>
      <c r="I20" s="221">
        <v>0</v>
      </c>
      <c r="J20" s="221">
        <v>0</v>
      </c>
      <c r="K20" s="221"/>
      <c r="L20" s="221"/>
      <c r="M20" s="221"/>
      <c r="N20" s="222"/>
    </row>
    <row r="21" spans="1:14" ht="13.5" thickBot="1">
      <c r="A21" s="215" t="s">
        <v>130</v>
      </c>
      <c r="B21" s="223">
        <v>0</v>
      </c>
      <c r="C21" s="224">
        <v>0</v>
      </c>
      <c r="D21" s="224">
        <v>0</v>
      </c>
      <c r="E21" s="224">
        <v>0</v>
      </c>
      <c r="F21" s="224">
        <v>0</v>
      </c>
      <c r="G21" s="224">
        <v>0</v>
      </c>
      <c r="H21" s="224">
        <v>0</v>
      </c>
      <c r="I21" s="224">
        <v>0</v>
      </c>
      <c r="J21" s="224">
        <v>0</v>
      </c>
      <c r="K21" s="224"/>
      <c r="L21" s="224"/>
      <c r="M21" s="224"/>
      <c r="N21" s="225"/>
    </row>
    <row r="22" spans="1:14" ht="13.5" thickTop="1">
      <c r="A22" s="213" t="s">
        <v>131</v>
      </c>
      <c r="B22" s="226">
        <f t="shared" ref="B22:D22" si="0">SUM(B9:B21)</f>
        <v>0</v>
      </c>
      <c r="C22" s="227">
        <f t="shared" si="0"/>
        <v>0</v>
      </c>
      <c r="D22" s="227">
        <f t="shared" si="0"/>
        <v>0</v>
      </c>
      <c r="E22" s="227">
        <f t="shared" ref="E22:J22" si="1">SUM(E9:E21)</f>
        <v>0</v>
      </c>
      <c r="F22" s="227">
        <f t="shared" si="1"/>
        <v>0</v>
      </c>
      <c r="G22" s="227">
        <f t="shared" si="1"/>
        <v>0</v>
      </c>
      <c r="H22" s="227">
        <f t="shared" si="1"/>
        <v>0</v>
      </c>
      <c r="I22" s="227">
        <f t="shared" si="1"/>
        <v>0</v>
      </c>
      <c r="J22" s="227">
        <f t="shared" si="1"/>
        <v>0</v>
      </c>
      <c r="K22" s="227"/>
      <c r="L22" s="227"/>
      <c r="M22" s="227"/>
      <c r="N22" s="228"/>
    </row>
    <row r="23" spans="1:14">
      <c r="A23" s="213"/>
      <c r="B23" s="229"/>
      <c r="C23" s="229"/>
      <c r="D23" s="229"/>
      <c r="E23" s="229"/>
      <c r="F23" s="229"/>
      <c r="G23" s="229"/>
      <c r="H23" s="229"/>
      <c r="I23" s="229"/>
      <c r="J23" s="229"/>
      <c r="K23" s="229"/>
      <c r="L23" s="229"/>
      <c r="M23" s="229"/>
      <c r="N23" s="229"/>
    </row>
    <row r="24" spans="1:14">
      <c r="A24" s="213" t="s">
        <v>132</v>
      </c>
      <c r="B24" s="214"/>
      <c r="C24" s="214"/>
      <c r="E24" s="214"/>
      <c r="F24" s="214"/>
      <c r="G24" s="214"/>
      <c r="H24" s="214"/>
      <c r="I24" s="214"/>
      <c r="J24" s="214"/>
      <c r="K24" s="214"/>
      <c r="L24" s="214"/>
      <c r="M24" s="214"/>
      <c r="N24" s="214"/>
    </row>
    <row r="25" spans="1:14">
      <c r="A25" s="215" t="s">
        <v>133</v>
      </c>
      <c r="B25" s="230">
        <v>0</v>
      </c>
      <c r="C25" s="231">
        <v>0</v>
      </c>
      <c r="D25" s="231">
        <v>0</v>
      </c>
      <c r="E25" s="231">
        <v>0</v>
      </c>
      <c r="F25" s="231">
        <v>0</v>
      </c>
      <c r="G25" s="231">
        <v>0</v>
      </c>
      <c r="H25" s="231">
        <v>0</v>
      </c>
      <c r="I25" s="231">
        <v>0</v>
      </c>
      <c r="J25" s="231">
        <v>0</v>
      </c>
      <c r="K25" s="231"/>
      <c r="L25" s="231"/>
      <c r="M25" s="231"/>
      <c r="N25" s="232"/>
    </row>
    <row r="26" spans="1:14" ht="13.5" thickBot="1">
      <c r="A26" s="213" t="s">
        <v>134</v>
      </c>
      <c r="B26" s="233">
        <f t="shared" ref="B26:D26" si="2">SUM(B25)</f>
        <v>0</v>
      </c>
      <c r="C26" s="234">
        <f t="shared" si="2"/>
        <v>0</v>
      </c>
      <c r="D26" s="234">
        <f t="shared" si="2"/>
        <v>0</v>
      </c>
      <c r="E26" s="234">
        <f>SUM(E25)</f>
        <v>0</v>
      </c>
      <c r="F26" s="234">
        <v>0</v>
      </c>
      <c r="G26" s="234">
        <f>SUM(G25)</f>
        <v>0</v>
      </c>
      <c r="H26" s="234">
        <v>0</v>
      </c>
      <c r="I26" s="234">
        <f>SUM(I25)</f>
        <v>0</v>
      </c>
      <c r="J26" s="234">
        <v>0</v>
      </c>
      <c r="K26" s="234"/>
      <c r="L26" s="234"/>
      <c r="M26" s="234"/>
      <c r="N26" s="235"/>
    </row>
    <row r="27" spans="1:14" ht="13.5" thickTop="1">
      <c r="A27" s="213" t="s">
        <v>135</v>
      </c>
      <c r="B27" s="226">
        <f t="shared" ref="B27:D27" si="3">B22-B26</f>
        <v>0</v>
      </c>
      <c r="C27" s="227">
        <f t="shared" si="3"/>
        <v>0</v>
      </c>
      <c r="D27" s="227">
        <f t="shared" si="3"/>
        <v>0</v>
      </c>
      <c r="E27" s="227">
        <f t="shared" ref="E27:J27" si="4">E22-E26</f>
        <v>0</v>
      </c>
      <c r="F27" s="227">
        <f t="shared" si="4"/>
        <v>0</v>
      </c>
      <c r="G27" s="227">
        <f t="shared" si="4"/>
        <v>0</v>
      </c>
      <c r="H27" s="227">
        <f t="shared" si="4"/>
        <v>0</v>
      </c>
      <c r="I27" s="227">
        <f t="shared" si="4"/>
        <v>0</v>
      </c>
      <c r="J27" s="227">
        <f t="shared" si="4"/>
        <v>0</v>
      </c>
      <c r="K27" s="227"/>
      <c r="L27" s="227"/>
      <c r="M27" s="227"/>
      <c r="N27" s="228"/>
    </row>
    <row r="28" spans="1:14">
      <c r="B28" s="214"/>
      <c r="C28" s="214"/>
      <c r="E28" s="214"/>
      <c r="F28" s="214"/>
      <c r="G28" s="214"/>
      <c r="H28" s="214"/>
      <c r="I28" s="214"/>
      <c r="J28" s="214"/>
      <c r="K28" s="214"/>
      <c r="L28" s="214"/>
      <c r="M28" s="214"/>
      <c r="N28" s="214"/>
    </row>
    <row r="29" spans="1:14">
      <c r="A29" s="213" t="s">
        <v>136</v>
      </c>
      <c r="B29" s="229"/>
      <c r="C29" s="229"/>
      <c r="D29" s="229"/>
      <c r="E29" s="229"/>
      <c r="F29" s="229"/>
      <c r="G29" s="229"/>
      <c r="H29" s="229"/>
      <c r="I29" s="229"/>
      <c r="J29" s="229"/>
      <c r="K29" s="236"/>
      <c r="L29" s="229"/>
      <c r="M29" s="229"/>
      <c r="N29" s="229"/>
    </row>
    <row r="30" spans="1:14">
      <c r="A30" s="215" t="s">
        <v>1</v>
      </c>
      <c r="B30" s="218">
        <v>0</v>
      </c>
      <c r="C30" s="218">
        <v>0</v>
      </c>
      <c r="D30" s="218">
        <v>0</v>
      </c>
      <c r="E30" s="218">
        <v>0</v>
      </c>
      <c r="F30" s="218">
        <v>0</v>
      </c>
      <c r="G30" s="218">
        <v>0</v>
      </c>
      <c r="H30" s="218">
        <v>0</v>
      </c>
      <c r="I30" s="218">
        <v>0</v>
      </c>
      <c r="J30" s="218">
        <v>0</v>
      </c>
      <c r="K30" s="221"/>
      <c r="L30" s="218"/>
      <c r="M30" s="218"/>
      <c r="N30" s="219"/>
    </row>
    <row r="31" spans="1:14">
      <c r="A31" s="215" t="s">
        <v>137</v>
      </c>
      <c r="B31" s="220">
        <v>0</v>
      </c>
      <c r="C31" s="221">
        <v>0</v>
      </c>
      <c r="D31" s="221">
        <v>0</v>
      </c>
      <c r="E31" s="221">
        <v>0</v>
      </c>
      <c r="F31" s="221">
        <v>0</v>
      </c>
      <c r="G31" s="221">
        <v>0</v>
      </c>
      <c r="H31" s="221">
        <v>0</v>
      </c>
      <c r="I31" s="221">
        <v>0</v>
      </c>
      <c r="J31" s="221">
        <v>0</v>
      </c>
      <c r="K31" s="237"/>
      <c r="L31" s="221"/>
      <c r="M31" s="221"/>
      <c r="N31" s="222"/>
    </row>
    <row r="32" spans="1:14" ht="13.5" thickBot="1">
      <c r="A32" s="215" t="s">
        <v>138</v>
      </c>
      <c r="B32" s="223">
        <v>0</v>
      </c>
      <c r="C32" s="224">
        <v>0</v>
      </c>
      <c r="D32" s="224">
        <v>0</v>
      </c>
      <c r="E32" s="224">
        <v>0</v>
      </c>
      <c r="F32" s="224">
        <v>0</v>
      </c>
      <c r="G32" s="224">
        <v>0</v>
      </c>
      <c r="H32" s="224">
        <v>0</v>
      </c>
      <c r="I32" s="224">
        <v>0</v>
      </c>
      <c r="J32" s="224">
        <v>0</v>
      </c>
      <c r="K32" s="238"/>
      <c r="L32" s="224"/>
      <c r="M32" s="224"/>
      <c r="N32" s="225"/>
    </row>
    <row r="33" spans="1:14" ht="13.5" thickTop="1">
      <c r="A33" s="215" t="s">
        <v>139</v>
      </c>
      <c r="B33" s="226">
        <f t="shared" ref="B33:D33" si="5">SUM(B30:B32)</f>
        <v>0</v>
      </c>
      <c r="C33" s="227">
        <f t="shared" si="5"/>
        <v>0</v>
      </c>
      <c r="D33" s="227">
        <f t="shared" si="5"/>
        <v>0</v>
      </c>
      <c r="E33" s="227">
        <f t="shared" ref="E33:J33" si="6">SUM(E30:E32)</f>
        <v>0</v>
      </c>
      <c r="F33" s="227">
        <f t="shared" si="6"/>
        <v>0</v>
      </c>
      <c r="G33" s="227">
        <f t="shared" si="6"/>
        <v>0</v>
      </c>
      <c r="H33" s="227">
        <f t="shared" si="6"/>
        <v>0</v>
      </c>
      <c r="I33" s="227">
        <f t="shared" si="6"/>
        <v>0</v>
      </c>
      <c r="J33" s="227">
        <f t="shared" si="6"/>
        <v>0</v>
      </c>
      <c r="K33" s="227"/>
      <c r="L33" s="227"/>
      <c r="M33" s="227"/>
      <c r="N33" s="227"/>
    </row>
    <row r="34" spans="1:14">
      <c r="B34" s="214"/>
      <c r="C34" s="214"/>
      <c r="E34" s="214"/>
      <c r="F34" s="214"/>
      <c r="G34" s="214"/>
      <c r="H34" s="214"/>
      <c r="I34" s="214"/>
      <c r="J34" s="214"/>
      <c r="K34" s="214"/>
      <c r="L34" s="214"/>
      <c r="M34" s="214"/>
      <c r="N34" s="214"/>
    </row>
    <row r="35" spans="1:14" ht="13.5" thickBot="1">
      <c r="A35" s="213" t="s">
        <v>140</v>
      </c>
      <c r="B35" s="239" t="e">
        <f t="shared" ref="B35:D35" si="7">ROUND(+B27/B33,4)</f>
        <v>#DIV/0!</v>
      </c>
      <c r="C35" s="239" t="e">
        <f t="shared" si="7"/>
        <v>#DIV/0!</v>
      </c>
      <c r="D35" s="239" t="e">
        <f t="shared" si="7"/>
        <v>#DIV/0!</v>
      </c>
      <c r="E35" s="239" t="e">
        <f t="shared" ref="E35:J35" si="8">ROUND(+E27/E33,4)</f>
        <v>#DIV/0!</v>
      </c>
      <c r="F35" s="239" t="e">
        <f t="shared" si="8"/>
        <v>#DIV/0!</v>
      </c>
      <c r="G35" s="239" t="e">
        <f t="shared" si="8"/>
        <v>#DIV/0!</v>
      </c>
      <c r="H35" s="239" t="e">
        <f t="shared" si="8"/>
        <v>#DIV/0!</v>
      </c>
      <c r="I35" s="239" t="e">
        <f t="shared" si="8"/>
        <v>#DIV/0!</v>
      </c>
      <c r="J35" s="239" t="e">
        <f t="shared" si="8"/>
        <v>#DIV/0!</v>
      </c>
      <c r="K35" s="239"/>
      <c r="L35" s="239"/>
      <c r="M35" s="239"/>
      <c r="N35" s="239"/>
    </row>
    <row r="36" spans="1:14" ht="13.5" thickTop="1">
      <c r="B36" s="214"/>
      <c r="C36" s="214"/>
    </row>
    <row r="37" spans="1:14">
      <c r="B37" s="214"/>
      <c r="C37" s="214"/>
      <c r="E37" s="240"/>
      <c r="F37" s="240"/>
      <c r="G37" s="240"/>
      <c r="H37" s="240"/>
      <c r="I37" s="240"/>
      <c r="J37" s="240"/>
    </row>
  </sheetData>
  <mergeCells count="1">
    <mergeCell ref="K8:N8"/>
  </mergeCells>
  <printOptions gridLines="1"/>
  <pageMargins left="0.45" right="0.45" top="0.75" bottom="0.75" header="0.3" footer="0.3"/>
  <pageSetup scale="78"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7DCF6-F878-4553-B000-8A99729A529D}">
  <sheetPr>
    <tabColor theme="6" tint="0.39997558519241921"/>
    <pageSetUpPr fitToPage="1"/>
  </sheetPr>
  <dimension ref="A1:O37"/>
  <sheetViews>
    <sheetView workbookViewId="0"/>
  </sheetViews>
  <sheetFormatPr defaultColWidth="9.140625" defaultRowHeight="12.75"/>
  <cols>
    <col min="1" max="1" width="42.7109375" style="215" customWidth="1"/>
    <col min="2" max="3" width="14.7109375" style="215" customWidth="1"/>
    <col min="4" max="4" width="14.7109375" style="214" customWidth="1"/>
    <col min="5" max="5" width="14.7109375" style="215" customWidth="1"/>
    <col min="6" max="6" width="20" style="215" customWidth="1"/>
    <col min="7" max="7" width="14.7109375" style="215" customWidth="1"/>
    <col min="8" max="9" width="20" style="215" customWidth="1"/>
    <col min="10" max="10" width="20.85546875" style="215" customWidth="1"/>
    <col min="11" max="13" width="14.7109375" style="215" customWidth="1"/>
    <col min="14" max="14" width="18.42578125" style="215" customWidth="1"/>
    <col min="15" max="16384" width="9.140625" style="215"/>
  </cols>
  <sheetData>
    <row r="1" spans="1:15">
      <c r="A1" s="213" t="s">
        <v>141</v>
      </c>
      <c r="B1" s="213"/>
      <c r="C1" s="213"/>
    </row>
    <row r="2" spans="1:15">
      <c r="A2" s="46" t="str">
        <f>"Solicitation Number: "&amp;Instructions!H9&amp;""</f>
        <v>Solicitation Number: W91CRB-25-R-0002</v>
      </c>
      <c r="B2" s="213"/>
      <c r="C2" s="213"/>
    </row>
    <row r="3" spans="1:15">
      <c r="A3" s="46" t="str">
        <f>"Name of Action: "&amp;Instructions!H10</f>
        <v>Name of Action: Force Development</v>
      </c>
      <c r="B3" s="213"/>
      <c r="C3" s="213"/>
    </row>
    <row r="4" spans="1:15">
      <c r="A4" s="94" t="str">
        <f>"Prime Contractor/Subcontractor Name/Division: "&amp;Instructions!H15</f>
        <v xml:space="preserve">Prime Contractor/Subcontractor Name/Division: </v>
      </c>
      <c r="B4" s="213"/>
      <c r="C4" s="213"/>
    </row>
    <row r="5" spans="1:15">
      <c r="A5" s="94" t="str">
        <f>"Period of Performance: "&amp;Instructions!H11</f>
        <v xml:space="preserve">Period of Performance: </v>
      </c>
      <c r="B5" s="213"/>
      <c r="C5" s="213"/>
    </row>
    <row r="6" spans="1:15">
      <c r="A6" s="94" t="str">
        <f>"Date of Proposal:"&amp;IF(ISBLANK(Instructions!H18)," TBD",(TEXT(Instructions!H18," mm/dd/yyyy")))</f>
        <v>Date of Proposal: TBD</v>
      </c>
      <c r="B6" s="213"/>
      <c r="C6" s="213"/>
    </row>
    <row r="8" spans="1:15" ht="25.5">
      <c r="A8" s="213" t="s">
        <v>142</v>
      </c>
      <c r="B8" s="298" t="s">
        <v>115</v>
      </c>
      <c r="C8" s="298" t="s">
        <v>116</v>
      </c>
      <c r="D8" s="298" t="s">
        <v>243</v>
      </c>
      <c r="E8" s="216" t="s">
        <v>117</v>
      </c>
      <c r="F8" s="216" t="s">
        <v>190</v>
      </c>
      <c r="G8" s="216" t="s">
        <v>188</v>
      </c>
      <c r="H8" s="216" t="s">
        <v>189</v>
      </c>
      <c r="I8" s="216" t="s">
        <v>194</v>
      </c>
      <c r="J8" s="216" t="s">
        <v>193</v>
      </c>
      <c r="K8" s="373" t="s">
        <v>118</v>
      </c>
      <c r="L8" s="373"/>
      <c r="M8" s="373"/>
      <c r="N8" s="373"/>
    </row>
    <row r="9" spans="1:15">
      <c r="A9" s="215" t="s">
        <v>143</v>
      </c>
      <c r="B9" s="217">
        <v>0</v>
      </c>
      <c r="C9" s="218">
        <v>0</v>
      </c>
      <c r="D9" s="218">
        <v>0</v>
      </c>
      <c r="E9" s="241">
        <v>0</v>
      </c>
      <c r="F9" s="241">
        <v>0</v>
      </c>
      <c r="G9" s="241">
        <v>0</v>
      </c>
      <c r="H9" s="241">
        <v>0</v>
      </c>
      <c r="I9" s="241">
        <v>0</v>
      </c>
      <c r="J9" s="241">
        <v>0</v>
      </c>
      <c r="K9" s="221"/>
      <c r="L9" s="242"/>
      <c r="M9" s="242"/>
      <c r="N9" s="243"/>
    </row>
    <row r="10" spans="1:15">
      <c r="A10" s="215" t="s">
        <v>144</v>
      </c>
      <c r="B10" s="220">
        <v>0</v>
      </c>
      <c r="C10" s="221">
        <v>0</v>
      </c>
      <c r="D10" s="221">
        <v>0</v>
      </c>
      <c r="E10" s="244">
        <v>0</v>
      </c>
      <c r="F10" s="244">
        <v>0</v>
      </c>
      <c r="G10" s="244">
        <v>0</v>
      </c>
      <c r="H10" s="244">
        <v>0</v>
      </c>
      <c r="I10" s="244">
        <v>0</v>
      </c>
      <c r="J10" s="244">
        <v>0</v>
      </c>
      <c r="K10" s="221"/>
      <c r="L10" s="221"/>
      <c r="M10" s="221"/>
      <c r="N10" s="222"/>
      <c r="O10" s="245"/>
    </row>
    <row r="11" spans="1:15">
      <c r="A11" s="215" t="s">
        <v>145</v>
      </c>
      <c r="B11" s="220">
        <v>0</v>
      </c>
      <c r="C11" s="221">
        <v>0</v>
      </c>
      <c r="D11" s="221">
        <v>0</v>
      </c>
      <c r="E11" s="244">
        <v>0</v>
      </c>
      <c r="F11" s="244">
        <v>0</v>
      </c>
      <c r="G11" s="244">
        <v>0</v>
      </c>
      <c r="H11" s="244">
        <v>0</v>
      </c>
      <c r="I11" s="244">
        <v>0</v>
      </c>
      <c r="J11" s="244">
        <v>0</v>
      </c>
      <c r="K11" s="221"/>
      <c r="L11" s="221"/>
      <c r="M11" s="221"/>
      <c r="N11" s="222"/>
    </row>
    <row r="12" spans="1:15">
      <c r="A12" s="215" t="s">
        <v>146</v>
      </c>
      <c r="B12" s="220">
        <v>0</v>
      </c>
      <c r="C12" s="221">
        <v>0</v>
      </c>
      <c r="D12" s="221">
        <v>0</v>
      </c>
      <c r="E12" s="244">
        <v>0</v>
      </c>
      <c r="F12" s="244">
        <v>0</v>
      </c>
      <c r="G12" s="244">
        <v>0</v>
      </c>
      <c r="H12" s="244">
        <v>0</v>
      </c>
      <c r="I12" s="244">
        <v>0</v>
      </c>
      <c r="J12" s="244">
        <v>0</v>
      </c>
      <c r="K12" s="221"/>
      <c r="L12" s="221"/>
      <c r="M12" s="221"/>
      <c r="N12" s="222"/>
    </row>
    <row r="13" spans="1:15">
      <c r="A13" s="215" t="s">
        <v>147</v>
      </c>
      <c r="B13" s="220">
        <v>0</v>
      </c>
      <c r="C13" s="221">
        <v>0</v>
      </c>
      <c r="D13" s="221">
        <v>0</v>
      </c>
      <c r="E13" s="244">
        <v>0</v>
      </c>
      <c r="F13" s="244">
        <v>0</v>
      </c>
      <c r="G13" s="244">
        <v>0</v>
      </c>
      <c r="H13" s="244">
        <v>0</v>
      </c>
      <c r="I13" s="244">
        <v>0</v>
      </c>
      <c r="J13" s="244">
        <v>0</v>
      </c>
      <c r="K13" s="221"/>
      <c r="L13" s="221"/>
      <c r="M13" s="221"/>
      <c r="N13" s="222"/>
    </row>
    <row r="14" spans="1:15">
      <c r="A14" s="215" t="s">
        <v>148</v>
      </c>
      <c r="B14" s="220">
        <v>0</v>
      </c>
      <c r="C14" s="221">
        <v>0</v>
      </c>
      <c r="D14" s="221">
        <v>0</v>
      </c>
      <c r="E14" s="244">
        <v>0</v>
      </c>
      <c r="F14" s="244">
        <v>0</v>
      </c>
      <c r="G14" s="244">
        <v>0</v>
      </c>
      <c r="H14" s="244">
        <v>0</v>
      </c>
      <c r="I14" s="244">
        <v>0</v>
      </c>
      <c r="J14" s="244">
        <v>0</v>
      </c>
      <c r="K14" s="221"/>
      <c r="L14" s="221"/>
      <c r="M14" s="221"/>
      <c r="N14" s="222"/>
    </row>
    <row r="15" spans="1:15">
      <c r="A15" s="215" t="s">
        <v>149</v>
      </c>
      <c r="B15" s="220">
        <v>0</v>
      </c>
      <c r="C15" s="221">
        <v>0</v>
      </c>
      <c r="D15" s="221">
        <v>0</v>
      </c>
      <c r="E15" s="244">
        <v>0</v>
      </c>
      <c r="F15" s="244">
        <v>0</v>
      </c>
      <c r="G15" s="244">
        <v>0</v>
      </c>
      <c r="H15" s="244">
        <v>0</v>
      </c>
      <c r="I15" s="244">
        <v>0</v>
      </c>
      <c r="J15" s="244">
        <v>0</v>
      </c>
      <c r="K15" s="221"/>
      <c r="L15" s="221"/>
      <c r="M15" s="221"/>
      <c r="N15" s="222"/>
    </row>
    <row r="16" spans="1:15">
      <c r="A16" s="215" t="s">
        <v>150</v>
      </c>
      <c r="B16" s="220">
        <v>0</v>
      </c>
      <c r="C16" s="221">
        <v>0</v>
      </c>
      <c r="D16" s="221">
        <v>0</v>
      </c>
      <c r="E16" s="244">
        <v>0</v>
      </c>
      <c r="F16" s="244">
        <v>0</v>
      </c>
      <c r="G16" s="244">
        <v>0</v>
      </c>
      <c r="H16" s="244">
        <v>0</v>
      </c>
      <c r="I16" s="244">
        <v>0</v>
      </c>
      <c r="J16" s="244">
        <v>0</v>
      </c>
      <c r="K16" s="221"/>
      <c r="L16" s="221"/>
      <c r="M16" s="221"/>
      <c r="N16" s="222"/>
    </row>
    <row r="17" spans="1:14">
      <c r="A17" s="215" t="s">
        <v>151</v>
      </c>
      <c r="B17" s="220">
        <v>0</v>
      </c>
      <c r="C17" s="221">
        <v>0</v>
      </c>
      <c r="D17" s="221">
        <v>0</v>
      </c>
      <c r="E17" s="244">
        <v>0</v>
      </c>
      <c r="F17" s="244">
        <v>0</v>
      </c>
      <c r="G17" s="244">
        <v>0</v>
      </c>
      <c r="H17" s="244">
        <v>0</v>
      </c>
      <c r="I17" s="244">
        <v>0</v>
      </c>
      <c r="J17" s="244">
        <v>0</v>
      </c>
      <c r="K17" s="221"/>
      <c r="L17" s="221"/>
      <c r="M17" s="221"/>
      <c r="N17" s="222"/>
    </row>
    <row r="18" spans="1:14">
      <c r="B18" s="220">
        <v>0</v>
      </c>
      <c r="C18" s="221">
        <v>0</v>
      </c>
      <c r="D18" s="221">
        <v>0</v>
      </c>
      <c r="E18" s="244">
        <v>0</v>
      </c>
      <c r="F18" s="244">
        <v>0</v>
      </c>
      <c r="G18" s="244">
        <v>0</v>
      </c>
      <c r="H18" s="244">
        <v>0</v>
      </c>
      <c r="I18" s="244">
        <v>0</v>
      </c>
      <c r="J18" s="244">
        <v>0</v>
      </c>
      <c r="K18" s="221"/>
      <c r="L18" s="221"/>
      <c r="M18" s="221"/>
      <c r="N18" s="222"/>
    </row>
    <row r="19" spans="1:14">
      <c r="B19" s="220">
        <v>0</v>
      </c>
      <c r="C19" s="221">
        <v>0</v>
      </c>
      <c r="D19" s="221">
        <v>0</v>
      </c>
      <c r="E19" s="244">
        <v>0</v>
      </c>
      <c r="F19" s="244">
        <v>0</v>
      </c>
      <c r="G19" s="244">
        <v>0</v>
      </c>
      <c r="H19" s="244">
        <v>0</v>
      </c>
      <c r="I19" s="244">
        <v>0</v>
      </c>
      <c r="J19" s="244">
        <v>0</v>
      </c>
      <c r="K19" s="221"/>
      <c r="L19" s="221"/>
      <c r="M19" s="221"/>
      <c r="N19" s="222"/>
    </row>
    <row r="20" spans="1:14">
      <c r="B20" s="220">
        <v>0</v>
      </c>
      <c r="C20" s="221">
        <v>0</v>
      </c>
      <c r="D20" s="221">
        <v>0</v>
      </c>
      <c r="E20" s="244">
        <v>0</v>
      </c>
      <c r="F20" s="244">
        <v>0</v>
      </c>
      <c r="G20" s="244">
        <v>0</v>
      </c>
      <c r="H20" s="244">
        <v>0</v>
      </c>
      <c r="I20" s="244">
        <v>0</v>
      </c>
      <c r="J20" s="244">
        <v>0</v>
      </c>
      <c r="K20" s="221"/>
      <c r="L20" s="221"/>
      <c r="M20" s="221"/>
      <c r="N20" s="222"/>
    </row>
    <row r="21" spans="1:14" ht="13.5" thickBot="1">
      <c r="B21" s="223">
        <v>0</v>
      </c>
      <c r="C21" s="224">
        <v>0</v>
      </c>
      <c r="D21" s="224">
        <v>0</v>
      </c>
      <c r="E21" s="246">
        <v>0</v>
      </c>
      <c r="F21" s="246">
        <v>0</v>
      </c>
      <c r="G21" s="246">
        <v>0</v>
      </c>
      <c r="H21" s="246">
        <v>0</v>
      </c>
      <c r="I21" s="246">
        <v>0</v>
      </c>
      <c r="J21" s="246">
        <v>0</v>
      </c>
      <c r="K21" s="224"/>
      <c r="L21" s="224"/>
      <c r="M21" s="224"/>
      <c r="N21" s="225"/>
    </row>
    <row r="22" spans="1:14" ht="13.5" thickTop="1">
      <c r="A22" s="213"/>
      <c r="B22" s="226">
        <f t="shared" ref="B22:F22" si="0">SUM(B9:B21)</f>
        <v>0</v>
      </c>
      <c r="C22" s="227">
        <f t="shared" si="0"/>
        <v>0</v>
      </c>
      <c r="D22" s="227">
        <f t="shared" si="0"/>
        <v>0</v>
      </c>
      <c r="E22" s="227">
        <f t="shared" si="0"/>
        <v>0</v>
      </c>
      <c r="F22" s="227">
        <f t="shared" si="0"/>
        <v>0</v>
      </c>
      <c r="G22" s="227">
        <f t="shared" ref="G22:I22" si="1">SUM(G9:G21)</f>
        <v>0</v>
      </c>
      <c r="H22" s="227">
        <f t="shared" si="1"/>
        <v>0</v>
      </c>
      <c r="I22" s="227">
        <f t="shared" si="1"/>
        <v>0</v>
      </c>
      <c r="J22" s="227">
        <f t="shared" ref="J22" si="2">SUM(J9:J21)</f>
        <v>0</v>
      </c>
      <c r="K22" s="227"/>
      <c r="L22" s="227"/>
      <c r="M22" s="227"/>
      <c r="N22" s="228"/>
    </row>
    <row r="23" spans="1:14">
      <c r="A23" s="213"/>
      <c r="B23" s="229"/>
      <c r="C23" s="229"/>
      <c r="D23" s="229"/>
      <c r="E23" s="229"/>
      <c r="F23" s="229"/>
      <c r="G23" s="229"/>
      <c r="H23" s="229"/>
      <c r="I23" s="229"/>
      <c r="J23" s="229"/>
      <c r="K23" s="229"/>
      <c r="L23" s="229"/>
      <c r="M23" s="229"/>
      <c r="N23" s="229"/>
    </row>
    <row r="24" spans="1:14">
      <c r="A24" s="213" t="s">
        <v>132</v>
      </c>
      <c r="B24" s="214"/>
      <c r="C24" s="214"/>
      <c r="E24" s="214"/>
      <c r="F24" s="214"/>
      <c r="G24" s="214"/>
      <c r="H24" s="214"/>
      <c r="I24" s="214"/>
      <c r="J24" s="214"/>
      <c r="K24" s="214"/>
      <c r="L24" s="214"/>
      <c r="M24" s="214"/>
      <c r="N24" s="214"/>
    </row>
    <row r="25" spans="1:14">
      <c r="A25" s="215" t="s">
        <v>133</v>
      </c>
      <c r="B25" s="230">
        <v>0</v>
      </c>
      <c r="C25" s="231">
        <v>0</v>
      </c>
      <c r="D25" s="231">
        <v>0</v>
      </c>
      <c r="E25" s="231">
        <v>0</v>
      </c>
      <c r="F25" s="231">
        <v>0</v>
      </c>
      <c r="G25" s="231">
        <v>0</v>
      </c>
      <c r="H25" s="231">
        <v>0</v>
      </c>
      <c r="I25" s="231">
        <v>0</v>
      </c>
      <c r="J25" s="231">
        <v>0</v>
      </c>
      <c r="K25" s="231"/>
      <c r="L25" s="231"/>
      <c r="M25" s="231"/>
      <c r="N25" s="232"/>
    </row>
    <row r="26" spans="1:14" ht="13.5" thickBot="1">
      <c r="A26" s="213" t="s">
        <v>134</v>
      </c>
      <c r="B26" s="233">
        <f t="shared" ref="B26:E26" si="3">SUM(B25)</f>
        <v>0</v>
      </c>
      <c r="C26" s="234">
        <f t="shared" si="3"/>
        <v>0</v>
      </c>
      <c r="D26" s="234">
        <f t="shared" si="3"/>
        <v>0</v>
      </c>
      <c r="E26" s="234">
        <f t="shared" si="3"/>
        <v>0</v>
      </c>
      <c r="F26" s="234">
        <v>0</v>
      </c>
      <c r="G26" s="234">
        <f t="shared" ref="G26" si="4">SUM(G25)</f>
        <v>0</v>
      </c>
      <c r="H26" s="234">
        <v>0</v>
      </c>
      <c r="I26" s="234">
        <v>0</v>
      </c>
      <c r="J26" s="234">
        <f t="shared" ref="J26" si="5">SUM(J25)</f>
        <v>0</v>
      </c>
      <c r="K26" s="234"/>
      <c r="L26" s="234"/>
      <c r="M26" s="234"/>
      <c r="N26" s="235"/>
    </row>
    <row r="27" spans="1:14" ht="13.5" thickTop="1">
      <c r="A27" s="213" t="s">
        <v>135</v>
      </c>
      <c r="B27" s="226">
        <f t="shared" ref="B27:F27" si="6">B22-B26</f>
        <v>0</v>
      </c>
      <c r="C27" s="227">
        <f t="shared" si="6"/>
        <v>0</v>
      </c>
      <c r="D27" s="227">
        <f t="shared" si="6"/>
        <v>0</v>
      </c>
      <c r="E27" s="227">
        <f t="shared" si="6"/>
        <v>0</v>
      </c>
      <c r="F27" s="227">
        <f t="shared" si="6"/>
        <v>0</v>
      </c>
      <c r="G27" s="227">
        <f t="shared" ref="G27:I27" si="7">G22-G26</f>
        <v>0</v>
      </c>
      <c r="H27" s="227">
        <f t="shared" si="7"/>
        <v>0</v>
      </c>
      <c r="I27" s="227">
        <f t="shared" si="7"/>
        <v>0</v>
      </c>
      <c r="J27" s="227">
        <f t="shared" ref="J27" si="8">J22-J26</f>
        <v>0</v>
      </c>
      <c r="K27" s="227"/>
      <c r="L27" s="227"/>
      <c r="M27" s="227"/>
      <c r="N27" s="228"/>
    </row>
    <row r="28" spans="1:14">
      <c r="B28" s="214"/>
      <c r="C28" s="214"/>
      <c r="E28" s="214"/>
      <c r="F28" s="214"/>
      <c r="G28" s="214"/>
      <c r="H28" s="214"/>
      <c r="I28" s="214"/>
      <c r="J28" s="214"/>
      <c r="K28" s="214"/>
      <c r="L28" s="214"/>
      <c r="M28" s="214"/>
      <c r="N28" s="214"/>
    </row>
    <row r="29" spans="1:14">
      <c r="A29" s="213" t="s">
        <v>136</v>
      </c>
      <c r="B29" s="229"/>
      <c r="C29" s="229"/>
      <c r="D29" s="229"/>
      <c r="E29" s="229"/>
      <c r="F29" s="229"/>
      <c r="G29" s="229"/>
      <c r="H29" s="229"/>
      <c r="I29" s="229"/>
      <c r="J29" s="229"/>
      <c r="K29" s="236"/>
      <c r="L29" s="229"/>
      <c r="M29" s="229"/>
      <c r="N29" s="229"/>
    </row>
    <row r="30" spans="1:14">
      <c r="A30" s="215" t="s">
        <v>1</v>
      </c>
      <c r="B30" s="217">
        <v>0</v>
      </c>
      <c r="C30" s="218">
        <v>0</v>
      </c>
      <c r="D30" s="218">
        <v>0</v>
      </c>
      <c r="E30" s="218">
        <v>0</v>
      </c>
      <c r="F30" s="218">
        <v>0</v>
      </c>
      <c r="G30" s="218">
        <v>0</v>
      </c>
      <c r="H30" s="218">
        <v>0</v>
      </c>
      <c r="I30" s="218">
        <v>0</v>
      </c>
      <c r="J30" s="218">
        <v>0</v>
      </c>
      <c r="K30" s="221"/>
      <c r="L30" s="218"/>
      <c r="M30" s="218"/>
      <c r="N30" s="219"/>
    </row>
    <row r="31" spans="1:14">
      <c r="A31" s="215" t="s">
        <v>137</v>
      </c>
      <c r="B31" s="220">
        <v>0</v>
      </c>
      <c r="C31" s="221">
        <v>0</v>
      </c>
      <c r="D31" s="221">
        <v>0</v>
      </c>
      <c r="E31" s="221">
        <v>0</v>
      </c>
      <c r="F31" s="221">
        <v>0</v>
      </c>
      <c r="G31" s="221">
        <v>0</v>
      </c>
      <c r="H31" s="221">
        <v>0</v>
      </c>
      <c r="I31" s="221">
        <v>0</v>
      </c>
      <c r="J31" s="221">
        <v>0</v>
      </c>
      <c r="K31" s="237"/>
      <c r="L31" s="221"/>
      <c r="M31" s="221"/>
      <c r="N31" s="222"/>
    </row>
    <row r="32" spans="1:14" ht="13.5" thickBot="1">
      <c r="A32" s="215" t="s">
        <v>152</v>
      </c>
      <c r="B32" s="223">
        <v>0</v>
      </c>
      <c r="C32" s="224">
        <v>0</v>
      </c>
      <c r="D32" s="224">
        <v>0</v>
      </c>
      <c r="E32" s="224">
        <v>0</v>
      </c>
      <c r="F32" s="224">
        <v>0</v>
      </c>
      <c r="G32" s="224">
        <v>0</v>
      </c>
      <c r="H32" s="224">
        <v>0</v>
      </c>
      <c r="I32" s="224">
        <v>0</v>
      </c>
      <c r="J32" s="224">
        <v>0</v>
      </c>
      <c r="K32" s="238"/>
      <c r="L32" s="224"/>
      <c r="M32" s="224"/>
      <c r="N32" s="225"/>
    </row>
    <row r="33" spans="1:14" ht="13.5" thickTop="1">
      <c r="A33" s="215" t="s">
        <v>139</v>
      </c>
      <c r="B33" s="226">
        <f t="shared" ref="B33:F33" si="9">SUM(B30:B32)</f>
        <v>0</v>
      </c>
      <c r="C33" s="227">
        <f t="shared" si="9"/>
        <v>0</v>
      </c>
      <c r="D33" s="227">
        <f t="shared" si="9"/>
        <v>0</v>
      </c>
      <c r="E33" s="227">
        <f t="shared" si="9"/>
        <v>0</v>
      </c>
      <c r="F33" s="227">
        <f t="shared" si="9"/>
        <v>0</v>
      </c>
      <c r="G33" s="227">
        <f t="shared" ref="G33:I33" si="10">SUM(G30:G32)</f>
        <v>0</v>
      </c>
      <c r="H33" s="227">
        <f t="shared" si="10"/>
        <v>0</v>
      </c>
      <c r="I33" s="227">
        <f t="shared" si="10"/>
        <v>0</v>
      </c>
      <c r="J33" s="227">
        <f t="shared" ref="J33" si="11">SUM(J30:J32)</f>
        <v>0</v>
      </c>
      <c r="K33" s="227"/>
      <c r="L33" s="227"/>
      <c r="M33" s="227"/>
      <c r="N33" s="227"/>
    </row>
    <row r="34" spans="1:14">
      <c r="B34" s="214"/>
      <c r="C34" s="214"/>
      <c r="E34" s="214"/>
      <c r="F34" s="214"/>
      <c r="G34" s="214"/>
      <c r="H34" s="214"/>
      <c r="I34" s="214"/>
      <c r="J34" s="214"/>
      <c r="K34" s="214"/>
      <c r="L34" s="214"/>
      <c r="M34" s="214"/>
      <c r="N34" s="214"/>
    </row>
    <row r="35" spans="1:14" ht="13.5" thickBot="1">
      <c r="A35" s="213" t="s">
        <v>140</v>
      </c>
      <c r="B35" s="239" t="e">
        <f t="shared" ref="B35:F35" si="12">ROUND(+B27/B33,4)</f>
        <v>#DIV/0!</v>
      </c>
      <c r="C35" s="239" t="e">
        <f t="shared" si="12"/>
        <v>#DIV/0!</v>
      </c>
      <c r="D35" s="239" t="e">
        <f t="shared" si="12"/>
        <v>#DIV/0!</v>
      </c>
      <c r="E35" s="239" t="e">
        <f t="shared" si="12"/>
        <v>#DIV/0!</v>
      </c>
      <c r="F35" s="239" t="e">
        <f t="shared" si="12"/>
        <v>#DIV/0!</v>
      </c>
      <c r="G35" s="239" t="e">
        <f t="shared" ref="G35:I35" si="13">ROUND(+G27/G33,4)</f>
        <v>#DIV/0!</v>
      </c>
      <c r="H35" s="239" t="e">
        <f t="shared" si="13"/>
        <v>#DIV/0!</v>
      </c>
      <c r="I35" s="239" t="e">
        <f t="shared" si="13"/>
        <v>#DIV/0!</v>
      </c>
      <c r="J35" s="239" t="e">
        <f t="shared" ref="J35" si="14">ROUND(+J27/J33,4)</f>
        <v>#DIV/0!</v>
      </c>
      <c r="K35" s="239"/>
      <c r="L35" s="239"/>
      <c r="M35" s="239"/>
      <c r="N35" s="239"/>
    </row>
    <row r="36" spans="1:14" ht="13.5" thickTop="1">
      <c r="B36" s="214"/>
      <c r="C36" s="214"/>
    </row>
    <row r="37" spans="1:14">
      <c r="B37" s="214"/>
      <c r="C37" s="214"/>
    </row>
  </sheetData>
  <mergeCells count="1">
    <mergeCell ref="K8:N8"/>
  </mergeCells>
  <printOptions gridLines="1"/>
  <pageMargins left="0.45" right="0.45" top="0.75" bottom="0.75" header="0.3" footer="0.3"/>
  <pageSetup scale="78"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1C9DA-81DD-4C9C-9A98-60379D05CC48}">
  <sheetPr>
    <tabColor theme="6" tint="0.39997558519241921"/>
    <pageSetUpPr fitToPage="1"/>
  </sheetPr>
  <dimension ref="A1:O43"/>
  <sheetViews>
    <sheetView workbookViewId="0"/>
  </sheetViews>
  <sheetFormatPr defaultColWidth="9.140625" defaultRowHeight="12.75"/>
  <cols>
    <col min="1" max="1" width="42.7109375" style="249" customWidth="1"/>
    <col min="2" max="3" width="14.7109375" style="249" customWidth="1"/>
    <col min="4" max="4" width="14.7109375" style="214" customWidth="1"/>
    <col min="5" max="5" width="14.7109375" style="215" customWidth="1"/>
    <col min="6" max="6" width="22.85546875" style="215" customWidth="1"/>
    <col min="7" max="7" width="14.7109375" style="215" customWidth="1"/>
    <col min="8" max="8" width="22.85546875" style="215" customWidth="1"/>
    <col min="9" max="9" width="14.7109375" style="215" customWidth="1"/>
    <col min="10" max="10" width="22.85546875" style="215" customWidth="1"/>
    <col min="11" max="13" width="14.7109375" style="215" customWidth="1"/>
    <col min="14" max="14" width="20.140625" style="215" customWidth="1"/>
    <col min="15" max="15" width="9.85546875" style="215" customWidth="1"/>
    <col min="16" max="16384" width="9.140625" style="215"/>
  </cols>
  <sheetData>
    <row r="1" spans="1:15">
      <c r="A1" s="213" t="s">
        <v>153</v>
      </c>
      <c r="B1" s="213"/>
      <c r="C1" s="213"/>
      <c r="E1" s="247"/>
      <c r="F1" s="247"/>
      <c r="G1" s="247"/>
      <c r="H1" s="247"/>
      <c r="I1" s="247"/>
      <c r="J1" s="247"/>
      <c r="K1" s="248"/>
      <c r="L1" s="214"/>
    </row>
    <row r="2" spans="1:15">
      <c r="A2" s="46" t="str">
        <f>"Solicitation Number: "&amp;Instructions!H9&amp;""</f>
        <v>Solicitation Number: W91CRB-25-R-0002</v>
      </c>
      <c r="B2" s="213"/>
      <c r="C2" s="213"/>
      <c r="E2" s="247"/>
      <c r="F2" s="247"/>
      <c r="G2" s="247"/>
      <c r="H2" s="247"/>
      <c r="I2" s="247"/>
      <c r="J2" s="247"/>
      <c r="K2" s="248"/>
      <c r="L2" s="214"/>
    </row>
    <row r="3" spans="1:15">
      <c r="A3" s="46" t="str">
        <f>"Name of Action: "&amp;Instructions!H10</f>
        <v>Name of Action: Force Development</v>
      </c>
      <c r="B3" s="213"/>
      <c r="C3" s="213"/>
      <c r="E3" s="247"/>
      <c r="F3" s="247"/>
      <c r="G3" s="247"/>
      <c r="H3" s="247"/>
      <c r="I3" s="247"/>
      <c r="J3" s="247"/>
      <c r="K3" s="248"/>
      <c r="L3" s="214"/>
    </row>
    <row r="4" spans="1:15">
      <c r="A4" s="94" t="str">
        <f>"Prime Contractor/Subcontractor Name/Division: "&amp;Instructions!H15</f>
        <v xml:space="preserve">Prime Contractor/Subcontractor Name/Division: </v>
      </c>
      <c r="B4" s="213"/>
      <c r="C4" s="213"/>
      <c r="E4" s="247"/>
      <c r="F4" s="247"/>
      <c r="G4" s="247"/>
      <c r="H4" s="247"/>
      <c r="I4" s="247"/>
      <c r="J4" s="247"/>
      <c r="K4" s="248"/>
      <c r="L4" s="214"/>
    </row>
    <row r="5" spans="1:15">
      <c r="A5" s="94" t="str">
        <f>"Period of Performance: "&amp;Instructions!H11</f>
        <v xml:space="preserve">Period of Performance: </v>
      </c>
      <c r="B5" s="213"/>
      <c r="C5" s="213"/>
      <c r="E5" s="247"/>
      <c r="F5" s="247"/>
      <c r="G5" s="247"/>
      <c r="H5" s="247"/>
      <c r="I5" s="247"/>
      <c r="J5" s="247"/>
      <c r="K5" s="248"/>
      <c r="L5" s="214"/>
    </row>
    <row r="6" spans="1:15">
      <c r="A6" s="94" t="str">
        <f>"Date of Proposal:"&amp;IF(ISBLANK(Instructions!H18)," TBD",(TEXT(Instructions!H18," mm/dd/yyyy")))</f>
        <v>Date of Proposal: TBD</v>
      </c>
      <c r="B6" s="213"/>
      <c r="C6" s="213"/>
      <c r="E6" s="247"/>
      <c r="F6" s="247"/>
      <c r="G6" s="247"/>
      <c r="H6" s="247"/>
      <c r="I6" s="247"/>
      <c r="J6" s="247"/>
      <c r="K6" s="248"/>
      <c r="L6" s="214"/>
    </row>
    <row r="7" spans="1:15">
      <c r="E7" s="247"/>
      <c r="F7" s="247"/>
      <c r="G7" s="247"/>
      <c r="H7" s="247"/>
      <c r="I7" s="247"/>
      <c r="J7" s="247"/>
      <c r="K7" s="248"/>
      <c r="L7" s="214"/>
    </row>
    <row r="8" spans="1:15">
      <c r="A8" s="213" t="s">
        <v>154</v>
      </c>
      <c r="B8" s="298" t="s">
        <v>115</v>
      </c>
      <c r="C8" s="298" t="s">
        <v>116</v>
      </c>
      <c r="D8" s="298" t="s">
        <v>243</v>
      </c>
      <c r="E8" s="216" t="s">
        <v>117</v>
      </c>
      <c r="F8" s="216" t="s">
        <v>190</v>
      </c>
      <c r="G8" s="216" t="s">
        <v>188</v>
      </c>
      <c r="H8" s="216" t="s">
        <v>191</v>
      </c>
      <c r="I8" s="216" t="s">
        <v>192</v>
      </c>
      <c r="J8" s="216" t="s">
        <v>193</v>
      </c>
      <c r="K8" s="374" t="s">
        <v>118</v>
      </c>
      <c r="L8" s="374"/>
      <c r="M8" s="374"/>
      <c r="N8" s="375"/>
    </row>
    <row r="9" spans="1:15">
      <c r="A9" s="250" t="s">
        <v>155</v>
      </c>
      <c r="B9" s="251">
        <v>0</v>
      </c>
      <c r="C9" s="252">
        <v>0</v>
      </c>
      <c r="D9" s="252">
        <v>0</v>
      </c>
      <c r="E9" s="252">
        <v>0</v>
      </c>
      <c r="F9" s="252">
        <v>0</v>
      </c>
      <c r="G9" s="252">
        <v>0</v>
      </c>
      <c r="H9" s="252">
        <v>0</v>
      </c>
      <c r="I9" s="252">
        <v>0</v>
      </c>
      <c r="J9" s="252">
        <v>0</v>
      </c>
      <c r="K9" s="253"/>
      <c r="L9" s="253"/>
      <c r="M9" s="253"/>
      <c r="N9" s="254"/>
    </row>
    <row r="10" spans="1:15">
      <c r="A10" s="250" t="s">
        <v>156</v>
      </c>
      <c r="B10" s="255">
        <v>0</v>
      </c>
      <c r="C10" s="253">
        <v>0</v>
      </c>
      <c r="D10" s="253">
        <v>0</v>
      </c>
      <c r="E10" s="253">
        <v>0</v>
      </c>
      <c r="F10" s="253">
        <v>0</v>
      </c>
      <c r="G10" s="253">
        <v>0</v>
      </c>
      <c r="H10" s="253">
        <v>0</v>
      </c>
      <c r="I10" s="253">
        <v>0</v>
      </c>
      <c r="J10" s="253">
        <v>0</v>
      </c>
      <c r="K10" s="253"/>
      <c r="L10" s="253"/>
      <c r="M10" s="253"/>
      <c r="N10" s="254"/>
    </row>
    <row r="11" spans="1:15">
      <c r="A11" s="250" t="s">
        <v>157</v>
      </c>
      <c r="B11" s="255">
        <v>0</v>
      </c>
      <c r="C11" s="253">
        <v>0</v>
      </c>
      <c r="D11" s="253">
        <v>0</v>
      </c>
      <c r="E11" s="244">
        <v>0</v>
      </c>
      <c r="F11" s="244">
        <v>0</v>
      </c>
      <c r="G11" s="244">
        <v>0</v>
      </c>
      <c r="H11" s="244">
        <v>0</v>
      </c>
      <c r="I11" s="244">
        <v>0</v>
      </c>
      <c r="J11" s="244">
        <v>0</v>
      </c>
      <c r="K11" s="221"/>
      <c r="L11" s="221"/>
      <c r="M11" s="253"/>
      <c r="N11" s="254"/>
      <c r="O11" s="245"/>
    </row>
    <row r="12" spans="1:15">
      <c r="A12" s="250" t="s">
        <v>158</v>
      </c>
      <c r="B12" s="255">
        <v>0</v>
      </c>
      <c r="C12" s="253">
        <v>0</v>
      </c>
      <c r="D12" s="253">
        <v>0</v>
      </c>
      <c r="E12" s="244">
        <v>0</v>
      </c>
      <c r="F12" s="244">
        <v>0</v>
      </c>
      <c r="G12" s="244">
        <v>0</v>
      </c>
      <c r="H12" s="244">
        <v>0</v>
      </c>
      <c r="I12" s="244">
        <v>0</v>
      </c>
      <c r="J12" s="244">
        <v>0</v>
      </c>
      <c r="K12" s="221"/>
      <c r="L12" s="221"/>
      <c r="M12" s="253"/>
      <c r="N12" s="254"/>
      <c r="O12" s="245"/>
    </row>
    <row r="13" spans="1:15">
      <c r="A13" s="250" t="s">
        <v>159</v>
      </c>
      <c r="B13" s="255">
        <v>0</v>
      </c>
      <c r="C13" s="253">
        <v>0</v>
      </c>
      <c r="D13" s="253">
        <v>0</v>
      </c>
      <c r="E13" s="244">
        <v>0</v>
      </c>
      <c r="F13" s="244">
        <v>0</v>
      </c>
      <c r="G13" s="244">
        <v>0</v>
      </c>
      <c r="H13" s="244">
        <v>0</v>
      </c>
      <c r="I13" s="244">
        <v>0</v>
      </c>
      <c r="J13" s="244">
        <v>0</v>
      </c>
      <c r="K13" s="221"/>
      <c r="L13" s="221"/>
      <c r="M13" s="253"/>
      <c r="N13" s="254"/>
      <c r="O13" s="245"/>
    </row>
    <row r="14" spans="1:15">
      <c r="A14" s="250" t="s">
        <v>160</v>
      </c>
      <c r="B14" s="255">
        <v>0</v>
      </c>
      <c r="C14" s="253">
        <v>0</v>
      </c>
      <c r="D14" s="253">
        <v>0</v>
      </c>
      <c r="E14" s="244">
        <v>0</v>
      </c>
      <c r="F14" s="244">
        <v>0</v>
      </c>
      <c r="G14" s="244">
        <v>0</v>
      </c>
      <c r="H14" s="244">
        <v>0</v>
      </c>
      <c r="I14" s="244">
        <v>0</v>
      </c>
      <c r="J14" s="244">
        <v>0</v>
      </c>
      <c r="K14" s="221"/>
      <c r="L14" s="221"/>
      <c r="M14" s="253"/>
      <c r="N14" s="254"/>
      <c r="O14" s="245"/>
    </row>
    <row r="15" spans="1:15">
      <c r="A15" s="250" t="s">
        <v>161</v>
      </c>
      <c r="B15" s="255">
        <v>0</v>
      </c>
      <c r="C15" s="253">
        <v>0</v>
      </c>
      <c r="D15" s="253">
        <v>0</v>
      </c>
      <c r="E15" s="244">
        <v>0</v>
      </c>
      <c r="F15" s="244">
        <v>0</v>
      </c>
      <c r="G15" s="244">
        <v>0</v>
      </c>
      <c r="H15" s="244">
        <v>0</v>
      </c>
      <c r="I15" s="244">
        <v>0</v>
      </c>
      <c r="J15" s="244">
        <v>0</v>
      </c>
      <c r="K15" s="221"/>
      <c r="L15" s="221"/>
      <c r="M15" s="253"/>
      <c r="N15" s="254"/>
      <c r="O15" s="245"/>
    </row>
    <row r="16" spans="1:15">
      <c r="A16" s="250" t="s">
        <v>162</v>
      </c>
      <c r="B16" s="255">
        <v>0</v>
      </c>
      <c r="C16" s="253">
        <v>0</v>
      </c>
      <c r="D16" s="253">
        <v>0</v>
      </c>
      <c r="E16" s="244">
        <v>0</v>
      </c>
      <c r="F16" s="244">
        <v>0</v>
      </c>
      <c r="G16" s="244">
        <v>0</v>
      </c>
      <c r="H16" s="244">
        <v>0</v>
      </c>
      <c r="I16" s="244">
        <v>0</v>
      </c>
      <c r="J16" s="244">
        <v>0</v>
      </c>
      <c r="K16" s="221"/>
      <c r="L16" s="221"/>
      <c r="M16" s="253"/>
      <c r="N16" s="254"/>
      <c r="O16" s="245"/>
    </row>
    <row r="17" spans="1:15">
      <c r="A17" s="250" t="s">
        <v>163</v>
      </c>
      <c r="B17" s="255">
        <v>0</v>
      </c>
      <c r="C17" s="253">
        <v>0</v>
      </c>
      <c r="D17" s="253">
        <v>0</v>
      </c>
      <c r="E17" s="244">
        <v>0</v>
      </c>
      <c r="F17" s="244">
        <v>0</v>
      </c>
      <c r="G17" s="244">
        <v>0</v>
      </c>
      <c r="H17" s="244">
        <v>0</v>
      </c>
      <c r="I17" s="244">
        <v>0</v>
      </c>
      <c r="J17" s="244">
        <v>0</v>
      </c>
      <c r="K17" s="221"/>
      <c r="L17" s="221"/>
      <c r="M17" s="253"/>
      <c r="N17" s="254"/>
      <c r="O17" s="245"/>
    </row>
    <row r="18" spans="1:15">
      <c r="A18" s="250" t="s">
        <v>164</v>
      </c>
      <c r="B18" s="255">
        <v>0</v>
      </c>
      <c r="C18" s="253">
        <v>0</v>
      </c>
      <c r="D18" s="253">
        <v>0</v>
      </c>
      <c r="E18" s="244">
        <v>0</v>
      </c>
      <c r="F18" s="244">
        <v>0</v>
      </c>
      <c r="G18" s="244">
        <v>0</v>
      </c>
      <c r="H18" s="244">
        <v>0</v>
      </c>
      <c r="I18" s="244">
        <v>0</v>
      </c>
      <c r="J18" s="244">
        <v>0</v>
      </c>
      <c r="K18" s="221"/>
      <c r="L18" s="221"/>
      <c r="M18" s="253"/>
      <c r="N18" s="254"/>
      <c r="O18" s="245"/>
    </row>
    <row r="19" spans="1:15">
      <c r="A19" s="250" t="s">
        <v>165</v>
      </c>
      <c r="B19" s="255">
        <v>0</v>
      </c>
      <c r="C19" s="253">
        <v>0</v>
      </c>
      <c r="D19" s="253">
        <v>0</v>
      </c>
      <c r="E19" s="244">
        <v>0</v>
      </c>
      <c r="F19" s="244">
        <v>0</v>
      </c>
      <c r="G19" s="244">
        <v>0</v>
      </c>
      <c r="H19" s="244">
        <v>0</v>
      </c>
      <c r="I19" s="244">
        <v>0</v>
      </c>
      <c r="J19" s="244">
        <v>0</v>
      </c>
      <c r="K19" s="221"/>
      <c r="L19" s="221"/>
      <c r="M19" s="253"/>
      <c r="N19" s="254"/>
      <c r="O19" s="245"/>
    </row>
    <row r="20" spans="1:15">
      <c r="A20" s="250" t="s">
        <v>166</v>
      </c>
      <c r="B20" s="255">
        <v>0</v>
      </c>
      <c r="C20" s="253">
        <v>0</v>
      </c>
      <c r="D20" s="253">
        <v>0</v>
      </c>
      <c r="E20" s="244">
        <v>0</v>
      </c>
      <c r="F20" s="244">
        <v>0</v>
      </c>
      <c r="G20" s="244">
        <v>0</v>
      </c>
      <c r="H20" s="244">
        <v>0</v>
      </c>
      <c r="I20" s="244">
        <v>0</v>
      </c>
      <c r="J20" s="244">
        <v>0</v>
      </c>
      <c r="K20" s="221"/>
      <c r="L20" s="221"/>
      <c r="M20" s="253"/>
      <c r="N20" s="254"/>
      <c r="O20" s="245"/>
    </row>
    <row r="21" spans="1:15">
      <c r="A21" s="250" t="s">
        <v>167</v>
      </c>
      <c r="B21" s="255">
        <v>0</v>
      </c>
      <c r="C21" s="253">
        <v>0</v>
      </c>
      <c r="D21" s="253">
        <v>0</v>
      </c>
      <c r="E21" s="244">
        <v>0</v>
      </c>
      <c r="F21" s="244">
        <v>0</v>
      </c>
      <c r="G21" s="244">
        <v>0</v>
      </c>
      <c r="H21" s="244">
        <v>0</v>
      </c>
      <c r="I21" s="244">
        <v>0</v>
      </c>
      <c r="J21" s="244">
        <v>0</v>
      </c>
      <c r="K21" s="221"/>
      <c r="L21" s="221"/>
      <c r="M21" s="253"/>
      <c r="N21" s="254"/>
      <c r="O21" s="245"/>
    </row>
    <row r="22" spans="1:15">
      <c r="A22" s="250" t="s">
        <v>168</v>
      </c>
      <c r="B22" s="255">
        <v>0</v>
      </c>
      <c r="C22" s="253">
        <v>0</v>
      </c>
      <c r="D22" s="253">
        <v>0</v>
      </c>
      <c r="E22" s="244">
        <v>0</v>
      </c>
      <c r="F22" s="244">
        <v>0</v>
      </c>
      <c r="G22" s="244">
        <v>0</v>
      </c>
      <c r="H22" s="244">
        <v>0</v>
      </c>
      <c r="I22" s="244">
        <v>0</v>
      </c>
      <c r="J22" s="244">
        <v>0</v>
      </c>
      <c r="K22" s="221"/>
      <c r="L22" s="221"/>
      <c r="M22" s="253"/>
      <c r="N22" s="254"/>
      <c r="O22" s="245"/>
    </row>
    <row r="23" spans="1:15">
      <c r="A23" s="250" t="s">
        <v>169</v>
      </c>
      <c r="B23" s="255">
        <v>0</v>
      </c>
      <c r="C23" s="253">
        <v>0</v>
      </c>
      <c r="D23" s="253">
        <v>0</v>
      </c>
      <c r="E23" s="244">
        <v>0</v>
      </c>
      <c r="F23" s="244">
        <v>0</v>
      </c>
      <c r="G23" s="244">
        <v>0</v>
      </c>
      <c r="H23" s="244">
        <v>0</v>
      </c>
      <c r="I23" s="244">
        <v>0</v>
      </c>
      <c r="J23" s="244">
        <v>0</v>
      </c>
      <c r="K23" s="221"/>
      <c r="L23" s="221"/>
      <c r="M23" s="253"/>
      <c r="N23" s="254"/>
      <c r="O23" s="245"/>
    </row>
    <row r="24" spans="1:15">
      <c r="A24" s="250" t="s">
        <v>170</v>
      </c>
      <c r="B24" s="255">
        <v>0</v>
      </c>
      <c r="C24" s="253">
        <v>0</v>
      </c>
      <c r="D24" s="253">
        <v>0</v>
      </c>
      <c r="E24" s="244">
        <v>0</v>
      </c>
      <c r="F24" s="244">
        <v>0</v>
      </c>
      <c r="G24" s="244">
        <v>0</v>
      </c>
      <c r="H24" s="244">
        <v>0</v>
      </c>
      <c r="I24" s="244">
        <v>0</v>
      </c>
      <c r="J24" s="244">
        <v>0</v>
      </c>
      <c r="K24" s="221"/>
      <c r="L24" s="221"/>
      <c r="M24" s="253"/>
      <c r="N24" s="254"/>
      <c r="O24" s="245"/>
    </row>
    <row r="25" spans="1:15" ht="13.5" thickBot="1">
      <c r="A25" s="250" t="s">
        <v>171</v>
      </c>
      <c r="B25" s="256">
        <v>0</v>
      </c>
      <c r="C25" s="257">
        <v>0</v>
      </c>
      <c r="D25" s="257">
        <v>0</v>
      </c>
      <c r="E25" s="246">
        <v>0</v>
      </c>
      <c r="F25" s="246">
        <v>0</v>
      </c>
      <c r="G25" s="246">
        <v>0</v>
      </c>
      <c r="H25" s="246">
        <v>0</v>
      </c>
      <c r="I25" s="246">
        <v>0</v>
      </c>
      <c r="J25" s="246">
        <v>0</v>
      </c>
      <c r="K25" s="224"/>
      <c r="L25" s="224"/>
      <c r="M25" s="257"/>
      <c r="N25" s="258"/>
      <c r="O25" s="245"/>
    </row>
    <row r="26" spans="1:15" ht="13.5" thickTop="1">
      <c r="A26" s="259" t="s">
        <v>172</v>
      </c>
      <c r="B26" s="260">
        <f t="shared" ref="B26:F26" si="0">SUM(B9:B25)</f>
        <v>0</v>
      </c>
      <c r="C26" s="261">
        <f t="shared" si="0"/>
        <v>0</v>
      </c>
      <c r="D26" s="261">
        <f t="shared" si="0"/>
        <v>0</v>
      </c>
      <c r="E26" s="261">
        <f t="shared" si="0"/>
        <v>0</v>
      </c>
      <c r="F26" s="261">
        <f t="shared" si="0"/>
        <v>0</v>
      </c>
      <c r="G26" s="261">
        <f t="shared" ref="G26:H26" si="1">SUM(G9:G25)</f>
        <v>0</v>
      </c>
      <c r="H26" s="261">
        <f t="shared" si="1"/>
        <v>0</v>
      </c>
      <c r="I26" s="261">
        <f t="shared" ref="I26:J26" si="2">SUM(I9:I25)</f>
        <v>0</v>
      </c>
      <c r="J26" s="261">
        <f t="shared" si="2"/>
        <v>0</v>
      </c>
      <c r="K26" s="261"/>
      <c r="L26" s="261"/>
      <c r="M26" s="261"/>
      <c r="N26" s="262"/>
    </row>
    <row r="27" spans="1:15">
      <c r="A27" s="259"/>
      <c r="B27" s="263"/>
      <c r="C27" s="263"/>
      <c r="D27" s="263"/>
      <c r="E27" s="263"/>
      <c r="F27" s="263"/>
      <c r="G27" s="263"/>
      <c r="H27" s="263"/>
      <c r="I27" s="263"/>
      <c r="J27" s="263"/>
      <c r="K27" s="263"/>
      <c r="L27" s="263"/>
      <c r="M27" s="263"/>
      <c r="N27" s="263"/>
    </row>
    <row r="28" spans="1:15">
      <c r="A28" s="259" t="s">
        <v>173</v>
      </c>
      <c r="B28" s="263"/>
      <c r="C28" s="263"/>
      <c r="D28" s="263"/>
      <c r="E28" s="263"/>
      <c r="F28" s="263"/>
      <c r="G28" s="263"/>
      <c r="H28" s="263"/>
      <c r="I28" s="263"/>
      <c r="J28" s="263"/>
      <c r="K28" s="263"/>
      <c r="L28" s="263"/>
      <c r="M28" s="263"/>
      <c r="N28" s="263"/>
    </row>
    <row r="29" spans="1:15">
      <c r="A29" s="249" t="s">
        <v>174</v>
      </c>
      <c r="B29" s="264">
        <v>0</v>
      </c>
      <c r="C29" s="264">
        <v>0</v>
      </c>
      <c r="D29" s="264">
        <v>0</v>
      </c>
      <c r="E29" s="264">
        <v>0</v>
      </c>
      <c r="F29" s="264">
        <v>0</v>
      </c>
      <c r="G29" s="264">
        <v>0</v>
      </c>
      <c r="H29" s="264">
        <v>0</v>
      </c>
      <c r="I29" s="264">
        <v>0</v>
      </c>
      <c r="J29" s="264">
        <v>0</v>
      </c>
      <c r="K29" s="264"/>
      <c r="L29" s="264"/>
      <c r="M29" s="264"/>
      <c r="N29" s="265"/>
    </row>
    <row r="30" spans="1:15">
      <c r="A30" s="249" t="s">
        <v>175</v>
      </c>
      <c r="B30" s="266">
        <v>0</v>
      </c>
      <c r="C30" s="267">
        <v>0</v>
      </c>
      <c r="D30" s="267">
        <v>0</v>
      </c>
      <c r="E30" s="267">
        <v>0</v>
      </c>
      <c r="F30" s="267">
        <v>0</v>
      </c>
      <c r="G30" s="267">
        <v>0</v>
      </c>
      <c r="H30" s="267">
        <v>0</v>
      </c>
      <c r="I30" s="267">
        <v>0</v>
      </c>
      <c r="J30" s="267">
        <v>0</v>
      </c>
      <c r="K30" s="267"/>
      <c r="L30" s="267"/>
      <c r="M30" s="267"/>
      <c r="N30" s="268"/>
    </row>
    <row r="31" spans="1:15" ht="13.5" thickBot="1">
      <c r="A31" s="249" t="s">
        <v>176</v>
      </c>
      <c r="B31" s="269">
        <v>0</v>
      </c>
      <c r="C31" s="270">
        <v>0</v>
      </c>
      <c r="D31" s="270">
        <v>0</v>
      </c>
      <c r="E31" s="270">
        <v>0</v>
      </c>
      <c r="F31" s="270">
        <v>0</v>
      </c>
      <c r="G31" s="270">
        <v>0</v>
      </c>
      <c r="H31" s="270">
        <v>0</v>
      </c>
      <c r="I31" s="270">
        <v>0</v>
      </c>
      <c r="J31" s="270">
        <v>0</v>
      </c>
      <c r="K31" s="270"/>
      <c r="L31" s="270"/>
      <c r="M31" s="270"/>
      <c r="N31" s="271"/>
    </row>
    <row r="32" spans="1:15" ht="13.5" thickTop="1">
      <c r="A32" s="259" t="s">
        <v>134</v>
      </c>
      <c r="B32" s="272">
        <f t="shared" ref="B32:F32" si="3">SUM(B29:B31)</f>
        <v>0</v>
      </c>
      <c r="C32" s="273">
        <f t="shared" si="3"/>
        <v>0</v>
      </c>
      <c r="D32" s="273">
        <f t="shared" si="3"/>
        <v>0</v>
      </c>
      <c r="E32" s="273">
        <f t="shared" si="3"/>
        <v>0</v>
      </c>
      <c r="F32" s="273">
        <f t="shared" si="3"/>
        <v>0</v>
      </c>
      <c r="G32" s="273">
        <f t="shared" ref="G32:H32" si="4">SUM(G29:G31)</f>
        <v>0</v>
      </c>
      <c r="H32" s="273">
        <f t="shared" si="4"/>
        <v>0</v>
      </c>
      <c r="I32" s="273">
        <f t="shared" ref="I32:J32" si="5">SUM(I29:I31)</f>
        <v>0</v>
      </c>
      <c r="J32" s="273">
        <f t="shared" si="5"/>
        <v>0</v>
      </c>
      <c r="K32" s="273"/>
      <c r="L32" s="273"/>
      <c r="M32" s="273"/>
      <c r="N32" s="274"/>
    </row>
    <row r="33" spans="1:14">
      <c r="A33" s="259" t="s">
        <v>177</v>
      </c>
      <c r="B33" s="275">
        <f t="shared" ref="B33:F33" si="6">+B26-B32</f>
        <v>0</v>
      </c>
      <c r="C33" s="276">
        <f t="shared" si="6"/>
        <v>0</v>
      </c>
      <c r="D33" s="276">
        <f t="shared" si="6"/>
        <v>0</v>
      </c>
      <c r="E33" s="276">
        <f t="shared" si="6"/>
        <v>0</v>
      </c>
      <c r="F33" s="276">
        <f t="shared" si="6"/>
        <v>0</v>
      </c>
      <c r="G33" s="276">
        <f t="shared" ref="G33:H33" si="7">+G26-G32</f>
        <v>0</v>
      </c>
      <c r="H33" s="276">
        <f t="shared" si="7"/>
        <v>0</v>
      </c>
      <c r="I33" s="276">
        <f t="shared" ref="I33:J33" si="8">+I26-I32</f>
        <v>0</v>
      </c>
      <c r="J33" s="276">
        <f t="shared" si="8"/>
        <v>0</v>
      </c>
      <c r="K33" s="276"/>
      <c r="L33" s="276"/>
      <c r="M33" s="276"/>
      <c r="N33" s="277"/>
    </row>
    <row r="34" spans="1:14">
      <c r="B34" s="229"/>
      <c r="C34" s="229"/>
      <c r="D34" s="229"/>
      <c r="E34" s="229"/>
      <c r="F34" s="229"/>
      <c r="G34" s="229"/>
      <c r="H34" s="229"/>
      <c r="I34" s="229"/>
      <c r="J34" s="229"/>
      <c r="K34" s="229"/>
      <c r="L34" s="229"/>
      <c r="M34" s="229"/>
      <c r="N34" s="229"/>
    </row>
    <row r="35" spans="1:14">
      <c r="A35" s="259" t="s">
        <v>178</v>
      </c>
      <c r="B35" s="229"/>
      <c r="C35" s="229"/>
      <c r="D35" s="229"/>
      <c r="E35" s="229"/>
      <c r="F35" s="229"/>
      <c r="G35" s="229"/>
      <c r="H35" s="229"/>
      <c r="I35" s="229"/>
      <c r="J35" s="229"/>
      <c r="K35" s="236"/>
      <c r="L35" s="236"/>
      <c r="M35" s="229"/>
      <c r="N35" s="229"/>
    </row>
    <row r="36" spans="1:14">
      <c r="A36" s="249" t="s">
        <v>179</v>
      </c>
      <c r="B36" s="251">
        <v>0</v>
      </c>
      <c r="C36" s="252">
        <v>0</v>
      </c>
      <c r="D36" s="252">
        <v>0</v>
      </c>
      <c r="E36" s="252">
        <v>0</v>
      </c>
      <c r="F36" s="252">
        <v>0</v>
      </c>
      <c r="G36" s="252">
        <v>0</v>
      </c>
      <c r="H36" s="252">
        <v>0</v>
      </c>
      <c r="I36" s="252">
        <v>0</v>
      </c>
      <c r="J36" s="252">
        <v>0</v>
      </c>
      <c r="K36" s="221"/>
      <c r="L36" s="253"/>
      <c r="M36" s="252"/>
      <c r="N36" s="252"/>
    </row>
    <row r="37" spans="1:14">
      <c r="A37" s="249" t="s">
        <v>156</v>
      </c>
      <c r="B37" s="255">
        <v>0</v>
      </c>
      <c r="C37" s="253">
        <v>0</v>
      </c>
      <c r="D37" s="253">
        <v>0</v>
      </c>
      <c r="E37" s="253">
        <v>0</v>
      </c>
      <c r="F37" s="253">
        <v>0</v>
      </c>
      <c r="G37" s="253">
        <v>0</v>
      </c>
      <c r="H37" s="253">
        <v>0</v>
      </c>
      <c r="I37" s="253">
        <v>0</v>
      </c>
      <c r="J37" s="253">
        <v>0</v>
      </c>
      <c r="K37" s="237"/>
      <c r="L37" s="253"/>
      <c r="M37" s="253"/>
      <c r="N37" s="253"/>
    </row>
    <row r="38" spans="1:14">
      <c r="A38" s="249" t="s">
        <v>180</v>
      </c>
      <c r="B38" s="255">
        <v>0</v>
      </c>
      <c r="C38" s="253">
        <v>0</v>
      </c>
      <c r="D38" s="253">
        <v>0</v>
      </c>
      <c r="E38" s="253">
        <v>0</v>
      </c>
      <c r="F38" s="253">
        <v>0</v>
      </c>
      <c r="G38" s="253">
        <v>0</v>
      </c>
      <c r="H38" s="253">
        <v>0</v>
      </c>
      <c r="I38" s="253">
        <v>0</v>
      </c>
      <c r="J38" s="253">
        <v>0</v>
      </c>
      <c r="K38" s="253"/>
      <c r="L38" s="253"/>
      <c r="M38" s="253"/>
      <c r="N38" s="253"/>
    </row>
    <row r="39" spans="1:14" ht="13.5" thickBot="1">
      <c r="A39" s="249" t="s">
        <v>181</v>
      </c>
      <c r="B39" s="256">
        <v>0</v>
      </c>
      <c r="C39" s="257">
        <v>0</v>
      </c>
      <c r="D39" s="257">
        <v>0</v>
      </c>
      <c r="E39" s="257">
        <v>0</v>
      </c>
      <c r="F39" s="257">
        <v>0</v>
      </c>
      <c r="G39" s="257">
        <v>0</v>
      </c>
      <c r="H39" s="257">
        <v>0</v>
      </c>
      <c r="I39" s="257">
        <v>0</v>
      </c>
      <c r="J39" s="257">
        <v>0</v>
      </c>
      <c r="K39" s="257"/>
      <c r="L39" s="257"/>
      <c r="M39" s="257"/>
      <c r="N39" s="257"/>
    </row>
    <row r="40" spans="1:14" ht="13.5" thickTop="1">
      <c r="A40" s="259" t="s">
        <v>182</v>
      </c>
      <c r="B40" s="260">
        <f t="shared" ref="B40:F40" si="9">SUM(B36:B39)</f>
        <v>0</v>
      </c>
      <c r="C40" s="261">
        <f t="shared" si="9"/>
        <v>0</v>
      </c>
      <c r="D40" s="261">
        <f t="shared" si="9"/>
        <v>0</v>
      </c>
      <c r="E40" s="261">
        <f t="shared" si="9"/>
        <v>0</v>
      </c>
      <c r="F40" s="261">
        <f t="shared" si="9"/>
        <v>0</v>
      </c>
      <c r="G40" s="261">
        <f t="shared" ref="G40:H40" si="10">SUM(G36:G39)</f>
        <v>0</v>
      </c>
      <c r="H40" s="261">
        <f t="shared" si="10"/>
        <v>0</v>
      </c>
      <c r="I40" s="261">
        <f t="shared" ref="I40:J40" si="11">SUM(I36:I39)</f>
        <v>0</v>
      </c>
      <c r="J40" s="261">
        <f t="shared" si="11"/>
        <v>0</v>
      </c>
      <c r="K40" s="261"/>
      <c r="L40" s="261"/>
      <c r="M40" s="261"/>
      <c r="N40" s="261"/>
    </row>
    <row r="41" spans="1:14">
      <c r="B41" s="214"/>
      <c r="C41" s="214"/>
      <c r="E41" s="214"/>
      <c r="F41" s="214"/>
      <c r="G41" s="214"/>
      <c r="H41" s="214"/>
      <c r="I41" s="214"/>
      <c r="J41" s="214"/>
      <c r="K41" s="214"/>
      <c r="L41" s="214"/>
      <c r="M41" s="214"/>
      <c r="N41" s="214"/>
    </row>
    <row r="42" spans="1:14" ht="13.5" thickBot="1">
      <c r="A42" s="259" t="s">
        <v>140</v>
      </c>
      <c r="B42" s="239" t="e">
        <f t="shared" ref="B42:F42" si="12">ROUND(+B33/B40,3)</f>
        <v>#DIV/0!</v>
      </c>
      <c r="C42" s="239" t="e">
        <f t="shared" si="12"/>
        <v>#DIV/0!</v>
      </c>
      <c r="D42" s="239" t="e">
        <f t="shared" si="12"/>
        <v>#DIV/0!</v>
      </c>
      <c r="E42" s="239" t="e">
        <f t="shared" si="12"/>
        <v>#DIV/0!</v>
      </c>
      <c r="F42" s="239" t="e">
        <f t="shared" si="12"/>
        <v>#DIV/0!</v>
      </c>
      <c r="G42" s="239" t="e">
        <f t="shared" ref="G42:H42" si="13">ROUND(+G33/G40,3)</f>
        <v>#DIV/0!</v>
      </c>
      <c r="H42" s="239" t="e">
        <f t="shared" si="13"/>
        <v>#DIV/0!</v>
      </c>
      <c r="I42" s="239" t="e">
        <f t="shared" ref="I42:J42" si="14">ROUND(+I33/I40,3)</f>
        <v>#DIV/0!</v>
      </c>
      <c r="J42" s="239" t="e">
        <f t="shared" si="14"/>
        <v>#DIV/0!</v>
      </c>
      <c r="K42" s="239"/>
      <c r="L42" s="239"/>
      <c r="M42" s="239"/>
      <c r="N42" s="239"/>
    </row>
    <row r="43" spans="1:14" ht="13.5" thickTop="1">
      <c r="D43" s="278"/>
      <c r="E43" s="278"/>
      <c r="F43" s="278"/>
      <c r="G43" s="278"/>
      <c r="H43" s="278"/>
      <c r="I43" s="278"/>
      <c r="J43" s="278"/>
      <c r="K43" s="278"/>
      <c r="L43" s="278"/>
    </row>
  </sheetData>
  <mergeCells count="1">
    <mergeCell ref="K8:N8"/>
  </mergeCells>
  <printOptions gridLines="1"/>
  <pageMargins left="0.45" right="0.45" top="0.75" bottom="0.75" header="0.3" footer="0.3"/>
  <pageSetup scale="78" orientation="landscape" r:id="rId1"/>
</worksheet>
</file>

<file path=docMetadata/LabelInfo.xml><?xml version="1.0" encoding="utf-8"?>
<clbl:labelList xmlns:clbl="http://schemas.microsoft.com/office/2020/mipLabelMetadata">
  <clbl:label id="{fae6d70f-954b-4811-92b6-0530d6f84c43}" enabled="0" method="" siteId="{fae6d70f-954b-4811-92b6-0530d6f84c4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7</vt:i4>
      </vt:variant>
    </vt:vector>
  </HeadingPairs>
  <TitlesOfParts>
    <vt:vector size="20" baseType="lpstr">
      <vt:lpstr>Instructions</vt:lpstr>
      <vt:lpstr>Section B</vt:lpstr>
      <vt:lpstr>Cost Summary</vt:lpstr>
      <vt:lpstr>Indirect Rate Summary</vt:lpstr>
      <vt:lpstr>Direct Labor Rate Schedule</vt:lpstr>
      <vt:lpstr>Regular Labor Detail</vt:lpstr>
      <vt:lpstr>Surge Labor Detail</vt:lpstr>
      <vt:lpstr>Phase-in &amp; OES 52.217-8 Labor</vt:lpstr>
      <vt:lpstr>ODC Cost Detail</vt:lpstr>
      <vt:lpstr>Fringe Benefit Worksheet</vt:lpstr>
      <vt:lpstr>Fringe Worksheet</vt:lpstr>
      <vt:lpstr>Overhead Worksheet</vt:lpstr>
      <vt:lpstr>G&amp;A Worksheet</vt:lpstr>
      <vt:lpstr>AnnualProductiveHours</vt:lpstr>
      <vt:lpstr>'ODC Cost Detail'!Print_Area</vt:lpstr>
      <vt:lpstr>'Phase-in &amp; OES 52.217-8 Labor'!Print_Area</vt:lpstr>
      <vt:lpstr>'Regular Labor Detail'!Print_Area</vt:lpstr>
      <vt:lpstr>'Section B'!Print_Area</vt:lpstr>
      <vt:lpstr>'Surge Labor Detail'!Print_Area</vt:lpstr>
      <vt:lpstr>'Cost Summary'!Print_Titles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2013-04-10T13:40:27Z</dcterms:created>
  <dcterms:modified xsi:type="dcterms:W3CDTF">2025-07-22T17:26:49Z</dcterms:modified>
</cp:coreProperties>
</file>