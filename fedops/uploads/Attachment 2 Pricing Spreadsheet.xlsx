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ntracting\0-Karen\Contractor Support (Glen Replacement)\2-Solicitation\"/>
    </mc:Choice>
  </mc:AlternateContent>
  <xr:revisionPtr revIDLastSave="0" documentId="13_ncr:1_{9613D332-6A3B-4C70-A805-04F32DA007FD}" xr6:coauthVersionLast="47" xr6:coauthVersionMax="47" xr10:uidLastSave="{00000000-0000-0000-0000-000000000000}"/>
  <bookViews>
    <workbookView xWindow="12600" yWindow="135" windowWidth="38700" windowHeight="15285" xr2:uid="{966529D1-FC3E-44D1-886D-381C362CD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5" i="1"/>
  <c r="E3" i="1"/>
  <c r="E2" i="1"/>
  <c r="I2" i="1" l="1"/>
  <c r="H3" i="1"/>
  <c r="I3" i="1" s="1"/>
  <c r="H4" i="1"/>
  <c r="E4" i="1" l="1"/>
  <c r="E5" i="1"/>
  <c r="I5" i="1" s="1"/>
  <c r="I4" i="1" l="1"/>
  <c r="I6" i="1" s="1"/>
</calcChain>
</file>

<file path=xl/sharedStrings.xml><?xml version="1.0" encoding="utf-8"?>
<sst xmlns="http://schemas.openxmlformats.org/spreadsheetml/2006/main" count="17" uniqueCount="17">
  <si>
    <t>Base</t>
  </si>
  <si>
    <t>Option 1</t>
  </si>
  <si>
    <t>Option 2</t>
  </si>
  <si>
    <t>Year</t>
  </si>
  <si>
    <t>Period of Performance</t>
  </si>
  <si>
    <t>52.217-8</t>
  </si>
  <si>
    <t>Hours Senior ACQ</t>
  </si>
  <si>
    <t>Hourly Senior ACQ</t>
  </si>
  <si>
    <t>Junior Hrs</t>
  </si>
  <si>
    <t>Hourly Jr ACQ</t>
  </si>
  <si>
    <t>Sr. Total</t>
  </si>
  <si>
    <t>Jr. Total</t>
  </si>
  <si>
    <t>12/1/25 to 11/30/26</t>
  </si>
  <si>
    <t>12/1/26 to 11/30/27</t>
  </si>
  <si>
    <t>12/1/27 to 11/30/28</t>
  </si>
  <si>
    <t>12/1/28 to 5/30/29</t>
  </si>
  <si>
    <t>TOTAL Evaluated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</si>
</sst>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1" fillId="4" borderId="1" xfId="0" applyNumberFormat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3" borderId="1" xfId="1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4F6D-C97C-407F-98FC-51CC48365694}">
  <dimension ref="A1:K6"/>
  <sheetViews>
    <sheetView tabSelected="1" zoomScaleNormal="100" workbookViewId="0">
      <selection activeCell="P8" sqref="P8"/>
    </sheetView>
  </sheetViews>
  <sheetFormatPr defaultRowHeight="15" x14ac:dyDescent="0.25"/>
  <cols>
    <col min="1" max="1" width="8.5703125" bestFit="1" customWidth="1"/>
    <col min="2" max="2" width="21.42578125" style="3" bestFit="1" customWidth="1"/>
    <col min="3" max="3" width="17.5703125" style="3" bestFit="1" customWidth="1"/>
    <col min="4" max="4" width="16.7109375" style="3" bestFit="1" customWidth="1"/>
    <col min="5" max="5" width="8.140625" style="3" bestFit="1" customWidth="1"/>
    <col min="6" max="6" width="13.140625" bestFit="1" customWidth="1"/>
    <col min="7" max="7" width="9.7109375" bestFit="1" customWidth="1"/>
    <col min="8" max="8" width="7.85546875" bestFit="1" customWidth="1"/>
    <col min="9" max="9" width="3" bestFit="1" customWidth="1"/>
    <col min="10" max="10" width="12.5703125" style="3" bestFit="1" customWidth="1"/>
    <col min="11" max="11" width="8" style="3" bestFit="1" customWidth="1"/>
    <col min="12" max="12" width="5.140625" bestFit="1" customWidth="1"/>
    <col min="14" max="14" width="12.5703125" bestFit="1" customWidth="1"/>
  </cols>
  <sheetData>
    <row r="1" spans="1:10" x14ac:dyDescent="0.25">
      <c r="A1" s="1" t="s">
        <v>3</v>
      </c>
      <c r="B1" s="6" t="s">
        <v>4</v>
      </c>
      <c r="C1" s="6" t="s">
        <v>7</v>
      </c>
      <c r="D1" s="6" t="s">
        <v>6</v>
      </c>
      <c r="E1" s="6" t="s">
        <v>10</v>
      </c>
      <c r="F1" s="6" t="s">
        <v>9</v>
      </c>
      <c r="G1" s="6" t="s">
        <v>8</v>
      </c>
      <c r="H1" s="6" t="s">
        <v>11</v>
      </c>
      <c r="I1" s="2"/>
    </row>
    <row r="2" spans="1:10" x14ac:dyDescent="0.25">
      <c r="A2" s="2" t="s">
        <v>0</v>
      </c>
      <c r="B2" s="5" t="s">
        <v>12</v>
      </c>
      <c r="C2" s="10"/>
      <c r="D2" s="5">
        <v>500</v>
      </c>
      <c r="E2" s="7">
        <f>C2*D2</f>
        <v>0</v>
      </c>
      <c r="F2" s="11"/>
      <c r="G2" s="5">
        <v>1000</v>
      </c>
      <c r="H2" s="7">
        <f>G2*F2</f>
        <v>0</v>
      </c>
      <c r="I2" s="8">
        <f>SUM(E2+H2)</f>
        <v>0</v>
      </c>
      <c r="J2" s="4"/>
    </row>
    <row r="3" spans="1:10" x14ac:dyDescent="0.25">
      <c r="A3" s="2" t="s">
        <v>1</v>
      </c>
      <c r="B3" s="5" t="s">
        <v>13</v>
      </c>
      <c r="C3" s="10"/>
      <c r="D3" s="5">
        <v>500</v>
      </c>
      <c r="E3" s="7">
        <f t="shared" ref="E3:E5" si="0">C3*D3</f>
        <v>0</v>
      </c>
      <c r="F3" s="10"/>
      <c r="G3" s="5">
        <v>1000</v>
      </c>
      <c r="H3" s="7">
        <f>G3*F3</f>
        <v>0</v>
      </c>
      <c r="I3" s="8">
        <f>SUM(E3+H3)</f>
        <v>0</v>
      </c>
      <c r="J3" s="4"/>
    </row>
    <row r="4" spans="1:10" x14ac:dyDescent="0.25">
      <c r="A4" s="2" t="s">
        <v>2</v>
      </c>
      <c r="B4" s="5" t="s">
        <v>14</v>
      </c>
      <c r="C4" s="10"/>
      <c r="D4" s="5">
        <v>500</v>
      </c>
      <c r="E4" s="7">
        <f t="shared" si="0"/>
        <v>0</v>
      </c>
      <c r="F4" s="10"/>
      <c r="G4" s="5">
        <v>1000</v>
      </c>
      <c r="H4" s="7">
        <f>G4*F4</f>
        <v>0</v>
      </c>
      <c r="I4" s="8">
        <f>SUM(E4+H4)</f>
        <v>0</v>
      </c>
    </row>
    <row r="5" spans="1:10" x14ac:dyDescent="0.25">
      <c r="A5" s="2" t="s">
        <v>5</v>
      </c>
      <c r="B5" s="5" t="s">
        <v>15</v>
      </c>
      <c r="C5" s="10"/>
      <c r="D5" s="5">
        <v>500</v>
      </c>
      <c r="E5" s="7">
        <f t="shared" si="0"/>
        <v>0</v>
      </c>
      <c r="F5" s="10"/>
      <c r="G5" s="5">
        <v>1000</v>
      </c>
      <c r="H5" s="7">
        <f>G5*F5</f>
        <v>0</v>
      </c>
      <c r="I5" s="8">
        <f>SUM(E5+H5)</f>
        <v>0</v>
      </c>
    </row>
    <row r="6" spans="1:10" x14ac:dyDescent="0.25">
      <c r="A6" s="12" t="s">
        <v>16</v>
      </c>
      <c r="B6" s="14"/>
      <c r="C6" s="14"/>
      <c r="D6" s="14"/>
      <c r="E6" s="14"/>
      <c r="F6" s="14"/>
      <c r="G6" s="14"/>
      <c r="H6" s="13"/>
      <c r="I6" s="9">
        <f>SUM(I2:I5)</f>
        <v>0</v>
      </c>
    </row>
  </sheetData>
  <mergeCells count="1">
    <mergeCell ref="A6:H6"/>
  </mergeCells>
  <phoneticPr fontId="3" type="noConversion"/>
  <pageMargins left="0.7" right="0.7" top="0.75" bottom="0.75" header="0.3" footer="0.3"/>
  <pageSetup orientation="portrait" horizontalDpi="4294967293" verticalDpi="4294967293" r:id="rId1"/>
  <headerFooter>
    <oddHeader xml:space="preserve">&amp;CJRRF 
BUILDING 2612 NEW ROOF ESTIMATE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Holden, James (MARAD)</dc:creator>
  <cp:lastModifiedBy>McDermott, Robert (MARAD)</cp:lastModifiedBy>
  <cp:lastPrinted>2023-02-21T14:33:07Z</cp:lastPrinted>
  <dcterms:created xsi:type="dcterms:W3CDTF">2023-02-16T14:12:37Z</dcterms:created>
  <dcterms:modified xsi:type="dcterms:W3CDTF">2025-10-27T13:44:31Z</dcterms:modified>
</cp:coreProperties>
</file>